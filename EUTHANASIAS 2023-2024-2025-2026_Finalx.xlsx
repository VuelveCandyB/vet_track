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\vet_next\"/>
    </mc:Choice>
  </mc:AlternateContent>
  <xr:revisionPtr revIDLastSave="0" documentId="13_ncr:1_{407DA2D6-FE3F-42F1-AA89-4C26DAF28A45}" xr6:coauthVersionLast="47" xr6:coauthVersionMax="47" xr10:uidLastSave="{00000000-0000-0000-0000-000000000000}"/>
  <bookViews>
    <workbookView xWindow="-120" yWindow="-120" windowWidth="29040" windowHeight="15720" firstSheet="9" activeTab="10" xr2:uid="{526B4722-815B-4551-8077-9BD5CC16D49F}"/>
  </bookViews>
  <sheets>
    <sheet name="2024" sheetId="3" state="hidden" r:id="rId1"/>
    <sheet name="2025" sheetId="4" state="hidden" r:id="rId2"/>
    <sheet name="2026" sheetId="5" state="hidden" r:id="rId3"/>
    <sheet name="Sheet5" sheetId="10" state="hidden" r:id="rId4"/>
    <sheet name="Sheet7" sheetId="12" state="hidden" r:id="rId5"/>
    <sheet name="Sheet6" sheetId="11" state="hidden" r:id="rId6"/>
    <sheet name="Sheet8" sheetId="13" state="hidden" r:id="rId7"/>
    <sheet name="Toda la data" sheetId="6" r:id="rId8"/>
    <sheet name="2024 data" sheetId="15" r:id="rId9"/>
    <sheet name="2025 data" sheetId="16" r:id="rId10"/>
    <sheet name="Analisis Necropcia" sheetId="34" r:id="rId11"/>
    <sheet name="Fatal Injury AllData" sheetId="14" r:id="rId12"/>
    <sheet name="2026 data" sheetId="17" r:id="rId13"/>
    <sheet name="Sheet3" sheetId="8" state="hidden" r:id="rId14"/>
    <sheet name="RazónMuerte" sheetId="9" state="hidden" r:id="rId15"/>
    <sheet name="Meses" sheetId="7" r:id="rId16"/>
  </sheets>
  <definedNames>
    <definedName name="_xlnm._FilterDatabase" localSheetId="8" hidden="1">'2024 data'!$A$1:$L$250</definedName>
    <definedName name="_xlnm._FilterDatabase" localSheetId="9" hidden="1">'2025 data'!$A$1:$M$198</definedName>
    <definedName name="_xlnm._FilterDatabase" localSheetId="11" hidden="1">'Fatal Injury AllData'!$A$1:$N$554</definedName>
    <definedName name="_xlnm._FilterDatabase" localSheetId="13" hidden="1">Sheet3!$A$1:$A$443</definedName>
    <definedName name="_xlnm._FilterDatabase" localSheetId="7" hidden="1">'Toda la data'!$A$1:$J$447</definedName>
    <definedName name="_xlcn.WorksheetConnection_FatalInjuryAllDataA1O5541" hidden="1">'Fatal Injury AllData'!$A$1:$O$554</definedName>
    <definedName name="_xlcn.WorksheetConnection_TodaladataA1J4471" hidden="1">'Toda la data'!$A$1:$J$447</definedName>
    <definedName name="ExternalData_1" localSheetId="4" hidden="1">Sheet7!$A$3:$N$131</definedName>
  </definedNames>
  <calcPr calcId="191029"/>
  <pivotCaches>
    <pivotCache cacheId="622" r:id="rId17"/>
    <pivotCache cacheId="623" r:id="rId18"/>
    <pivotCache cacheId="624" r:id="rId19"/>
    <pivotCache cacheId="634" r:id="rId2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oda la data!$A$1:$J$447"/>
          <x15:modelTable id="Range 2" name="Range 2" connection="WorksheetConnection_Fatal Injury AllData!$A$1:$O$554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  <x16:modelTimeGrouping tableName="Range 2" columnName="Death Date" columnId="Death Date">
                <x16:calculatedTimeColumn columnName="Death Date (Year)" columnId="Death Date (Year)" contentType="years" isSelected="1"/>
                <x16:calculatedTimeColumn columnName="Death Date (Quarter)" columnId="Death Date (Quarter)" contentType="quarters" isSelected="1"/>
                <x16:calculatedTimeColumn columnName="Death Date (Month Index)" columnId="Death Date (Month Index)" contentType="monthsindex" isSelected="1"/>
                <x16:calculatedTimeColumn columnName="Death Date (Month)" columnId="Death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3" i="17" l="1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L102" i="17"/>
  <c r="K102" i="17"/>
  <c r="J102" i="17"/>
  <c r="G102" i="17"/>
  <c r="C102" i="17"/>
  <c r="B10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2" i="17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2" i="17"/>
  <c r="L3" i="15" l="1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" i="15"/>
  <c r="C250" i="15"/>
  <c r="B250" i="15"/>
  <c r="C249" i="15"/>
  <c r="B249" i="15"/>
  <c r="C248" i="15"/>
  <c r="B248" i="15"/>
  <c r="C247" i="15"/>
  <c r="B247" i="15"/>
  <c r="C246" i="15"/>
  <c r="B246" i="15"/>
  <c r="C245" i="15"/>
  <c r="B245" i="15"/>
  <c r="C244" i="15"/>
  <c r="B244" i="15"/>
  <c r="C243" i="15"/>
  <c r="B243" i="15"/>
  <c r="C242" i="15"/>
  <c r="B242" i="15"/>
  <c r="C241" i="15"/>
  <c r="B241" i="15"/>
  <c r="C240" i="15"/>
  <c r="B240" i="15"/>
  <c r="C239" i="15"/>
  <c r="B239" i="15"/>
  <c r="C238" i="15"/>
  <c r="B238" i="15"/>
  <c r="C237" i="15"/>
  <c r="B237" i="15"/>
  <c r="C236" i="15"/>
  <c r="B236" i="15"/>
  <c r="C235" i="15"/>
  <c r="B235" i="15"/>
  <c r="C234" i="15"/>
  <c r="B234" i="15"/>
  <c r="C233" i="15"/>
  <c r="B233" i="15"/>
  <c r="C232" i="15"/>
  <c r="B232" i="15"/>
  <c r="C231" i="15"/>
  <c r="B231" i="15"/>
  <c r="C230" i="15"/>
  <c r="B230" i="15"/>
  <c r="C229" i="15"/>
  <c r="B229" i="15"/>
  <c r="C228" i="15"/>
  <c r="B228" i="15"/>
  <c r="C227" i="15"/>
  <c r="B227" i="15"/>
  <c r="C226" i="15"/>
  <c r="B226" i="15"/>
  <c r="C225" i="15"/>
  <c r="B225" i="15"/>
  <c r="C224" i="15"/>
  <c r="B224" i="15"/>
  <c r="C223" i="15"/>
  <c r="B223" i="15"/>
  <c r="C222" i="15"/>
  <c r="B222" i="15"/>
  <c r="C221" i="15"/>
  <c r="B221" i="15"/>
  <c r="C220" i="15"/>
  <c r="B220" i="15"/>
  <c r="C219" i="15"/>
  <c r="B219" i="15"/>
  <c r="C218" i="15"/>
  <c r="B218" i="15"/>
  <c r="C217" i="15"/>
  <c r="B217" i="15"/>
  <c r="C216" i="15"/>
  <c r="B216" i="15"/>
  <c r="C215" i="15"/>
  <c r="B215" i="15"/>
  <c r="C214" i="15"/>
  <c r="B214" i="15"/>
  <c r="C213" i="15"/>
  <c r="B213" i="15"/>
  <c r="C212" i="15"/>
  <c r="B212" i="15"/>
  <c r="C211" i="15"/>
  <c r="B211" i="15"/>
  <c r="C210" i="15"/>
  <c r="B210" i="15"/>
  <c r="C209" i="15"/>
  <c r="B209" i="15"/>
  <c r="C208" i="15"/>
  <c r="B208" i="15"/>
  <c r="C207" i="15"/>
  <c r="B207" i="15"/>
  <c r="C206" i="15"/>
  <c r="B206" i="15"/>
  <c r="C205" i="15"/>
  <c r="B205" i="15"/>
  <c r="C204" i="15"/>
  <c r="B204" i="15"/>
  <c r="C203" i="15"/>
  <c r="B203" i="15"/>
  <c r="C202" i="15"/>
  <c r="B202" i="15"/>
  <c r="C201" i="15"/>
  <c r="B201" i="15"/>
  <c r="C200" i="15"/>
  <c r="B200" i="15"/>
  <c r="C199" i="15"/>
  <c r="B199" i="15"/>
  <c r="C198" i="15"/>
  <c r="B198" i="15"/>
  <c r="C197" i="15"/>
  <c r="B197" i="15"/>
  <c r="C196" i="15"/>
  <c r="B196" i="15"/>
  <c r="C195" i="15"/>
  <c r="B195" i="15"/>
  <c r="C194" i="15"/>
  <c r="B194" i="15"/>
  <c r="C193" i="15"/>
  <c r="B193" i="15"/>
  <c r="C192" i="15"/>
  <c r="B192" i="15"/>
  <c r="C191" i="15"/>
  <c r="B191" i="15"/>
  <c r="C190" i="15"/>
  <c r="B190" i="15"/>
  <c r="C189" i="15"/>
  <c r="B189" i="15"/>
  <c r="C188" i="15"/>
  <c r="B188" i="15"/>
  <c r="C187" i="15"/>
  <c r="B187" i="15"/>
  <c r="C186" i="15"/>
  <c r="B186" i="15"/>
  <c r="C185" i="15"/>
  <c r="B185" i="15"/>
  <c r="C184" i="15"/>
  <c r="B184" i="15"/>
  <c r="C183" i="15"/>
  <c r="B183" i="15"/>
  <c r="C182" i="15"/>
  <c r="B182" i="15"/>
  <c r="C181" i="15"/>
  <c r="B181" i="15"/>
  <c r="C180" i="15"/>
  <c r="B180" i="15"/>
  <c r="C179" i="15"/>
  <c r="B179" i="15"/>
  <c r="C178" i="15"/>
  <c r="B178" i="15"/>
  <c r="C177" i="15"/>
  <c r="B177" i="15"/>
  <c r="C176" i="15"/>
  <c r="B176" i="15"/>
  <c r="C175" i="15"/>
  <c r="B175" i="15"/>
  <c r="C174" i="15"/>
  <c r="B174" i="15"/>
  <c r="C173" i="15"/>
  <c r="B173" i="15"/>
  <c r="C172" i="15"/>
  <c r="B172" i="15"/>
  <c r="C171" i="15"/>
  <c r="B171" i="15"/>
  <c r="C170" i="15"/>
  <c r="B170" i="15"/>
  <c r="C169" i="15"/>
  <c r="B169" i="15"/>
  <c r="C168" i="15"/>
  <c r="B168" i="15"/>
  <c r="C167" i="15"/>
  <c r="B167" i="15"/>
  <c r="C166" i="15"/>
  <c r="B166" i="15"/>
  <c r="C165" i="15"/>
  <c r="B165" i="15"/>
  <c r="C164" i="15"/>
  <c r="B164" i="15"/>
  <c r="C163" i="15"/>
  <c r="B163" i="15"/>
  <c r="C162" i="15"/>
  <c r="B162" i="15"/>
  <c r="C161" i="15"/>
  <c r="B161" i="15"/>
  <c r="C160" i="15"/>
  <c r="B160" i="15"/>
  <c r="C159" i="15"/>
  <c r="B159" i="15"/>
  <c r="C158" i="15"/>
  <c r="B158" i="15"/>
  <c r="C157" i="15"/>
  <c r="B157" i="15"/>
  <c r="C156" i="15"/>
  <c r="B156" i="15"/>
  <c r="C155" i="15"/>
  <c r="B155" i="15"/>
  <c r="C154" i="15"/>
  <c r="B154" i="15"/>
  <c r="C153" i="15"/>
  <c r="B153" i="15"/>
  <c r="C152" i="15"/>
  <c r="B152" i="15"/>
  <c r="C151" i="15"/>
  <c r="B151" i="15"/>
  <c r="C150" i="15"/>
  <c r="B150" i="15"/>
  <c r="C149" i="15"/>
  <c r="B149" i="15"/>
  <c r="C148" i="15"/>
  <c r="B148" i="15"/>
  <c r="C147" i="15"/>
  <c r="B147" i="15"/>
  <c r="C146" i="15"/>
  <c r="B146" i="15"/>
  <c r="C145" i="15"/>
  <c r="B145" i="15"/>
  <c r="C144" i="15"/>
  <c r="B144" i="15"/>
  <c r="C143" i="15"/>
  <c r="B143" i="15"/>
  <c r="C142" i="15"/>
  <c r="B142" i="15"/>
  <c r="C141" i="15"/>
  <c r="B141" i="15"/>
  <c r="C140" i="15"/>
  <c r="B140" i="15"/>
  <c r="C139" i="15"/>
  <c r="B139" i="15"/>
  <c r="C138" i="15"/>
  <c r="B138" i="15"/>
  <c r="C137" i="15"/>
  <c r="B137" i="15"/>
  <c r="C136" i="15"/>
  <c r="B136" i="15"/>
  <c r="C135" i="15"/>
  <c r="B135" i="15"/>
  <c r="C134" i="15"/>
  <c r="B134" i="15"/>
  <c r="C133" i="15"/>
  <c r="B133" i="15"/>
  <c r="C132" i="15"/>
  <c r="B132" i="15"/>
  <c r="C131" i="15"/>
  <c r="B131" i="15"/>
  <c r="C130" i="15"/>
  <c r="B130" i="15"/>
  <c r="C129" i="15"/>
  <c r="B129" i="15"/>
  <c r="C128" i="15"/>
  <c r="B128" i="15"/>
  <c r="C127" i="15"/>
  <c r="B127" i="15"/>
  <c r="C126" i="15"/>
  <c r="B126" i="15"/>
  <c r="C125" i="15"/>
  <c r="B125" i="15"/>
  <c r="C124" i="15"/>
  <c r="B124" i="15"/>
  <c r="C123" i="15"/>
  <c r="B123" i="15"/>
  <c r="C122" i="15"/>
  <c r="B122" i="15"/>
  <c r="C121" i="15"/>
  <c r="B121" i="15"/>
  <c r="C120" i="15"/>
  <c r="B120" i="15"/>
  <c r="C119" i="15"/>
  <c r="B119" i="15"/>
  <c r="C118" i="15"/>
  <c r="B118" i="15"/>
  <c r="C117" i="15"/>
  <c r="B117" i="15"/>
  <c r="C116" i="15"/>
  <c r="B116" i="15"/>
  <c r="C115" i="15"/>
  <c r="B115" i="15"/>
  <c r="C114" i="15"/>
  <c r="B114" i="15"/>
  <c r="C113" i="15"/>
  <c r="B113" i="15"/>
  <c r="C112" i="15"/>
  <c r="B112" i="15"/>
  <c r="C111" i="15"/>
  <c r="B111" i="15"/>
  <c r="C110" i="15"/>
  <c r="B110" i="15"/>
  <c r="C109" i="15"/>
  <c r="B109" i="15"/>
  <c r="C108" i="15"/>
  <c r="B108" i="15"/>
  <c r="C107" i="15"/>
  <c r="B107" i="15"/>
  <c r="C106" i="15"/>
  <c r="B106" i="15"/>
  <c r="C105" i="15"/>
  <c r="B105" i="15"/>
  <c r="C104" i="15"/>
  <c r="B104" i="15"/>
  <c r="C103" i="15"/>
  <c r="B103" i="15"/>
  <c r="C102" i="15"/>
  <c r="B102" i="15"/>
  <c r="C101" i="15"/>
  <c r="B101" i="15"/>
  <c r="C100" i="15"/>
  <c r="B100" i="15"/>
  <c r="C99" i="15"/>
  <c r="B99" i="15"/>
  <c r="C98" i="15"/>
  <c r="B98" i="15"/>
  <c r="C97" i="15"/>
  <c r="B97" i="15"/>
  <c r="C96" i="15"/>
  <c r="B96" i="15"/>
  <c r="C95" i="15"/>
  <c r="B95" i="15"/>
  <c r="C94" i="15"/>
  <c r="B94" i="15"/>
  <c r="C93" i="15"/>
  <c r="B93" i="15"/>
  <c r="C92" i="15"/>
  <c r="B92" i="15"/>
  <c r="C91" i="15"/>
  <c r="B91" i="15"/>
  <c r="C90" i="15"/>
  <c r="B90" i="15"/>
  <c r="C89" i="15"/>
  <c r="B89" i="15"/>
  <c r="C88" i="15"/>
  <c r="B88" i="15"/>
  <c r="C87" i="15"/>
  <c r="B87" i="15"/>
  <c r="C86" i="15"/>
  <c r="B86" i="15"/>
  <c r="C85" i="15"/>
  <c r="B85" i="15"/>
  <c r="C84" i="15"/>
  <c r="B84" i="15"/>
  <c r="C83" i="15"/>
  <c r="B83" i="15"/>
  <c r="C82" i="15"/>
  <c r="B82" i="15"/>
  <c r="C81" i="15"/>
  <c r="B81" i="15"/>
  <c r="C80" i="15"/>
  <c r="B80" i="15"/>
  <c r="C79" i="15"/>
  <c r="B79" i="15"/>
  <c r="C78" i="15"/>
  <c r="B78" i="15"/>
  <c r="C77" i="15"/>
  <c r="B77" i="15"/>
  <c r="C76" i="15"/>
  <c r="B76" i="15"/>
  <c r="C75" i="15"/>
  <c r="B75" i="15"/>
  <c r="C74" i="15"/>
  <c r="B74" i="15"/>
  <c r="C73" i="15"/>
  <c r="B73" i="15"/>
  <c r="C72" i="15"/>
  <c r="B72" i="15"/>
  <c r="C71" i="15"/>
  <c r="B71" i="15"/>
  <c r="C70" i="15"/>
  <c r="B70" i="15"/>
  <c r="C69" i="15"/>
  <c r="B69" i="15"/>
  <c r="C68" i="15"/>
  <c r="B68" i="15"/>
  <c r="C67" i="15"/>
  <c r="B67" i="15"/>
  <c r="C66" i="15"/>
  <c r="B66" i="15"/>
  <c r="C65" i="15"/>
  <c r="B65" i="15"/>
  <c r="C64" i="15"/>
  <c r="B64" i="15"/>
  <c r="C63" i="15"/>
  <c r="B63" i="15"/>
  <c r="C62" i="15"/>
  <c r="B62" i="15"/>
  <c r="C61" i="15"/>
  <c r="B61" i="15"/>
  <c r="C60" i="15"/>
  <c r="B60" i="15"/>
  <c r="C59" i="15"/>
  <c r="B59" i="15"/>
  <c r="C58" i="15"/>
  <c r="B58" i="15"/>
  <c r="C57" i="15"/>
  <c r="B57" i="15"/>
  <c r="C56" i="15"/>
  <c r="B56" i="15"/>
  <c r="C55" i="15"/>
  <c r="B55" i="15"/>
  <c r="C54" i="15"/>
  <c r="B54" i="15"/>
  <c r="C53" i="15"/>
  <c r="B53" i="15"/>
  <c r="C52" i="15"/>
  <c r="B52" i="15"/>
  <c r="C51" i="15"/>
  <c r="B51" i="15"/>
  <c r="C50" i="15"/>
  <c r="B50" i="15"/>
  <c r="C49" i="15"/>
  <c r="B49" i="15"/>
  <c r="C48" i="15"/>
  <c r="B48" i="15"/>
  <c r="C47" i="15"/>
  <c r="B47" i="15"/>
  <c r="C46" i="15"/>
  <c r="B46" i="15"/>
  <c r="C45" i="15"/>
  <c r="B45" i="15"/>
  <c r="C44" i="15"/>
  <c r="B44" i="15"/>
  <c r="C43" i="15"/>
  <c r="B43" i="15"/>
  <c r="C42" i="15"/>
  <c r="B42" i="15"/>
  <c r="C41" i="15"/>
  <c r="B41" i="15"/>
  <c r="C40" i="15"/>
  <c r="B40" i="15"/>
  <c r="C39" i="15"/>
  <c r="B39" i="15"/>
  <c r="C38" i="15"/>
  <c r="B38" i="15"/>
  <c r="C37" i="15"/>
  <c r="B37" i="15"/>
  <c r="C36" i="15"/>
  <c r="B36" i="15"/>
  <c r="C35" i="15"/>
  <c r="B35" i="15"/>
  <c r="C34" i="15"/>
  <c r="B34" i="15"/>
  <c r="C33" i="15"/>
  <c r="B33" i="15"/>
  <c r="C32" i="15"/>
  <c r="B32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B9" i="15"/>
  <c r="C8" i="15"/>
  <c r="B8" i="15"/>
  <c r="C7" i="15"/>
  <c r="B7" i="15"/>
  <c r="C6" i="15"/>
  <c r="B6" i="15"/>
  <c r="C5" i="15"/>
  <c r="B5" i="15"/>
  <c r="C4" i="15"/>
  <c r="B4" i="15"/>
  <c r="C3" i="15"/>
  <c r="B3" i="15"/>
  <c r="C2" i="15"/>
  <c r="B2" i="15"/>
  <c r="L152" i="16"/>
  <c r="K152" i="16"/>
  <c r="J152" i="16"/>
  <c r="C152" i="16"/>
  <c r="B152" i="16"/>
  <c r="L198" i="16"/>
  <c r="K198" i="16"/>
  <c r="J198" i="16"/>
  <c r="C198" i="16"/>
  <c r="B198" i="16"/>
  <c r="L137" i="16"/>
  <c r="K137" i="16"/>
  <c r="J137" i="16"/>
  <c r="C137" i="16"/>
  <c r="B137" i="16"/>
  <c r="L164" i="16"/>
  <c r="K164" i="16"/>
  <c r="J164" i="16"/>
  <c r="C164" i="16"/>
  <c r="B164" i="16"/>
  <c r="L197" i="16"/>
  <c r="K197" i="16"/>
  <c r="J197" i="16"/>
  <c r="C197" i="16"/>
  <c r="B197" i="16"/>
  <c r="L161" i="16"/>
  <c r="K161" i="16"/>
  <c r="J161" i="16"/>
  <c r="C161" i="16"/>
  <c r="B161" i="16"/>
  <c r="L147" i="16"/>
  <c r="K147" i="16"/>
  <c r="J147" i="16"/>
  <c r="C147" i="16"/>
  <c r="B147" i="16"/>
  <c r="L156" i="16"/>
  <c r="K156" i="16"/>
  <c r="J156" i="16"/>
  <c r="C156" i="16"/>
  <c r="B156" i="16"/>
  <c r="L139" i="16"/>
  <c r="K139" i="16"/>
  <c r="J139" i="16"/>
  <c r="C139" i="16"/>
  <c r="B139" i="16"/>
  <c r="L163" i="16"/>
  <c r="K163" i="16"/>
  <c r="J163" i="16"/>
  <c r="C163" i="16"/>
  <c r="B163" i="16"/>
  <c r="L158" i="16"/>
  <c r="K158" i="16"/>
  <c r="J158" i="16"/>
  <c r="C158" i="16"/>
  <c r="B158" i="16"/>
  <c r="L162" i="16"/>
  <c r="K162" i="16"/>
  <c r="J162" i="16"/>
  <c r="C162" i="16"/>
  <c r="B162" i="16"/>
  <c r="L145" i="16"/>
  <c r="K145" i="16"/>
  <c r="J145" i="16"/>
  <c r="C145" i="16"/>
  <c r="B145" i="16"/>
  <c r="L157" i="16"/>
  <c r="K157" i="16"/>
  <c r="J157" i="16"/>
  <c r="C157" i="16"/>
  <c r="B157" i="16"/>
  <c r="L160" i="16"/>
  <c r="K160" i="16"/>
  <c r="J160" i="16"/>
  <c r="C160" i="16"/>
  <c r="B160" i="16"/>
  <c r="L125" i="16"/>
  <c r="K125" i="16"/>
  <c r="J125" i="16"/>
  <c r="C125" i="16"/>
  <c r="B125" i="16"/>
  <c r="L159" i="16"/>
  <c r="K159" i="16"/>
  <c r="J159" i="16"/>
  <c r="C159" i="16"/>
  <c r="B159" i="16"/>
  <c r="L150" i="16"/>
  <c r="K150" i="16"/>
  <c r="J150" i="16"/>
  <c r="C150" i="16"/>
  <c r="B150" i="16"/>
  <c r="L146" i="16"/>
  <c r="K146" i="16"/>
  <c r="J146" i="16"/>
  <c r="C146" i="16"/>
  <c r="B146" i="16"/>
  <c r="L149" i="16"/>
  <c r="K149" i="16"/>
  <c r="J149" i="16"/>
  <c r="C149" i="16"/>
  <c r="B149" i="16"/>
  <c r="L196" i="16"/>
  <c r="K196" i="16"/>
  <c r="J196" i="16"/>
  <c r="C196" i="16"/>
  <c r="B196" i="16"/>
  <c r="L130" i="16"/>
  <c r="K130" i="16"/>
  <c r="J130" i="16"/>
  <c r="C130" i="16"/>
  <c r="B130" i="16"/>
  <c r="L144" i="16"/>
  <c r="K144" i="16"/>
  <c r="J144" i="16"/>
  <c r="C144" i="16"/>
  <c r="B144" i="16"/>
  <c r="L155" i="16"/>
  <c r="K155" i="16"/>
  <c r="J155" i="16"/>
  <c r="C155" i="16"/>
  <c r="B155" i="16"/>
  <c r="L154" i="16"/>
  <c r="K154" i="16"/>
  <c r="J154" i="16"/>
  <c r="C154" i="16"/>
  <c r="B154" i="16"/>
  <c r="L195" i="16"/>
  <c r="K195" i="16"/>
  <c r="J195" i="16"/>
  <c r="C195" i="16"/>
  <c r="B195" i="16"/>
  <c r="L194" i="16"/>
  <c r="K194" i="16"/>
  <c r="J194" i="16"/>
  <c r="C194" i="16"/>
  <c r="B194" i="16"/>
  <c r="L153" i="16"/>
  <c r="K153" i="16"/>
  <c r="J153" i="16"/>
  <c r="C153" i="16"/>
  <c r="B153" i="16"/>
  <c r="L151" i="16"/>
  <c r="K151" i="16"/>
  <c r="J151" i="16"/>
  <c r="C151" i="16"/>
  <c r="B151" i="16"/>
  <c r="L193" i="16"/>
  <c r="K193" i="16"/>
  <c r="J193" i="16"/>
  <c r="C193" i="16"/>
  <c r="B193" i="16"/>
  <c r="L192" i="16"/>
  <c r="K192" i="16"/>
  <c r="J192" i="16"/>
  <c r="C192" i="16"/>
  <c r="B192" i="16"/>
  <c r="L14" i="16"/>
  <c r="K14" i="16"/>
  <c r="J14" i="16"/>
  <c r="C14" i="16"/>
  <c r="B14" i="16"/>
  <c r="L148" i="16"/>
  <c r="K148" i="16"/>
  <c r="J148" i="16"/>
  <c r="C148" i="16"/>
  <c r="B148" i="16"/>
  <c r="L132" i="16"/>
  <c r="K132" i="16"/>
  <c r="J132" i="16"/>
  <c r="C132" i="16"/>
  <c r="B132" i="16"/>
  <c r="L191" i="16"/>
  <c r="K191" i="16"/>
  <c r="J191" i="16"/>
  <c r="C191" i="16"/>
  <c r="B191" i="16"/>
  <c r="L3" i="16"/>
  <c r="K3" i="16"/>
  <c r="J3" i="16"/>
  <c r="C3" i="16"/>
  <c r="B3" i="16"/>
  <c r="L190" i="16"/>
  <c r="K190" i="16"/>
  <c r="J190" i="16"/>
  <c r="C190" i="16"/>
  <c r="B190" i="16"/>
  <c r="L141" i="16"/>
  <c r="K141" i="16"/>
  <c r="J141" i="16"/>
  <c r="C141" i="16"/>
  <c r="B141" i="16"/>
  <c r="L89" i="16"/>
  <c r="K89" i="16"/>
  <c r="J89" i="16"/>
  <c r="C89" i="16"/>
  <c r="B89" i="16"/>
  <c r="L189" i="16"/>
  <c r="K189" i="16"/>
  <c r="J189" i="16"/>
  <c r="C189" i="16"/>
  <c r="B189" i="16"/>
  <c r="L188" i="16"/>
  <c r="K188" i="16"/>
  <c r="J188" i="16"/>
  <c r="C188" i="16"/>
  <c r="B188" i="16"/>
  <c r="L122" i="16"/>
  <c r="K122" i="16"/>
  <c r="J122" i="16"/>
  <c r="C122" i="16"/>
  <c r="B122" i="16"/>
  <c r="L135" i="16"/>
  <c r="K135" i="16"/>
  <c r="J135" i="16"/>
  <c r="C135" i="16"/>
  <c r="B135" i="16"/>
  <c r="L118" i="16"/>
  <c r="K118" i="16"/>
  <c r="J118" i="16"/>
  <c r="C118" i="16"/>
  <c r="B118" i="16"/>
  <c r="L143" i="16"/>
  <c r="K143" i="16"/>
  <c r="J143" i="16"/>
  <c r="C143" i="16"/>
  <c r="B143" i="16"/>
  <c r="L120" i="16"/>
  <c r="K120" i="16"/>
  <c r="J120" i="16"/>
  <c r="C120" i="16"/>
  <c r="B120" i="16"/>
  <c r="L140" i="16"/>
  <c r="K140" i="16"/>
  <c r="J140" i="16"/>
  <c r="C140" i="16"/>
  <c r="B140" i="16"/>
  <c r="L131" i="16"/>
  <c r="K131" i="16"/>
  <c r="J131" i="16"/>
  <c r="C131" i="16"/>
  <c r="B131" i="16"/>
  <c r="L129" i="16"/>
  <c r="K129" i="16"/>
  <c r="J129" i="16"/>
  <c r="C129" i="16"/>
  <c r="B129" i="16"/>
  <c r="L142" i="16"/>
  <c r="K142" i="16"/>
  <c r="J142" i="16"/>
  <c r="C142" i="16"/>
  <c r="B142" i="16"/>
  <c r="L138" i="16"/>
  <c r="K138" i="16"/>
  <c r="J138" i="16"/>
  <c r="C138" i="16"/>
  <c r="B138" i="16"/>
  <c r="L128" i="16"/>
  <c r="K128" i="16"/>
  <c r="J128" i="16"/>
  <c r="C128" i="16"/>
  <c r="B128" i="16"/>
  <c r="L126" i="16"/>
  <c r="K126" i="16"/>
  <c r="J126" i="16"/>
  <c r="C126" i="16"/>
  <c r="B126" i="16"/>
  <c r="L111" i="16"/>
  <c r="K111" i="16"/>
  <c r="J111" i="16"/>
  <c r="C111" i="16"/>
  <c r="B111" i="16"/>
  <c r="L127" i="16"/>
  <c r="K127" i="16"/>
  <c r="J127" i="16"/>
  <c r="C127" i="16"/>
  <c r="B127" i="16"/>
  <c r="L136" i="16"/>
  <c r="K136" i="16"/>
  <c r="J136" i="16"/>
  <c r="C136" i="16"/>
  <c r="B136" i="16"/>
  <c r="L187" i="16"/>
  <c r="K187" i="16"/>
  <c r="J187" i="16"/>
  <c r="C187" i="16"/>
  <c r="B187" i="16"/>
  <c r="L87" i="16"/>
  <c r="K87" i="16"/>
  <c r="J87" i="16"/>
  <c r="C87" i="16"/>
  <c r="B87" i="16"/>
  <c r="L134" i="16"/>
  <c r="K134" i="16"/>
  <c r="J134" i="16"/>
  <c r="C134" i="16"/>
  <c r="B134" i="16"/>
  <c r="L112" i="16"/>
  <c r="K112" i="16"/>
  <c r="J112" i="16"/>
  <c r="C112" i="16"/>
  <c r="B112" i="16"/>
  <c r="L79" i="16"/>
  <c r="K79" i="16"/>
  <c r="J79" i="16"/>
  <c r="C79" i="16"/>
  <c r="B79" i="16"/>
  <c r="L133" i="16"/>
  <c r="K133" i="16"/>
  <c r="J133" i="16"/>
  <c r="C133" i="16"/>
  <c r="B133" i="16"/>
  <c r="L117" i="16"/>
  <c r="K117" i="16"/>
  <c r="J117" i="16"/>
  <c r="C117" i="16"/>
  <c r="B117" i="16"/>
  <c r="L186" i="16"/>
  <c r="K186" i="16"/>
  <c r="J186" i="16"/>
  <c r="C186" i="16"/>
  <c r="B186" i="16"/>
  <c r="L185" i="16"/>
  <c r="K185" i="16"/>
  <c r="J185" i="16"/>
  <c r="C185" i="16"/>
  <c r="B185" i="16"/>
  <c r="L114" i="16"/>
  <c r="K114" i="16"/>
  <c r="J114" i="16"/>
  <c r="C114" i="16"/>
  <c r="B114" i="16"/>
  <c r="L5" i="16"/>
  <c r="K5" i="16"/>
  <c r="J5" i="16"/>
  <c r="C5" i="16"/>
  <c r="B5" i="16"/>
  <c r="L88" i="16"/>
  <c r="K88" i="16"/>
  <c r="J88" i="16"/>
  <c r="C88" i="16"/>
  <c r="B88" i="16"/>
  <c r="L184" i="16"/>
  <c r="K184" i="16"/>
  <c r="J184" i="16"/>
  <c r="C184" i="16"/>
  <c r="B184" i="16"/>
  <c r="L119" i="16"/>
  <c r="K119" i="16"/>
  <c r="J119" i="16"/>
  <c r="C119" i="16"/>
  <c r="B119" i="16"/>
  <c r="L95" i="16"/>
  <c r="K95" i="16"/>
  <c r="J95" i="16"/>
  <c r="C95" i="16"/>
  <c r="B95" i="16"/>
  <c r="L121" i="16"/>
  <c r="K121" i="16"/>
  <c r="J121" i="16"/>
  <c r="C121" i="16"/>
  <c r="B121" i="16"/>
  <c r="L124" i="16"/>
  <c r="K124" i="16"/>
  <c r="J124" i="16"/>
  <c r="C124" i="16"/>
  <c r="B124" i="16"/>
  <c r="L113" i="16"/>
  <c r="K113" i="16"/>
  <c r="J113" i="16"/>
  <c r="C113" i="16"/>
  <c r="B113" i="16"/>
  <c r="L123" i="16"/>
  <c r="K123" i="16"/>
  <c r="J123" i="16"/>
  <c r="C123" i="16"/>
  <c r="B123" i="16"/>
  <c r="L116" i="16"/>
  <c r="K116" i="16"/>
  <c r="J116" i="16"/>
  <c r="C116" i="16"/>
  <c r="B116" i="16"/>
  <c r="L101" i="16"/>
  <c r="K101" i="16"/>
  <c r="J101" i="16"/>
  <c r="C101" i="16"/>
  <c r="B101" i="16"/>
  <c r="L107" i="16"/>
  <c r="K107" i="16"/>
  <c r="J107" i="16"/>
  <c r="C107" i="16"/>
  <c r="B107" i="16"/>
  <c r="L94" i="16"/>
  <c r="K94" i="16"/>
  <c r="J94" i="16"/>
  <c r="C94" i="16"/>
  <c r="B94" i="16"/>
  <c r="L8" i="16"/>
  <c r="K8" i="16"/>
  <c r="J8" i="16"/>
  <c r="C8" i="16"/>
  <c r="B8" i="16"/>
  <c r="L4" i="16"/>
  <c r="K4" i="16"/>
  <c r="J4" i="16"/>
  <c r="C4" i="16"/>
  <c r="B4" i="16"/>
  <c r="L50" i="16"/>
  <c r="K50" i="16"/>
  <c r="J50" i="16"/>
  <c r="C50" i="16"/>
  <c r="B50" i="16"/>
  <c r="L103" i="16"/>
  <c r="K103" i="16"/>
  <c r="J103" i="16"/>
  <c r="C103" i="16"/>
  <c r="B103" i="16"/>
  <c r="L115" i="16"/>
  <c r="K115" i="16"/>
  <c r="J115" i="16"/>
  <c r="C115" i="16"/>
  <c r="B115" i="16"/>
  <c r="L63" i="16"/>
  <c r="K63" i="16"/>
  <c r="J63" i="16"/>
  <c r="C63" i="16"/>
  <c r="B63" i="16"/>
  <c r="L98" i="16"/>
  <c r="K98" i="16"/>
  <c r="J98" i="16"/>
  <c r="C98" i="16"/>
  <c r="B98" i="16"/>
  <c r="L97" i="16"/>
  <c r="K97" i="16"/>
  <c r="J97" i="16"/>
  <c r="C97" i="16"/>
  <c r="B97" i="16"/>
  <c r="L110" i="16"/>
  <c r="K110" i="16"/>
  <c r="J110" i="16"/>
  <c r="C110" i="16"/>
  <c r="B110" i="16"/>
  <c r="L109" i="16"/>
  <c r="K109" i="16"/>
  <c r="J109" i="16"/>
  <c r="C109" i="16"/>
  <c r="B109" i="16"/>
  <c r="L108" i="16"/>
  <c r="K108" i="16"/>
  <c r="J108" i="16"/>
  <c r="C108" i="16"/>
  <c r="B108" i="16"/>
  <c r="L81" i="16"/>
  <c r="K81" i="16"/>
  <c r="J81" i="16"/>
  <c r="C81" i="16"/>
  <c r="B81" i="16"/>
  <c r="L106" i="16"/>
  <c r="K106" i="16"/>
  <c r="J106" i="16"/>
  <c r="C106" i="16"/>
  <c r="B106" i="16"/>
  <c r="L183" i="16"/>
  <c r="K183" i="16"/>
  <c r="J183" i="16"/>
  <c r="C183" i="16"/>
  <c r="B183" i="16"/>
  <c r="L6" i="16"/>
  <c r="K6" i="16"/>
  <c r="J6" i="16"/>
  <c r="C6" i="16"/>
  <c r="B6" i="16"/>
  <c r="L53" i="16"/>
  <c r="K53" i="16"/>
  <c r="J53" i="16"/>
  <c r="C53" i="16"/>
  <c r="B53" i="16"/>
  <c r="L105" i="16"/>
  <c r="K105" i="16"/>
  <c r="J105" i="16"/>
  <c r="C105" i="16"/>
  <c r="B105" i="16"/>
  <c r="L92" i="16"/>
  <c r="K92" i="16"/>
  <c r="J92" i="16"/>
  <c r="C92" i="16"/>
  <c r="B92" i="16"/>
  <c r="L102" i="16"/>
  <c r="K102" i="16"/>
  <c r="J102" i="16"/>
  <c r="C102" i="16"/>
  <c r="B102" i="16"/>
  <c r="L104" i="16"/>
  <c r="K104" i="16"/>
  <c r="J104" i="16"/>
  <c r="C104" i="16"/>
  <c r="B104" i="16"/>
  <c r="L93" i="16"/>
  <c r="K93" i="16"/>
  <c r="J93" i="16"/>
  <c r="C93" i="16"/>
  <c r="B93" i="16"/>
  <c r="L57" i="16"/>
  <c r="K57" i="16"/>
  <c r="J57" i="16"/>
  <c r="C57" i="16"/>
  <c r="B57" i="16"/>
  <c r="L96" i="16"/>
  <c r="K96" i="16"/>
  <c r="J96" i="16"/>
  <c r="C96" i="16"/>
  <c r="B96" i="16"/>
  <c r="L7" i="16"/>
  <c r="K7" i="16"/>
  <c r="J7" i="16"/>
  <c r="C7" i="16"/>
  <c r="B7" i="16"/>
  <c r="L86" i="16"/>
  <c r="K86" i="16"/>
  <c r="J86" i="16"/>
  <c r="C86" i="16"/>
  <c r="B86" i="16"/>
  <c r="L77" i="16"/>
  <c r="K77" i="16"/>
  <c r="J77" i="16"/>
  <c r="C77" i="16"/>
  <c r="B77" i="16"/>
  <c r="L100" i="16"/>
  <c r="K100" i="16"/>
  <c r="J100" i="16"/>
  <c r="C100" i="16"/>
  <c r="B100" i="16"/>
  <c r="L78" i="16"/>
  <c r="K78" i="16"/>
  <c r="J78" i="16"/>
  <c r="C78" i="16"/>
  <c r="B78" i="16"/>
  <c r="L91" i="16"/>
  <c r="K91" i="16"/>
  <c r="J91" i="16"/>
  <c r="C91" i="16"/>
  <c r="B91" i="16"/>
  <c r="L99" i="16"/>
  <c r="K99" i="16"/>
  <c r="J99" i="16"/>
  <c r="C99" i="16"/>
  <c r="B99" i="16"/>
  <c r="L68" i="16"/>
  <c r="K68" i="16"/>
  <c r="J68" i="16"/>
  <c r="C68" i="16"/>
  <c r="B68" i="16"/>
  <c r="L182" i="16"/>
  <c r="K182" i="16"/>
  <c r="J182" i="16"/>
  <c r="C182" i="16"/>
  <c r="B182" i="16"/>
  <c r="L66" i="16"/>
  <c r="K66" i="16"/>
  <c r="J66" i="16"/>
  <c r="C66" i="16"/>
  <c r="B66" i="16"/>
  <c r="L181" i="16"/>
  <c r="K181" i="16"/>
  <c r="J181" i="16"/>
  <c r="C181" i="16"/>
  <c r="B181" i="16"/>
  <c r="L42" i="16"/>
  <c r="K42" i="16"/>
  <c r="J42" i="16"/>
  <c r="C42" i="16"/>
  <c r="B42" i="16"/>
  <c r="L85" i="16"/>
  <c r="K85" i="16"/>
  <c r="J85" i="16"/>
  <c r="C85" i="16"/>
  <c r="B85" i="16"/>
  <c r="L59" i="16"/>
  <c r="K59" i="16"/>
  <c r="J59" i="16"/>
  <c r="C59" i="16"/>
  <c r="B59" i="16"/>
  <c r="L43" i="16"/>
  <c r="K43" i="16"/>
  <c r="J43" i="16"/>
  <c r="C43" i="16"/>
  <c r="B43" i="16"/>
  <c r="L180" i="16"/>
  <c r="K180" i="16"/>
  <c r="J180" i="16"/>
  <c r="C180" i="16"/>
  <c r="B180" i="16"/>
  <c r="L62" i="16"/>
  <c r="K62" i="16"/>
  <c r="J62" i="16"/>
  <c r="C62" i="16"/>
  <c r="B62" i="16"/>
  <c r="L10" i="16"/>
  <c r="K10" i="16"/>
  <c r="J10" i="16"/>
  <c r="C10" i="16"/>
  <c r="B10" i="16"/>
  <c r="L179" i="16"/>
  <c r="K179" i="16"/>
  <c r="J179" i="16"/>
  <c r="C179" i="16"/>
  <c r="B179" i="16"/>
  <c r="L90" i="16"/>
  <c r="K90" i="16"/>
  <c r="J90" i="16"/>
  <c r="C90" i="16"/>
  <c r="B90" i="16"/>
  <c r="L178" i="16"/>
  <c r="K178" i="16"/>
  <c r="J178" i="16"/>
  <c r="C178" i="16"/>
  <c r="B178" i="16"/>
  <c r="L47" i="16"/>
  <c r="K47" i="16"/>
  <c r="J47" i="16"/>
  <c r="C47" i="16"/>
  <c r="B47" i="16"/>
  <c r="L83" i="16"/>
  <c r="K83" i="16"/>
  <c r="J83" i="16"/>
  <c r="C83" i="16"/>
  <c r="B83" i="16"/>
  <c r="L84" i="16"/>
  <c r="K84" i="16"/>
  <c r="J84" i="16"/>
  <c r="C84" i="16"/>
  <c r="B84" i="16"/>
  <c r="L65" i="16"/>
  <c r="K65" i="16"/>
  <c r="J65" i="16"/>
  <c r="C65" i="16"/>
  <c r="B65" i="16"/>
  <c r="L74" i="16"/>
  <c r="K74" i="16"/>
  <c r="J74" i="16"/>
  <c r="C74" i="16"/>
  <c r="B74" i="16"/>
  <c r="L82" i="16"/>
  <c r="K82" i="16"/>
  <c r="J82" i="16"/>
  <c r="C82" i="16"/>
  <c r="B82" i="16"/>
  <c r="L80" i="16"/>
  <c r="K80" i="16"/>
  <c r="J80" i="16"/>
  <c r="C80" i="16"/>
  <c r="B80" i="16"/>
  <c r="L67" i="16"/>
  <c r="K67" i="16"/>
  <c r="J67" i="16"/>
  <c r="C67" i="16"/>
  <c r="B67" i="16"/>
  <c r="L72" i="16"/>
  <c r="K72" i="16"/>
  <c r="J72" i="16"/>
  <c r="C72" i="16"/>
  <c r="B72" i="16"/>
  <c r="L177" i="16"/>
  <c r="K177" i="16"/>
  <c r="J177" i="16"/>
  <c r="C177" i="16"/>
  <c r="B177" i="16"/>
  <c r="L71" i="16"/>
  <c r="K71" i="16"/>
  <c r="J71" i="16"/>
  <c r="C71" i="16"/>
  <c r="B71" i="16"/>
  <c r="L176" i="16"/>
  <c r="K176" i="16"/>
  <c r="J176" i="16"/>
  <c r="C176" i="16"/>
  <c r="B176" i="16"/>
  <c r="L76" i="16"/>
  <c r="K76" i="16"/>
  <c r="J76" i="16"/>
  <c r="C76" i="16"/>
  <c r="B76" i="16"/>
  <c r="L75" i="16"/>
  <c r="K75" i="16"/>
  <c r="J75" i="16"/>
  <c r="C75" i="16"/>
  <c r="B75" i="16"/>
  <c r="L61" i="16"/>
  <c r="K61" i="16"/>
  <c r="J61" i="16"/>
  <c r="C61" i="16"/>
  <c r="B61" i="16"/>
  <c r="L15" i="16"/>
  <c r="K15" i="16"/>
  <c r="J15" i="16"/>
  <c r="C15" i="16"/>
  <c r="B15" i="16"/>
  <c r="L18" i="16"/>
  <c r="K18" i="16"/>
  <c r="J18" i="16"/>
  <c r="C18" i="16"/>
  <c r="B18" i="16"/>
  <c r="L73" i="16"/>
  <c r="K73" i="16"/>
  <c r="J73" i="16"/>
  <c r="C73" i="16"/>
  <c r="B73" i="16"/>
  <c r="L69" i="16"/>
  <c r="K69" i="16"/>
  <c r="J69" i="16"/>
  <c r="C69" i="16"/>
  <c r="B69" i="16"/>
  <c r="L175" i="16"/>
  <c r="K175" i="16"/>
  <c r="J175" i="16"/>
  <c r="C175" i="16"/>
  <c r="B175" i="16"/>
  <c r="L36" i="16"/>
  <c r="K36" i="16"/>
  <c r="J36" i="16"/>
  <c r="C36" i="16"/>
  <c r="B36" i="16"/>
  <c r="L70" i="16"/>
  <c r="K70" i="16"/>
  <c r="J70" i="16"/>
  <c r="C70" i="16"/>
  <c r="B70" i="16"/>
  <c r="L174" i="16"/>
  <c r="K174" i="16"/>
  <c r="J174" i="16"/>
  <c r="C174" i="16"/>
  <c r="B174" i="16"/>
  <c r="L173" i="16"/>
  <c r="K173" i="16"/>
  <c r="J173" i="16"/>
  <c r="C173" i="16"/>
  <c r="B173" i="16"/>
  <c r="L22" i="16"/>
  <c r="K22" i="16"/>
  <c r="J22" i="16"/>
  <c r="C22" i="16"/>
  <c r="B22" i="16"/>
  <c r="L25" i="16"/>
  <c r="K25" i="16"/>
  <c r="J25" i="16"/>
  <c r="C25" i="16"/>
  <c r="B25" i="16"/>
  <c r="L60" i="16"/>
  <c r="K60" i="16"/>
  <c r="J60" i="16"/>
  <c r="C60" i="16"/>
  <c r="B60" i="16"/>
  <c r="L64" i="16"/>
  <c r="K64" i="16"/>
  <c r="J64" i="16"/>
  <c r="C64" i="16"/>
  <c r="B64" i="16"/>
  <c r="L172" i="16"/>
  <c r="K172" i="16"/>
  <c r="J172" i="16"/>
  <c r="C172" i="16"/>
  <c r="B172" i="16"/>
  <c r="L51" i="16"/>
  <c r="K51" i="16"/>
  <c r="J51" i="16"/>
  <c r="C51" i="16"/>
  <c r="B51" i="16"/>
  <c r="L171" i="16"/>
  <c r="K171" i="16"/>
  <c r="J171" i="16"/>
  <c r="C171" i="16"/>
  <c r="B171" i="16"/>
  <c r="L58" i="16"/>
  <c r="K58" i="16"/>
  <c r="J58" i="16"/>
  <c r="C58" i="16"/>
  <c r="B58" i="16"/>
  <c r="L56" i="16"/>
  <c r="K56" i="16"/>
  <c r="J56" i="16"/>
  <c r="C56" i="16"/>
  <c r="B56" i="16"/>
  <c r="L170" i="16"/>
  <c r="K170" i="16"/>
  <c r="J170" i="16"/>
  <c r="C170" i="16"/>
  <c r="B170" i="16"/>
  <c r="L55" i="16"/>
  <c r="K55" i="16"/>
  <c r="J55" i="16"/>
  <c r="C55" i="16"/>
  <c r="B55" i="16"/>
  <c r="L48" i="16"/>
  <c r="K48" i="16"/>
  <c r="J48" i="16"/>
  <c r="C48" i="16"/>
  <c r="B48" i="16"/>
  <c r="L54" i="16"/>
  <c r="K54" i="16"/>
  <c r="J54" i="16"/>
  <c r="C54" i="16"/>
  <c r="B54" i="16"/>
  <c r="L38" i="16"/>
  <c r="K38" i="16"/>
  <c r="J38" i="16"/>
  <c r="C38" i="16"/>
  <c r="B38" i="16"/>
  <c r="L2" i="16"/>
  <c r="K2" i="16"/>
  <c r="J2" i="16"/>
  <c r="C2" i="16"/>
  <c r="B2" i="16"/>
  <c r="L52" i="16"/>
  <c r="K52" i="16"/>
  <c r="J52" i="16"/>
  <c r="C52" i="16"/>
  <c r="B52" i="16"/>
  <c r="L41" i="16"/>
  <c r="K41" i="16"/>
  <c r="J41" i="16"/>
  <c r="C41" i="16"/>
  <c r="B41" i="16"/>
  <c r="L20" i="16"/>
  <c r="K20" i="16"/>
  <c r="J20" i="16"/>
  <c r="C20" i="16"/>
  <c r="B20" i="16"/>
  <c r="L169" i="16"/>
  <c r="K169" i="16"/>
  <c r="J169" i="16"/>
  <c r="C169" i="16"/>
  <c r="B169" i="16"/>
  <c r="L12" i="16"/>
  <c r="K12" i="16"/>
  <c r="J12" i="16"/>
  <c r="C12" i="16"/>
  <c r="B12" i="16"/>
  <c r="L49" i="16"/>
  <c r="K49" i="16"/>
  <c r="J49" i="16"/>
  <c r="C49" i="16"/>
  <c r="B49" i="16"/>
  <c r="L46" i="16"/>
  <c r="K46" i="16"/>
  <c r="J46" i="16"/>
  <c r="C46" i="16"/>
  <c r="B46" i="16"/>
  <c r="L45" i="16"/>
  <c r="K45" i="16"/>
  <c r="J45" i="16"/>
  <c r="C45" i="16"/>
  <c r="B45" i="16"/>
  <c r="L168" i="16"/>
  <c r="K168" i="16"/>
  <c r="J168" i="16"/>
  <c r="C168" i="16"/>
  <c r="B168" i="16"/>
  <c r="L167" i="16"/>
  <c r="K167" i="16"/>
  <c r="J167" i="16"/>
  <c r="C167" i="16"/>
  <c r="B167" i="16"/>
  <c r="L44" i="16"/>
  <c r="K44" i="16"/>
  <c r="J44" i="16"/>
  <c r="C44" i="16"/>
  <c r="B44" i="16"/>
  <c r="L26" i="16"/>
  <c r="K26" i="16"/>
  <c r="J26" i="16"/>
  <c r="C26" i="16"/>
  <c r="B26" i="16"/>
  <c r="L21" i="16"/>
  <c r="K21" i="16"/>
  <c r="J21" i="16"/>
  <c r="C21" i="16"/>
  <c r="B21" i="16"/>
  <c r="L11" i="16"/>
  <c r="K11" i="16"/>
  <c r="J11" i="16"/>
  <c r="C11" i="16"/>
  <c r="B11" i="16"/>
  <c r="L30" i="16"/>
  <c r="K30" i="16"/>
  <c r="J30" i="16"/>
  <c r="C30" i="16"/>
  <c r="B30" i="16"/>
  <c r="L9" i="16"/>
  <c r="K9" i="16"/>
  <c r="J9" i="16"/>
  <c r="C9" i="16"/>
  <c r="B9" i="16"/>
  <c r="L166" i="16"/>
  <c r="K166" i="16"/>
  <c r="J166" i="16"/>
  <c r="C166" i="16"/>
  <c r="B166" i="16"/>
  <c r="L40" i="16"/>
  <c r="K40" i="16"/>
  <c r="J40" i="16"/>
  <c r="C40" i="16"/>
  <c r="B40" i="16"/>
  <c r="L37" i="16"/>
  <c r="K37" i="16"/>
  <c r="J37" i="16"/>
  <c r="C37" i="16"/>
  <c r="B37" i="16"/>
  <c r="L39" i="16"/>
  <c r="K39" i="16"/>
  <c r="J39" i="16"/>
  <c r="C39" i="16"/>
  <c r="B39" i="16"/>
  <c r="L17" i="16"/>
  <c r="K17" i="16"/>
  <c r="J17" i="16"/>
  <c r="C17" i="16"/>
  <c r="B17" i="16"/>
  <c r="L165" i="16"/>
  <c r="K165" i="16"/>
  <c r="J165" i="16"/>
  <c r="C165" i="16"/>
  <c r="B165" i="16"/>
  <c r="L31" i="16"/>
  <c r="K31" i="16"/>
  <c r="J31" i="16"/>
  <c r="C31" i="16"/>
  <c r="B31" i="16"/>
  <c r="L28" i="16"/>
  <c r="K28" i="16"/>
  <c r="J28" i="16"/>
  <c r="C28" i="16"/>
  <c r="B28" i="16"/>
  <c r="L24" i="16"/>
  <c r="K24" i="16"/>
  <c r="J24" i="16"/>
  <c r="C24" i="16"/>
  <c r="B24" i="16"/>
  <c r="L35" i="16"/>
  <c r="K35" i="16"/>
  <c r="J35" i="16"/>
  <c r="C35" i="16"/>
  <c r="B35" i="16"/>
  <c r="L32" i="16"/>
  <c r="K32" i="16"/>
  <c r="J32" i="16"/>
  <c r="C32" i="16"/>
  <c r="B32" i="16"/>
  <c r="L29" i="16"/>
  <c r="K29" i="16"/>
  <c r="J29" i="16"/>
  <c r="C29" i="16"/>
  <c r="B29" i="16"/>
  <c r="L13" i="16"/>
  <c r="K13" i="16"/>
  <c r="J13" i="16"/>
  <c r="C13" i="16"/>
  <c r="B13" i="16"/>
  <c r="L34" i="16"/>
  <c r="K34" i="16"/>
  <c r="J34" i="16"/>
  <c r="C34" i="16"/>
  <c r="B34" i="16"/>
  <c r="L33" i="16"/>
  <c r="K33" i="16"/>
  <c r="J33" i="16"/>
  <c r="C33" i="16"/>
  <c r="B33" i="16"/>
  <c r="L27" i="16"/>
  <c r="K27" i="16"/>
  <c r="J27" i="16"/>
  <c r="C27" i="16"/>
  <c r="B27" i="16"/>
  <c r="L16" i="16"/>
  <c r="K16" i="16"/>
  <c r="J16" i="16"/>
  <c r="C16" i="16"/>
  <c r="B16" i="16"/>
  <c r="L23" i="16"/>
  <c r="K23" i="16"/>
  <c r="J23" i="16"/>
  <c r="C23" i="16"/>
  <c r="B23" i="16"/>
  <c r="L19" i="16"/>
  <c r="K19" i="16"/>
  <c r="J19" i="16"/>
  <c r="C19" i="16"/>
  <c r="B19" i="16"/>
  <c r="E2" i="10"/>
  <c r="D2" i="10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J2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65DB04-5EA4-4599-88B1-A770341D14AA}" keepAlive="1" name="ModelConnection_ExternalData_1" description="Data Model" type="5" refreshedVersion="8" minRefreshableVersion="5" saveData="1">
    <dbPr connection="Data Model Connection" command="DRILLTHROUGH MAXROWS 1000 SELECT FROM [Model] WHERE (([Measures].[Count of CABALLO],[Range].[Categoría].&amp;[Otras / No especificada])) RETURN [$Range].[FECHA],[$Range].[día],[$Range].[Mes],[$Range].[Date],[$Range].[ESTABLO],[$Range].[CABALLO],[$Range].[RAZON],[$Range].[Categoría],[$Range].[Tipo de fractura],[$Range].[Fatal injury],[$Range].[Date (Month)],[$Range].[Date (Year)],[$Range].[Date (Quarter)],[$Range].[Date (Month Index)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F921F62-0DAA-45FC-A977-34989F34A45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C8FE4A8D-AB4B-41B9-9E13-0AA438211D30}" name="WorksheetConnection_Fatal Injury AllData!$A$1:$O$554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FatalInjuryAllDataA1O5541"/>
        </x15:connection>
      </ext>
    </extLst>
  </connection>
  <connection id="4" xr16:uid="{3456E370-4BE8-4F13-8410-23B863D7241A}" name="WorksheetConnection_Toda la data!$A$1:$J$447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odaladataA1J447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Range].[Categoría].&amp;[Fractura ósea]}"/>
    <s v="{[Range 2].[Horas transcurridas].&amp;[0],[Range 2].[Horas transcurridas].&amp;[24],[Range 2].[Horas transcurridas].&amp;[48],[Range 2].[Horas transcurridas].&amp;[72]}"/>
    <s v="{[Range 2].[Death Date (Year)].&amp;[2026]}"/>
    <s v="{[Range 2].[Registrado/Compitió?].&amp;[Si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<sst xmlns="http://schemas.openxmlformats.org/spreadsheetml/2006/main" count="15729" uniqueCount="2308">
  <si>
    <t xml:space="preserve">FECHA </t>
  </si>
  <si>
    <t>ESTABLO</t>
  </si>
  <si>
    <t xml:space="preserve">CABALLO </t>
  </si>
  <si>
    <t xml:space="preserve">RAZON </t>
  </si>
  <si>
    <t>HUMACAO</t>
  </si>
  <si>
    <t>TORRES PAGAN</t>
  </si>
  <si>
    <t>CRUZ FAMILY</t>
  </si>
  <si>
    <t>AQUINO</t>
  </si>
  <si>
    <t>FRACTURA RODILLA IZQUIERDA</t>
  </si>
  <si>
    <t>JR</t>
  </si>
  <si>
    <t>RAMZ</t>
  </si>
  <si>
    <t>SONATA</t>
  </si>
  <si>
    <t>CASAN</t>
  </si>
  <si>
    <t>TRIPLE SIETE</t>
  </si>
  <si>
    <t>FRACTURA AMBAS RODILLAS</t>
  </si>
  <si>
    <t>JM</t>
  </si>
  <si>
    <t>JAC</t>
  </si>
  <si>
    <t>LA 010</t>
  </si>
  <si>
    <t>VIRGEN DEL ROSARIO</t>
  </si>
  <si>
    <t>ARTRITIS SEVERA RODILLA IZQUIERDA</t>
  </si>
  <si>
    <t>MANUEL GOMEZ</t>
  </si>
  <si>
    <t>DC</t>
  </si>
  <si>
    <t>EURO</t>
  </si>
  <si>
    <t>Fractura sesamoide derecho delantero</t>
  </si>
  <si>
    <t>MARZO</t>
  </si>
  <si>
    <t>ENERO</t>
  </si>
  <si>
    <t>RNT</t>
  </si>
  <si>
    <t>N/A</t>
  </si>
  <si>
    <t>QUINTANA</t>
  </si>
  <si>
    <t>LLAVONA ANTONIO</t>
  </si>
  <si>
    <t>LUZ EMILIA</t>
  </si>
  <si>
    <t>R RACING</t>
  </si>
  <si>
    <t>LEGACY</t>
  </si>
  <si>
    <t>ABRIL</t>
  </si>
  <si>
    <t>V.G.O.</t>
  </si>
  <si>
    <t>RAFANIL</t>
  </si>
  <si>
    <t>CUMBA'S</t>
  </si>
  <si>
    <t>TORRES PAGÁN</t>
  </si>
  <si>
    <t>SERRANO</t>
  </si>
  <si>
    <t>RIC</t>
  </si>
  <si>
    <t>STUD JUNIOR V</t>
  </si>
  <si>
    <t>MAYO</t>
  </si>
  <si>
    <t>HCDA BASILISA</t>
  </si>
  <si>
    <t>MATTA</t>
  </si>
  <si>
    <t>CARLOS OYOLA</t>
  </si>
  <si>
    <t>DESAFIO</t>
  </si>
  <si>
    <t>LAMINITIS</t>
  </si>
  <si>
    <t>MALETERO</t>
  </si>
  <si>
    <t>SKULL</t>
  </si>
  <si>
    <t>COLICO</t>
  </si>
  <si>
    <t>CONDYLAR FRACTURE</t>
  </si>
  <si>
    <t>HG</t>
  </si>
  <si>
    <t>CARMEN ANITA</t>
  </si>
  <si>
    <t>CUTTY</t>
  </si>
  <si>
    <t>Fractura rodilla izquierda</t>
  </si>
  <si>
    <t>MRJP</t>
  </si>
  <si>
    <t>Bilateral front limb tendinitis</t>
  </si>
  <si>
    <t>Laminitis</t>
  </si>
  <si>
    <t>JRP</t>
  </si>
  <si>
    <t>EVERY DAY CAPI</t>
  </si>
  <si>
    <t>Fractura caña izquierda delantera</t>
  </si>
  <si>
    <t>JI DIAMOND</t>
  </si>
  <si>
    <t>ALAMO</t>
  </si>
  <si>
    <t>LIDIEL</t>
  </si>
  <si>
    <t>LA 31</t>
  </si>
  <si>
    <t>JUNIO</t>
  </si>
  <si>
    <t>A REYES</t>
  </si>
  <si>
    <t>ORDEP</t>
  </si>
  <si>
    <t>SANCHEZ</t>
  </si>
  <si>
    <t>CTA</t>
  </si>
  <si>
    <t>JULIO</t>
  </si>
  <si>
    <t>VAGABUNDO</t>
  </si>
  <si>
    <t>SANTA RITA</t>
  </si>
  <si>
    <t>VILLA REAL</t>
  </si>
  <si>
    <t>NINIMEL</t>
  </si>
  <si>
    <t>SHARK</t>
  </si>
  <si>
    <t>JAY'S</t>
  </si>
  <si>
    <t>TWO J'S</t>
  </si>
  <si>
    <t>Fractura rodilla derecha</t>
  </si>
  <si>
    <t>NARDI &amp; DELIA</t>
  </si>
  <si>
    <t>SILENT</t>
  </si>
  <si>
    <t>DENIAN</t>
  </si>
  <si>
    <t>AGOSTO</t>
  </si>
  <si>
    <t>ARECIBO</t>
  </si>
  <si>
    <t>Multiples fracturas rodilla derecha</t>
  </si>
  <si>
    <t>ANALIJAN</t>
  </si>
  <si>
    <t>RMV</t>
  </si>
  <si>
    <t>Cólico</t>
  </si>
  <si>
    <t>UP</t>
  </si>
  <si>
    <t>BELLEZA</t>
  </si>
  <si>
    <t>SEPTIEMBRE</t>
  </si>
  <si>
    <t>Fractura sesamoide menudillo izquierdo delantero</t>
  </si>
  <si>
    <t>CINCO HERMANOS</t>
  </si>
  <si>
    <t>MAJESTUOSO</t>
  </si>
  <si>
    <t>OCTUBRE</t>
  </si>
  <si>
    <t xml:space="preserve">Fractura rodilla derecha </t>
  </si>
  <si>
    <t>RM</t>
  </si>
  <si>
    <t>THIAGO &amp; YASIL</t>
  </si>
  <si>
    <t>JBK</t>
  </si>
  <si>
    <t>ERV ENTERPRISES</t>
  </si>
  <si>
    <t>Fractura en ambas rodillas.</t>
  </si>
  <si>
    <t>Fractura rodilla izquierda.</t>
  </si>
  <si>
    <t>PRECISE STAR</t>
  </si>
  <si>
    <t>Fractura sesamoide derecho delantero.</t>
  </si>
  <si>
    <t xml:space="preserve">RAMOS </t>
  </si>
  <si>
    <t>MOISES</t>
  </si>
  <si>
    <t>SACO E SAL</t>
  </si>
  <si>
    <t>COMERIO</t>
  </si>
  <si>
    <t>CHAD</t>
  </si>
  <si>
    <t>EDDY WILLY</t>
  </si>
  <si>
    <t>AMBERT L</t>
  </si>
  <si>
    <t>MOROVIS</t>
  </si>
  <si>
    <t xml:space="preserve">FRACTURA RODILLA DERECHA </t>
  </si>
  <si>
    <t>NATCHA</t>
  </si>
  <si>
    <t>ARTRITIS SEVERA</t>
  </si>
  <si>
    <t>MICROCHIP</t>
  </si>
  <si>
    <t>GARCIA</t>
  </si>
  <si>
    <t>LA PATRONA G</t>
  </si>
  <si>
    <r>
      <t xml:space="preserve">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EUTHANASIAS 2024</t>
    </r>
  </si>
  <si>
    <t>2-ENERO-2024</t>
  </si>
  <si>
    <t>3-ENERO-2024</t>
  </si>
  <si>
    <t>PROSPECT PROJECT</t>
  </si>
  <si>
    <t>END STAGE ARTHRITIS RF FETLOCK</t>
  </si>
  <si>
    <t>4-ENERO-2024</t>
  </si>
  <si>
    <t>GCA</t>
  </si>
  <si>
    <t>CONVINCENTE</t>
  </si>
  <si>
    <t>5-ENERO-2024</t>
  </si>
  <si>
    <t>LANCARA</t>
  </si>
  <si>
    <t>BEEMERS BOY</t>
  </si>
  <si>
    <t>FANTASTIC 4</t>
  </si>
  <si>
    <t>MENTIROSO</t>
  </si>
  <si>
    <t>SEVERE DJD BOTH ANKLES / SEVERE LIGAMENT INJURY WITH BROKEN SPLINT BONES</t>
  </si>
  <si>
    <t>MARQUEZ</t>
  </si>
  <si>
    <t>PEQUENO ADRIAN</t>
  </si>
  <si>
    <t>FRACTURA DE LA CANA IZQUIERDA DELANTERA</t>
  </si>
  <si>
    <t>11-ENERO-2024</t>
  </si>
  <si>
    <t>GREY HEART</t>
  </si>
  <si>
    <t>COMMINUTED SLAB FRACTURE OF RIGHT CIII</t>
  </si>
  <si>
    <t>7-ENERO-2024</t>
  </si>
  <si>
    <t>8-ENERO-2024</t>
  </si>
  <si>
    <t>MAJESTUOSO (1,000)</t>
  </si>
  <si>
    <t>VALECAT</t>
  </si>
  <si>
    <t>12-ENERO-2024</t>
  </si>
  <si>
    <t>ERV</t>
  </si>
  <si>
    <t>MILAGRITO</t>
  </si>
  <si>
    <t>SEPTIC JOINT RIGHT INTERCARPAL</t>
  </si>
  <si>
    <t>CONCEPTUS</t>
  </si>
  <si>
    <t>13-ENERO-2024</t>
  </si>
  <si>
    <t>KUMANDRA</t>
  </si>
  <si>
    <t>TENDONITIS SEVERA IZQUIERDA DELANTERA</t>
  </si>
  <si>
    <t>ORGULLOSO</t>
  </si>
  <si>
    <t>WILLIAM ALVEIRO</t>
  </si>
  <si>
    <t>BANDIDO</t>
  </si>
  <si>
    <t>NO TIENE</t>
  </si>
  <si>
    <t>14-ENERO-2024</t>
  </si>
  <si>
    <t>ERA RACING</t>
  </si>
  <si>
    <t>MRS KITCHEN</t>
  </si>
  <si>
    <t>FRACTURA HOMBRO IZQUIERDO</t>
  </si>
  <si>
    <t>15-ENERO-2024</t>
  </si>
  <si>
    <t>THREE KINGS</t>
  </si>
  <si>
    <t>ST. ANDRES</t>
  </si>
  <si>
    <t>16-ENERO-2024</t>
  </si>
  <si>
    <t xml:space="preserve">L &amp; D THOROUGHBRED </t>
  </si>
  <si>
    <t xml:space="preserve">JAZHARA </t>
  </si>
  <si>
    <t xml:space="preserve">DIXIE CANDY </t>
  </si>
  <si>
    <t>FETLOCK BREAKDOWN INJURY BOTH HIND LEGS.</t>
  </si>
  <si>
    <t>19-ENERO-2024</t>
  </si>
  <si>
    <t xml:space="preserve">EL DURAKO </t>
  </si>
  <si>
    <t xml:space="preserve">EL BUFFALO </t>
  </si>
  <si>
    <t xml:space="preserve">KEANCA </t>
  </si>
  <si>
    <t xml:space="preserve">MY MAGICAL MAN </t>
  </si>
  <si>
    <t>Artritis severa menudillo izquierdo delantero</t>
  </si>
  <si>
    <t>20-ENERO-2024</t>
  </si>
  <si>
    <t xml:space="preserve">ALEXIS CARTAGENA </t>
  </si>
  <si>
    <t xml:space="preserve">NEPTUNO </t>
  </si>
  <si>
    <t>N/A (PRIVADO)</t>
  </si>
  <si>
    <t xml:space="preserve">Colico </t>
  </si>
  <si>
    <t>22-ENERO-2024</t>
  </si>
  <si>
    <t xml:space="preserve">SML </t>
  </si>
  <si>
    <t xml:space="preserve">MY WAY OR ELSE </t>
  </si>
  <si>
    <t>Artritis septica (menudillo derecho delantero)</t>
  </si>
  <si>
    <t xml:space="preserve">SJ FARM </t>
  </si>
  <si>
    <t xml:space="preserve">NOICATTIRO </t>
  </si>
  <si>
    <t>Right front ankle fracture sesamoid. Laminitis of both hands can't walk or train.</t>
  </si>
  <si>
    <t xml:space="preserve">SACO E SAL </t>
  </si>
  <si>
    <t xml:space="preserve">REGINA ISABEL </t>
  </si>
  <si>
    <t>26-ENERO-2024</t>
  </si>
  <si>
    <t xml:space="preserve">BROTHERS </t>
  </si>
  <si>
    <t xml:space="preserve">PRESENTADOR </t>
  </si>
  <si>
    <t>Laminitis cronica.</t>
  </si>
  <si>
    <t>31-ENERO-2024</t>
  </si>
  <si>
    <t>JF</t>
  </si>
  <si>
    <t>MISTER PILOT</t>
  </si>
  <si>
    <t>Fractura Húmero</t>
  </si>
  <si>
    <t>2-FEBRERO-2024</t>
  </si>
  <si>
    <t>N Y N</t>
  </si>
  <si>
    <t>UNIFIED CONQUEST</t>
  </si>
  <si>
    <t>HERIDA PARTE POSTERIOR DEL MENUDILLO, CUARTILLA IZQUIERDA DELANTERA INCLUYENDO LA VAINA DEL TENDON</t>
  </si>
  <si>
    <t>9-FEBRERO-2024</t>
  </si>
  <si>
    <t>EL MONITOR</t>
  </si>
  <si>
    <t>5-FEBRERO-2024</t>
  </si>
  <si>
    <t>ANGEL CALDERON</t>
  </si>
  <si>
    <t>CYBERICA</t>
  </si>
  <si>
    <t>ARTRITIS SEVERA EN MENUDILLO DELANTERO.</t>
  </si>
  <si>
    <t>7-FEBRERO-2024</t>
  </si>
  <si>
    <t>ROCHE KALIL</t>
  </si>
  <si>
    <t>ERNESTO M</t>
  </si>
  <si>
    <t>0A01787568</t>
  </si>
  <si>
    <t>COLICO &amp; POOR BODY CONDITION.</t>
  </si>
  <si>
    <t>YORAM</t>
  </si>
  <si>
    <t>MINERA</t>
  </si>
  <si>
    <t>ARTRITIS SEVERA DERECHO DELANTERO</t>
  </si>
  <si>
    <t>8-FEBRERO-2024</t>
  </si>
  <si>
    <t>INDIAN SENSE</t>
  </si>
  <si>
    <t>12-FEBRERO-2024</t>
  </si>
  <si>
    <t>V.G.O</t>
  </si>
  <si>
    <t>IAN P.R.</t>
  </si>
  <si>
    <t>13-FEBRERO-2024</t>
  </si>
  <si>
    <t>CENTRAL</t>
  </si>
  <si>
    <t>EL TIO BOLO</t>
  </si>
  <si>
    <t>DIVINO NINO</t>
  </si>
  <si>
    <t>EL MAPA</t>
  </si>
  <si>
    <t>TENDON BREAKDOWN RF LEG</t>
  </si>
  <si>
    <t>SPEEDY D</t>
  </si>
  <si>
    <t>FRACTURA SESAMOIDE PATA DERECHA DELANTERA</t>
  </si>
  <si>
    <t>CLEMENTE BORICUA</t>
  </si>
  <si>
    <t>14-FEBRERO-2024</t>
  </si>
  <si>
    <t>RECOMPENSADO</t>
  </si>
  <si>
    <t>Artritis severa rodilla derecha</t>
  </si>
  <si>
    <t>16-FEBRERO-2024</t>
  </si>
  <si>
    <t>EL DICTADOR</t>
  </si>
  <si>
    <t>Aggressive eye cancer</t>
  </si>
  <si>
    <t>I'M YOUR LUV</t>
  </si>
  <si>
    <t>19-FEBRERO-2024</t>
  </si>
  <si>
    <t>CARTILLERO</t>
  </si>
  <si>
    <t>Fractura rodillas</t>
  </si>
  <si>
    <t>DRA. ANA CAROLINA</t>
  </si>
  <si>
    <t>Tendón desgarrado pata izquierda trasera/ Laminitis pata derecha trasera</t>
  </si>
  <si>
    <t>22-FEBRERO-2024</t>
  </si>
  <si>
    <t>R &amp; R</t>
  </si>
  <si>
    <t>RAFA'S DREAM</t>
  </si>
  <si>
    <t>23-FEBRERO-2024</t>
  </si>
  <si>
    <t>ARTIFICAL INTELL</t>
  </si>
  <si>
    <t>Referido Drs. PRHOA. LF Front severe DID Knee and fetlock smooth rest. Cannot train.</t>
  </si>
  <si>
    <t>24-FEBRERO-2024</t>
  </si>
  <si>
    <t>QUALITY STRIKE</t>
  </si>
  <si>
    <t>Referido Drs. PRHOA. R Carpus.</t>
  </si>
  <si>
    <t>E.R.V. ENTERPISES</t>
  </si>
  <si>
    <t>FARO DE LUZ</t>
  </si>
  <si>
    <t>27-FEBRERO-2024</t>
  </si>
  <si>
    <t>ASANA 2022</t>
  </si>
  <si>
    <t>Referido Drs. PRHOA. RF ankle fracture. Big piece of sesamoid with ligament.</t>
  </si>
  <si>
    <t>4-MARZO-2024</t>
  </si>
  <si>
    <t>VALENTIN</t>
  </si>
  <si>
    <t>DAMA RADIANTE</t>
  </si>
  <si>
    <t>Fractura rodilla derecha.</t>
  </si>
  <si>
    <t>1-MARZO-2024</t>
  </si>
  <si>
    <t>MARIO</t>
  </si>
  <si>
    <t>Referido Drs. PRHOA. Coyuntura infectada rodilla izquierda.</t>
  </si>
  <si>
    <t>6-MARZO-2024</t>
  </si>
  <si>
    <t>7-MARZO-2024</t>
  </si>
  <si>
    <t>ANTONELLA B</t>
  </si>
  <si>
    <t>DON PEDRO HG</t>
  </si>
  <si>
    <t>Referido Drs. PRHOA. Fractura sesamoide izquierdo delantero.</t>
  </si>
  <si>
    <t>Referido Drs. PRHOA. Cólico.</t>
  </si>
  <si>
    <t>PURE SPEED</t>
  </si>
  <si>
    <t>MR. CORONEL</t>
  </si>
  <si>
    <t>Tendinitis crónica.</t>
  </si>
  <si>
    <t>8-MARZO-2024</t>
  </si>
  <si>
    <t>LOS LLANOS</t>
  </si>
  <si>
    <t>ADVERSIDAD</t>
  </si>
  <si>
    <t>Degloving injury RH cannon bone.</t>
  </si>
  <si>
    <t>9-MARZO-2024</t>
  </si>
  <si>
    <t>JACKSON</t>
  </si>
  <si>
    <t>JOHNNY ON THE SPOT</t>
  </si>
  <si>
    <t>Fractura catastrófica caña derecha delantera.</t>
  </si>
  <si>
    <t>Fractura hombro izquierdo</t>
  </si>
  <si>
    <t>CHACORIN</t>
  </si>
  <si>
    <t>DANSAI</t>
  </si>
  <si>
    <t>AMURALLADA</t>
  </si>
  <si>
    <t>Head Trauma</t>
  </si>
  <si>
    <t>11-MARZO-2024</t>
  </si>
  <si>
    <t>MIGHTY MISCHIEF</t>
  </si>
  <si>
    <t>Severe Laminitis</t>
  </si>
  <si>
    <t>12-MARZO-2024</t>
  </si>
  <si>
    <t>EL GRAN SEBAS</t>
  </si>
  <si>
    <t>Right Knee Slab Fracture</t>
  </si>
  <si>
    <t>13-MARZO-2024</t>
  </si>
  <si>
    <t>EL TOPO</t>
  </si>
  <si>
    <t>Breakdown injury LF (menudillo izquierdo delantero)</t>
  </si>
  <si>
    <t>15-MARZO-2024</t>
  </si>
  <si>
    <t>LADY ALEXANDRIA</t>
  </si>
  <si>
    <t>Dx Drs. PRHOA. Severe laminitis.</t>
  </si>
  <si>
    <t>16-MARZO-2024</t>
  </si>
  <si>
    <t>BULLS FARM</t>
  </si>
  <si>
    <t>DREAMY</t>
  </si>
  <si>
    <t>20-MARZO-2024</t>
  </si>
  <si>
    <t>PRISIONERA</t>
  </si>
  <si>
    <t>Fractura caña izquierda delantera. Dueño rehusó tratamiento.</t>
  </si>
  <si>
    <t>27-MARZO-2024</t>
  </si>
  <si>
    <t>GRC</t>
  </si>
  <si>
    <t>WATER WAIKA</t>
  </si>
  <si>
    <t>28-MARZO-2024</t>
  </si>
  <si>
    <t>HOLIS BRENDIS</t>
  </si>
  <si>
    <t>Fractura caña izquierda delantera.</t>
  </si>
  <si>
    <t>1-ABRIL-2024</t>
  </si>
  <si>
    <t>HACIENDA DON KIKE</t>
  </si>
  <si>
    <t>STRIKE LIGHT</t>
  </si>
  <si>
    <t>Fractura rodilla derecha (slab fracture of C3)</t>
  </si>
  <si>
    <t>2-ABRIL-2024</t>
  </si>
  <si>
    <t>EL HERRERO</t>
  </si>
  <si>
    <t>OUTFORARIDE</t>
  </si>
  <si>
    <t>7E0127568</t>
  </si>
  <si>
    <t>Fractura y artritis de rodilla izquierda</t>
  </si>
  <si>
    <t>EL BRAVO</t>
  </si>
  <si>
    <t>J.A.C.</t>
  </si>
  <si>
    <t>NIGHT PRINCESS 2022</t>
  </si>
  <si>
    <t>Cólico severo (referido por Dr. Armand PRHOA)</t>
  </si>
  <si>
    <t>UTUADO</t>
  </si>
  <si>
    <t>TENTADOR</t>
  </si>
  <si>
    <t>Fractura sesaomide y artritis menudillo derecho delantero</t>
  </si>
  <si>
    <t>Cólico (Nephrosplenic entrapment/Referido Dr. Armand PRHOA)</t>
  </si>
  <si>
    <t>INCLUDE ME</t>
  </si>
  <si>
    <t>5-ABRIL-2024</t>
  </si>
  <si>
    <t>ALEGRIA ALEGRIA</t>
  </si>
  <si>
    <t>Múltiples fracturas rodillas + menudillos delanteros</t>
  </si>
  <si>
    <t>15-ABRIL-2024</t>
  </si>
  <si>
    <t>EMPRENDEDOR</t>
  </si>
  <si>
    <t>19-ABRIL-2024</t>
  </si>
  <si>
    <t>MATEO IGNACIO</t>
  </si>
  <si>
    <t>MR. ZACH</t>
  </si>
  <si>
    <t>20-ABRIL-2024</t>
  </si>
  <si>
    <t>JOSE LUIS</t>
  </si>
  <si>
    <t>SR. EMMANUELLI</t>
  </si>
  <si>
    <t>Chronic tendinitis (both front limbs)</t>
  </si>
  <si>
    <t>23-ABRIL-2024</t>
  </si>
  <si>
    <t>POKER COCO</t>
  </si>
  <si>
    <t>Chronic flexor tendinitis L front/R Carpal Fracture</t>
  </si>
  <si>
    <t>26-ABRIL-2024</t>
  </si>
  <si>
    <t>ORO NEGRO</t>
  </si>
  <si>
    <t>Fractura sesamoide izquierdo delantero y rodilla derecha</t>
  </si>
  <si>
    <t>29-ABRIL-2024</t>
  </si>
  <si>
    <t>BIG RINNIE</t>
  </si>
  <si>
    <t>27-ABRIL-2024</t>
  </si>
  <si>
    <t>HARLAN'S WAR</t>
  </si>
  <si>
    <t>Fractura sesamoide ambas patas delanteras durante la 3ra carrera. PRHOA.</t>
  </si>
  <si>
    <t>1-MAYO-2024</t>
  </si>
  <si>
    <t>ARGUMENTO</t>
  </si>
  <si>
    <t>Pleuroneumonía. Referido Drs PRHOA.</t>
  </si>
  <si>
    <t>LA CAMPIÑA</t>
  </si>
  <si>
    <t>RAIZ</t>
  </si>
  <si>
    <t>Fractura del húmero derecho. Accidente en la pista.</t>
  </si>
  <si>
    <t>VIDA REAL</t>
  </si>
  <si>
    <t>THE COACH</t>
  </si>
  <si>
    <t>Fractura y artritis rodilla derecha derecha. Referido Drs PRHOA.</t>
  </si>
  <si>
    <t>3-MAYO-2024</t>
  </si>
  <si>
    <t>LOUISIANA</t>
  </si>
  <si>
    <t>COLISEO</t>
  </si>
  <si>
    <t>Tendinitis crónica en ambas patas delanteras.</t>
  </si>
  <si>
    <t>4-MAYO-2024</t>
  </si>
  <si>
    <t>VALE-MAR</t>
  </si>
  <si>
    <t>TABARDILLO</t>
  </si>
  <si>
    <t>Breakdown injury LF leg with tissue necrosy. Referido Dr. García Blanco.</t>
  </si>
  <si>
    <t>6-MAYO-2024</t>
  </si>
  <si>
    <t>VUELVE RAY Q</t>
  </si>
  <si>
    <t>LF dorsal cortical MCIII fracture. Referido Drs. PRHOA.</t>
  </si>
  <si>
    <t>DULCE MELODIA</t>
  </si>
  <si>
    <t>Laminitis casco derecho/ Fractura rodilla derecha.</t>
  </si>
  <si>
    <t>AJ DAVILA</t>
  </si>
  <si>
    <t>JUVENILIA</t>
  </si>
  <si>
    <t>Artritis y coyuntura séptica (corvejón derecho)</t>
  </si>
  <si>
    <t>7-MAYO-2024</t>
  </si>
  <si>
    <t>DREAM LEAPER</t>
  </si>
  <si>
    <t>Fractura ambas cañas delanteras</t>
  </si>
  <si>
    <t>Artritis rodilla derecha</t>
  </si>
  <si>
    <t>MISS RIOJA</t>
  </si>
  <si>
    <t>10-MAYO-2024</t>
  </si>
  <si>
    <t>FRANCHELY</t>
  </si>
  <si>
    <t>PROTOTIPO</t>
  </si>
  <si>
    <t>Breakdown injury (base sesamoid fracture).</t>
  </si>
  <si>
    <t>MAN ICE</t>
  </si>
  <si>
    <t>Fractura sesamoide pata izquierda delantera.</t>
  </si>
  <si>
    <t>6-ABRIL-2024</t>
  </si>
  <si>
    <t>NE</t>
  </si>
  <si>
    <t>CHOCO FACTOR</t>
  </si>
  <si>
    <t>RF Breakdown Injury. (PRHOA)</t>
  </si>
  <si>
    <t>11-MAYO-2024</t>
  </si>
  <si>
    <t>FC</t>
  </si>
  <si>
    <t>CLEVER ALLIANCE</t>
  </si>
  <si>
    <t>GUILLERMO BERRIOS</t>
  </si>
  <si>
    <t>MY FAVORITE STAR</t>
  </si>
  <si>
    <t>Múltiples fracturas; DJD severo después de cirugía. No pudo terminar carrera. Referido Drs. PRHOA.</t>
  </si>
  <si>
    <t>REAL STAR</t>
  </si>
  <si>
    <t>HATCHET JACK</t>
  </si>
  <si>
    <t>Breakdown injury LF + bilateral sesamoid fractures.</t>
  </si>
  <si>
    <t>15-MAYO-2024</t>
  </si>
  <si>
    <t>MI SUEÑO</t>
  </si>
  <si>
    <t>MI QUERIDA FLACA</t>
  </si>
  <si>
    <t>Multiple chip fractures intercarpal joint, severe DJD, 4/5 lameness, infected accesory carpal area. Referido Drs. PRHOA.</t>
  </si>
  <si>
    <t>SURF SPA</t>
  </si>
  <si>
    <t>17-MAYO-2024</t>
  </si>
  <si>
    <t>MI FASCINACION</t>
  </si>
  <si>
    <t>Sesamoide medial derecho delantero</t>
  </si>
  <si>
    <t>DON MARTIN DE LEON</t>
  </si>
  <si>
    <t>ALUMINIO</t>
  </si>
  <si>
    <t>Laminitis (all four limbs)</t>
  </si>
  <si>
    <t>20-MAYO-2024</t>
  </si>
  <si>
    <t>D'BELEN</t>
  </si>
  <si>
    <t>LOVE IN PARADISE</t>
  </si>
  <si>
    <t>RF Chronic tendinitis</t>
  </si>
  <si>
    <t>PROMETEDOR</t>
  </si>
  <si>
    <t>Severe laminitis both front feet. Referido Drs. PRHOA.</t>
  </si>
  <si>
    <t>CREADORA DE SUEÑOS</t>
  </si>
  <si>
    <t>Rodilla derecha + caña derecha fracturada. Didn't finish race (2nd). PRHOA.</t>
  </si>
  <si>
    <t>27-MAYO-2024</t>
  </si>
  <si>
    <t>SECRET</t>
  </si>
  <si>
    <t>CHILD MEMORIES</t>
  </si>
  <si>
    <t>Posible lesión de meniscos y/o ligamentos cruzados de stifle izquierdo. Laminitis/desprendimiento del casco derecho trasero.</t>
  </si>
  <si>
    <t>LA SUPERCHIKA</t>
  </si>
  <si>
    <t>Múltiples fracturas en ambas rodillas</t>
  </si>
  <si>
    <t>THIRSTY PRINCESS</t>
  </si>
  <si>
    <t>Cojera crónica pata izquierda trasera (sin causa determinada).</t>
  </si>
  <si>
    <t>22-MAYO-2024</t>
  </si>
  <si>
    <t>WILLIE</t>
  </si>
  <si>
    <t>STAR OF THE GOLD</t>
  </si>
  <si>
    <t>Referido Drs. PRHOA. RF SDF Tendonitis, RF Fetlock hyperextension.</t>
  </si>
  <si>
    <t>29-MAYO-2024</t>
  </si>
  <si>
    <t>FROLIC MAN</t>
  </si>
  <si>
    <t>Artritis menudillos delanteros</t>
  </si>
  <si>
    <t>GRACIAN</t>
  </si>
  <si>
    <t>Fractura menudillo izquierdo delantero</t>
  </si>
  <si>
    <t>MADECO</t>
  </si>
  <si>
    <t>MADECO VALUE</t>
  </si>
  <si>
    <t>Referido Drs PRHOA. Right front fracture of C3.</t>
  </si>
  <si>
    <t>31-MAYO-2024</t>
  </si>
  <si>
    <t>VISIONARIO</t>
  </si>
  <si>
    <t>JJS</t>
  </si>
  <si>
    <t>SUMMER GHOST 2021</t>
  </si>
  <si>
    <t>Subchondral bone cyst LF MC III + DJD</t>
  </si>
  <si>
    <t>C3 fracture. Referido PRHOA.</t>
  </si>
  <si>
    <t>3-JUNIO-2024</t>
  </si>
  <si>
    <t>I'M INTO YOU</t>
  </si>
  <si>
    <t>10-JUNIO-2024</t>
  </si>
  <si>
    <t>LA CHICA DE LA FINCA</t>
  </si>
  <si>
    <t>R Knee huge fragment radiocarpal bone. Cannot run. Referido PRHOA.</t>
  </si>
  <si>
    <t>11-JUNIO-2024</t>
  </si>
  <si>
    <t>AGUILA IMPERIAL</t>
  </si>
  <si>
    <t>Multiple chip fractures in both knees. Referido PRHOA.</t>
  </si>
  <si>
    <t>13-JUNIO-2024</t>
  </si>
  <si>
    <t>DON DANNY R</t>
  </si>
  <si>
    <t>Artritis severa en ambos menudillos delanteros/"Cancker" casco derecho delantero</t>
  </si>
  <si>
    <t>Communuted sesamoid fracture. Referido PRHOA.</t>
  </si>
  <si>
    <t>PERMANENCIA</t>
  </si>
  <si>
    <t>14-JUNIO-2024</t>
  </si>
  <si>
    <t>MR. CHAMP</t>
  </si>
  <si>
    <t>Sesamoide medial derecho trasero partido/Artritis severa en corvejón derecho trasero</t>
  </si>
  <si>
    <t>15-JUNIO-2024</t>
  </si>
  <si>
    <t>ANGEL CRUZ</t>
  </si>
  <si>
    <t>MICHAELO</t>
  </si>
  <si>
    <t>R C-3 Slab fracture. Referido PRHOA.</t>
  </si>
  <si>
    <t>MI NIETA NOAH</t>
  </si>
  <si>
    <t>R C-3 Slab fracture. EMERGENCIA POST-RACE.</t>
  </si>
  <si>
    <t>16-JUNIO-2024</t>
  </si>
  <si>
    <t>MIA CAMILA</t>
  </si>
  <si>
    <t>17-JUNIO-2024</t>
  </si>
  <si>
    <t>PICU SPEED</t>
  </si>
  <si>
    <t>18-JUNIO-2024</t>
  </si>
  <si>
    <t>PEQUEQUE</t>
  </si>
  <si>
    <t>Severe osteoarthritis of both front fetlocks. Referido PRHOA.</t>
  </si>
  <si>
    <t>19-JUNIO-2024</t>
  </si>
  <si>
    <t>DON ANTERO</t>
  </si>
  <si>
    <t>GENTLE KATHERINE</t>
  </si>
  <si>
    <t>Laminitis en todas las extremidades post-cólico. Referido PRHOA.</t>
  </si>
  <si>
    <t>CAC</t>
  </si>
  <si>
    <t>PEQUEÑO UBI</t>
  </si>
  <si>
    <t>Cólico severo (referido por Dr. Loinaz PRHOA)</t>
  </si>
  <si>
    <t>21-JUNIO-2024</t>
  </si>
  <si>
    <t>FRANK ALONE</t>
  </si>
  <si>
    <t>Artritis menudillos delanteros. (Referido por Dra. Armand PRHOA)</t>
  </si>
  <si>
    <t>22-JUNIO-2024</t>
  </si>
  <si>
    <t>POR MI PADRE</t>
  </si>
  <si>
    <t>HARLAN FREE</t>
  </si>
  <si>
    <t>Artritis severa en ambos menudillos delanteros</t>
  </si>
  <si>
    <t>INSPECTOR FROST</t>
  </si>
  <si>
    <t>GUAYAMA BRUJO</t>
  </si>
  <si>
    <t>24-JUNIO-2024</t>
  </si>
  <si>
    <t>25-JUNIO-2024</t>
  </si>
  <si>
    <t>HIAWAFFEE ROAD</t>
  </si>
  <si>
    <t>Fractura menudillo izquierdo delantero (sesamoide medial)</t>
  </si>
  <si>
    <t>26-JUNIO-2024</t>
  </si>
  <si>
    <t>9810200320155039/  981020019164727</t>
  </si>
  <si>
    <t>Fractura sesamoide lateral pata derecha delantera</t>
  </si>
  <si>
    <t>NIGHT CITY</t>
  </si>
  <si>
    <t>29-JUNIO-2024</t>
  </si>
  <si>
    <t>SILVER WEDDING 2022</t>
  </si>
  <si>
    <t>Accidente en la pista. Fractura húmero. (Dr. García Blanco)</t>
  </si>
  <si>
    <t>3-JULIO-2024</t>
  </si>
  <si>
    <t>BROOKS N BAND</t>
  </si>
  <si>
    <t>Artritis ambos menudillos. Fractura rodilla izquierda.</t>
  </si>
  <si>
    <t>POTRERO HERMOSURA</t>
  </si>
  <si>
    <t>LADY ANN 2023</t>
  </si>
  <si>
    <t>Fractura mandibular severa</t>
  </si>
  <si>
    <t>Severe DJD without joint space. Referido PRHOA.</t>
  </si>
  <si>
    <t>JLO CAN DANCE</t>
  </si>
  <si>
    <t>GARCIA BLANCO (JBK)</t>
  </si>
  <si>
    <t>4-JULIO-2024</t>
  </si>
  <si>
    <t>5-JULIO-2024</t>
  </si>
  <si>
    <t>CORPULENTA</t>
  </si>
  <si>
    <t>8-JULIO-2024</t>
  </si>
  <si>
    <t>DULCES LABIOS</t>
  </si>
  <si>
    <t>EL PAQUI</t>
  </si>
  <si>
    <t>Fractura rodilla izquierda + Artritis (Referido Dr. Bozzo)</t>
  </si>
  <si>
    <t>9-JULIO-2024</t>
  </si>
  <si>
    <t>TEMPLE STORM</t>
  </si>
  <si>
    <t>Both ankles severe DJD and decrease joint space. (Referido PRHOA.)</t>
  </si>
  <si>
    <t>10-JULIO-2024</t>
  </si>
  <si>
    <t>LA VICTORIA</t>
  </si>
  <si>
    <t>EXPRESS TO LA</t>
  </si>
  <si>
    <t>Sever colic. (Referido PRHOA.)</t>
  </si>
  <si>
    <t>Radiocarpal joint sepsis. LF peritendinous abscess.</t>
  </si>
  <si>
    <t>EVA LUNA</t>
  </si>
  <si>
    <t>11-JULIO-2024</t>
  </si>
  <si>
    <t>EMMA LUNA S</t>
  </si>
  <si>
    <t>Polysinovitis/Laminitis. Referido PRHOA.</t>
  </si>
  <si>
    <t>MI ABUELA ZORY</t>
  </si>
  <si>
    <t>15-JULIO-2024</t>
  </si>
  <si>
    <t>Partial slab fracture R Knee. Dueño no quiso operar. Referido PRHOA</t>
  </si>
  <si>
    <t>Breakdown injury both front limbs. Referido PRHOA.</t>
  </si>
  <si>
    <t>UNTILWEMEETAGAIN</t>
  </si>
  <si>
    <t>EL PARAISO</t>
  </si>
  <si>
    <t>17-JULIO-2024</t>
  </si>
  <si>
    <t>EL TAITA</t>
  </si>
  <si>
    <t>Celulitis severa la cual fue tratada con antibióticos y antiinflamatorios. Luego presentó fiebre persistente durante varios días. Varios abscesos se abrieron. Referido PRHOA.</t>
  </si>
  <si>
    <t>18-JULIO-2024</t>
  </si>
  <si>
    <t>QUEEN ERA</t>
  </si>
  <si>
    <t>R C3 Slab fracture. RF sesamoid apical fracture. Referido PRHOA.</t>
  </si>
  <si>
    <t>6-JULIO-2024</t>
  </si>
  <si>
    <t>CARLOS DAMIAN</t>
  </si>
  <si>
    <t>SARA Y</t>
  </si>
  <si>
    <t>LF breakdown injury. Referido PRHOA.</t>
  </si>
  <si>
    <t>7-JULIO-2024</t>
  </si>
  <si>
    <t>HNOS APONTE</t>
  </si>
  <si>
    <t>ESTRELLITA</t>
  </si>
  <si>
    <t>Fractura hombro derecho. 6ta carrera. Referido PRHOA.</t>
  </si>
  <si>
    <t>20-JULIO-2024</t>
  </si>
  <si>
    <t>AMAYA BESITO</t>
  </si>
  <si>
    <t>Beakdown injury with basilar sesamoid fracture</t>
  </si>
  <si>
    <t>22-JULIO-2024</t>
  </si>
  <si>
    <t>VELVET VICKY</t>
  </si>
  <si>
    <t>TONY GUZMAN</t>
  </si>
  <si>
    <t>DUST DEVIL</t>
  </si>
  <si>
    <t>RF bReakdown Injury. (Referido PRHOA)</t>
  </si>
  <si>
    <t>23-JULIO-2024</t>
  </si>
  <si>
    <t>RESISTENTE</t>
  </si>
  <si>
    <t>Múltiples fracturas rodilla izquierda</t>
  </si>
  <si>
    <t>NELL'S PRINCESS</t>
  </si>
  <si>
    <t>Sesamoide fracturado.</t>
  </si>
  <si>
    <t>24-JULIO-2024</t>
  </si>
  <si>
    <t>BLOODLINE</t>
  </si>
  <si>
    <t>MAKART</t>
  </si>
  <si>
    <t>Bilateral front fetlock palmar metacarpal disease. Unresolved lameness. (Referido PRHOA)</t>
  </si>
  <si>
    <t>26-JULIO-2024</t>
  </si>
  <si>
    <t>JGR</t>
  </si>
  <si>
    <t>SUPERDOTADO</t>
  </si>
  <si>
    <t>Fractura sesamoide izquierdo delantero.</t>
  </si>
  <si>
    <t>LA NENA DE SURI</t>
  </si>
  <si>
    <t>Fractura sesamoide menudillo derecho delantero.</t>
  </si>
  <si>
    <t>DISTRIBUIDORA</t>
  </si>
  <si>
    <t>28-JULIO-2024</t>
  </si>
  <si>
    <t>GOLDEN CT</t>
  </si>
  <si>
    <t>Cólico (Varios días en tx)</t>
  </si>
  <si>
    <t>29-JULIO-2024</t>
  </si>
  <si>
    <t>PAPA ÑAO</t>
  </si>
  <si>
    <t>CHAVITOS</t>
  </si>
  <si>
    <t>Multiple fractures medial proximal sesamoid. Suspensory desmitis. (Referido PRHOA)</t>
  </si>
  <si>
    <t>TUWAIN</t>
  </si>
  <si>
    <t>JUANOS</t>
  </si>
  <si>
    <t>ME K NIC</t>
  </si>
  <si>
    <t>CUANTICA</t>
  </si>
  <si>
    <t>RF both sesamoid fractures with T base fracture. (Referido PRHOA)</t>
  </si>
  <si>
    <t>31-JULIO-2024</t>
  </si>
  <si>
    <t xml:space="preserve">PANCHO LOPEZ </t>
  </si>
  <si>
    <t>SHOOTER JUSTICE</t>
  </si>
  <si>
    <t>Extensive traume. PRHOA.</t>
  </si>
  <si>
    <t>19-JULIO-2024</t>
  </si>
  <si>
    <t>CAPRICHOSO</t>
  </si>
  <si>
    <t>Fractura rodilla derecha. PRHOA.</t>
  </si>
  <si>
    <t>CALET</t>
  </si>
  <si>
    <t>LF Knee huge fracture both RC x IC bones with severe DJD. (Referido PRHOA)</t>
  </si>
  <si>
    <t>ADORNO</t>
  </si>
  <si>
    <t>PHILIP SNOW</t>
  </si>
  <si>
    <t>LH medial sesamoid fracture.</t>
  </si>
  <si>
    <t>2-AGOSTO-2024</t>
  </si>
  <si>
    <t>RMJA</t>
  </si>
  <si>
    <t>JARHEEL'S JOY</t>
  </si>
  <si>
    <t>Multiple chips in both knees. (Referido PRHOA)</t>
  </si>
  <si>
    <t>3-AGOSTO-2024</t>
  </si>
  <si>
    <t>VETERANO</t>
  </si>
  <si>
    <t>SHE'S CLASSY</t>
  </si>
  <si>
    <t>Fractura sesamoide derecho. (Referido PRHOA)</t>
  </si>
  <si>
    <t>ALEDANNIS</t>
  </si>
  <si>
    <t>ORENCIA</t>
  </si>
  <si>
    <t>8-AGOSTO-2024</t>
  </si>
  <si>
    <t>VIOLETA</t>
  </si>
  <si>
    <t>HEXAGON</t>
  </si>
  <si>
    <t>Fractura rodilla derecha (slab fracture of C3) (Referido Dr. Bozzo/Se fue a la cuadra)</t>
  </si>
  <si>
    <t>GUERRERA BORICUA</t>
  </si>
  <si>
    <t>BORIKEN</t>
  </si>
  <si>
    <t>13-AGOSTO-2024</t>
  </si>
  <si>
    <t>17-AGOSTO-2024</t>
  </si>
  <si>
    <t>MI FAMILIA</t>
  </si>
  <si>
    <t>SINDICATO</t>
  </si>
  <si>
    <t>Fracturas en ambas rodillas (Referido PRHOA)</t>
  </si>
  <si>
    <t>19-AGOSTO-2024</t>
  </si>
  <si>
    <t>SPITBALL</t>
  </si>
  <si>
    <t>Right knee severe fracture with no articular space both knees. Severe DJD of both ankles. (Referido PRHOA)</t>
  </si>
  <si>
    <t>LF Ankle severe T base fracture treated multiple times. (Referido PRHOA)</t>
  </si>
  <si>
    <t>ECLIPTICAL TALKIN'</t>
  </si>
  <si>
    <t>RAJ</t>
  </si>
  <si>
    <t>INCREDIBLE CREED</t>
  </si>
  <si>
    <t>WHAT ABOUT PRINCESS</t>
  </si>
  <si>
    <t>L Front breakdown injury</t>
  </si>
  <si>
    <t>Huge fractures on both knees. Sever DJD. Can't run. (Referido PRHOA)</t>
  </si>
  <si>
    <t>LIANNE V</t>
  </si>
  <si>
    <t>20-AGOSTO-2024</t>
  </si>
  <si>
    <t>28-AGOSTO-2024</t>
  </si>
  <si>
    <t>ARELIZ S</t>
  </si>
  <si>
    <t>NAHIALYHA</t>
  </si>
  <si>
    <t>Múltiples fracturas en la rodilla izquierda</t>
  </si>
  <si>
    <t>Severe DJD LF fetlock</t>
  </si>
  <si>
    <t>POKERIST</t>
  </si>
  <si>
    <t>31-AGOSTO-2024</t>
  </si>
  <si>
    <t>TARRATS NACC</t>
  </si>
  <si>
    <t>AZONDRA</t>
  </si>
  <si>
    <t>Trauma en la cabeza, signos neurológicos.</t>
  </si>
  <si>
    <t>3-SEPTIEMBRE-2024</t>
  </si>
  <si>
    <t>SUGAR MOM</t>
  </si>
  <si>
    <t>5-SEPTIEMBRE-2024</t>
  </si>
  <si>
    <t>PLATO</t>
  </si>
  <si>
    <t>Artritis severa en ambos menudillos delanteros.</t>
  </si>
  <si>
    <t>JOE BURGOS SPEED</t>
  </si>
  <si>
    <t>RELOJ SUIZO</t>
  </si>
  <si>
    <t>Artritis severa menudillo izquierdo delantero con múltiples fracturas.</t>
  </si>
  <si>
    <t>Fractura + artritis R Radiocarpal/Dropped down LF Fetlock.</t>
  </si>
  <si>
    <t>ESCARAMUZA</t>
  </si>
  <si>
    <t>CASTRO</t>
  </si>
  <si>
    <t>6-SEPTIEMBRE-2024</t>
  </si>
  <si>
    <t>BLESSING FOREVER</t>
  </si>
  <si>
    <t>Severe arthritis of both front fetlocks.</t>
  </si>
  <si>
    <t>7-SEPTIEMBRE-2024</t>
  </si>
  <si>
    <t>DESTINY'S CHARM</t>
  </si>
  <si>
    <t>9-SEPTIEMBRE-2024</t>
  </si>
  <si>
    <t>TAP MOON</t>
  </si>
  <si>
    <t>Referido PRHOA</t>
  </si>
  <si>
    <t>10-SEPTIEMBRE-2024</t>
  </si>
  <si>
    <t>EL MARRON FUSTER</t>
  </si>
  <si>
    <t>Fractura ambas rodillas</t>
  </si>
  <si>
    <t>Artritis en ambos menudillos delanteros.</t>
  </si>
  <si>
    <t>PICK ONE REMI</t>
  </si>
  <si>
    <t>GUILLERMO RODRIGUEZ</t>
  </si>
  <si>
    <t>SRTA. VEINTISIETE</t>
  </si>
  <si>
    <t>Múltiples fracturas en ambas rodillas.</t>
  </si>
  <si>
    <t>12-SEPTIEMBRE-2024</t>
  </si>
  <si>
    <t>WILD CALKINS</t>
  </si>
  <si>
    <t>L Knee C-3 fracture/R Knee radiocarpal proximal fracture. (Referido PRHOA)</t>
  </si>
  <si>
    <t>EL PUENTE</t>
  </si>
  <si>
    <t>GRAND ROCK</t>
  </si>
  <si>
    <t>Artritis en ambos menudillos delanteros</t>
  </si>
  <si>
    <t>WICHO C</t>
  </si>
  <si>
    <t>17-SEPTIEMBRE-2024</t>
  </si>
  <si>
    <t>ANULADA</t>
  </si>
  <si>
    <t>L C-3 Slab fracture.</t>
  </si>
  <si>
    <t>R Knee multiple fragments with severe DJD. (Referido PRHOA)</t>
  </si>
  <si>
    <t>SWEET SEVENTY NINE</t>
  </si>
  <si>
    <t>MADECO (#1,000)</t>
  </si>
  <si>
    <t>CABALLO DE TROYA</t>
  </si>
  <si>
    <t>473F42725C</t>
  </si>
  <si>
    <t>Artritis severa ambas rodillas. (Referido Dr. Loinaz)</t>
  </si>
  <si>
    <t>Múltiples fracturas rodillas izquierda.</t>
  </si>
  <si>
    <t>AGUASBONENSE</t>
  </si>
  <si>
    <t>18-SEPTIEMBRE-2024</t>
  </si>
  <si>
    <t>CHARGE ACCOUNT</t>
  </si>
  <si>
    <t>Cólico (thromboembolic cecum)</t>
  </si>
  <si>
    <t>20-SEPTIEMBRE-2024</t>
  </si>
  <si>
    <t>19-SEPTIEMBRE-2024</t>
  </si>
  <si>
    <t>FIRST CADETE</t>
  </si>
  <si>
    <t>Post-race 6:42pm</t>
  </si>
  <si>
    <t>FROSTED ARCH</t>
  </si>
  <si>
    <t>CANITO</t>
  </si>
  <si>
    <t>MOSS BOSS</t>
  </si>
  <si>
    <t>Artritis/Sinovitis severa</t>
  </si>
  <si>
    <t>13-SEPTIEMBRE-2024</t>
  </si>
  <si>
    <t>23-SEPTIEMBRE-2024</t>
  </si>
  <si>
    <t>ALFARERO</t>
  </si>
  <si>
    <t>Front ligament desmitis</t>
  </si>
  <si>
    <t>C-3 Slab fracture L Knee</t>
  </si>
  <si>
    <t>FAVISUS REAL</t>
  </si>
  <si>
    <t>FLORIDA</t>
  </si>
  <si>
    <t>30-SEPTIEMBRE-2024</t>
  </si>
  <si>
    <t>DIXIE DRAWL</t>
  </si>
  <si>
    <t>Breakdown injury LF fetlock</t>
  </si>
  <si>
    <t>1-OCTUBRE-2024</t>
  </si>
  <si>
    <t>FIRST BABY</t>
  </si>
  <si>
    <t>Septic Joint R Knee</t>
  </si>
  <si>
    <t>3-OCTUBRE-2024</t>
  </si>
  <si>
    <t>STRIKE LIGHTNING</t>
  </si>
  <si>
    <t>RF breakdown injury</t>
  </si>
  <si>
    <t>5-OCTUBRE-2024</t>
  </si>
  <si>
    <t>TOWN PRIDE</t>
  </si>
  <si>
    <t>8-OCTUBRE-2024</t>
  </si>
  <si>
    <t>CORALINO</t>
  </si>
  <si>
    <t>L Knee severe huge fragments of the RC with sever DJD (Referido PRHOA)</t>
  </si>
  <si>
    <t>K.A.P.</t>
  </si>
  <si>
    <t>PAPO VIETNAM</t>
  </si>
  <si>
    <t>Fractura apical ambos sesamoides menudillo derecho y caña derecha</t>
  </si>
  <si>
    <t>10-OCTUBRE-2024</t>
  </si>
  <si>
    <t>SPIRIT OF WARRIOR</t>
  </si>
  <si>
    <t>985141005077812/ 981020043045789</t>
  </si>
  <si>
    <t>C-3 Slab fracture L Knee (Referido PRHOA)</t>
  </si>
  <si>
    <t>27-SEPTIEMBRE-2024</t>
  </si>
  <si>
    <t>VINCENZA M</t>
  </si>
  <si>
    <t>LF Knee C-3 fracture with multiple big fragments both joints. Can't train. (Referido PRHOA)</t>
  </si>
  <si>
    <t>STAR &amp; STRIPES</t>
  </si>
  <si>
    <t>CYRANO DE B</t>
  </si>
  <si>
    <t>RF Knee breakdown injury. (Guardia PRHOA)</t>
  </si>
  <si>
    <t>2-OCTUBRE-2024</t>
  </si>
  <si>
    <t>HERALDO</t>
  </si>
  <si>
    <t>Fractura rodilla derecha. Fractura caña derecha delantera. DJD ambos menudillos delanteros. Tendinitis pata derecha delantera.</t>
  </si>
  <si>
    <t>21-OCTUBRE-2024</t>
  </si>
  <si>
    <t>AM</t>
  </si>
  <si>
    <t>DIVING NINA</t>
  </si>
  <si>
    <t>7E01027563</t>
  </si>
  <si>
    <t>22-OCTUBRE-2024</t>
  </si>
  <si>
    <t>DAWN MOON</t>
  </si>
  <si>
    <t>Severe arthritis of left carpal and middle carpal joints. (Referido PRHOA)</t>
  </si>
  <si>
    <t>23-OCTUBRE-2024</t>
  </si>
  <si>
    <t>MORNING DESTINY</t>
  </si>
  <si>
    <t>Laminitis severa en ambos cascos delanteros. Rotación y hundimiento. (Referido Dr. Bozzo)</t>
  </si>
  <si>
    <t>25-OCTUBRE-2024</t>
  </si>
  <si>
    <t>PROBADOR</t>
  </si>
  <si>
    <t>L C-3 Slab fracture</t>
  </si>
  <si>
    <t>28-OCTUBRE-2024</t>
  </si>
  <si>
    <t>CHIQUITINA ROJAS</t>
  </si>
  <si>
    <t>R MC3 Fx.</t>
  </si>
  <si>
    <t>4-NOVIEMBRE-2024</t>
  </si>
  <si>
    <t>IBE &amp; JOE</t>
  </si>
  <si>
    <t>BACONAO</t>
  </si>
  <si>
    <t>Bilateral front limbs tendinitis/desmitis with excessive dorsiflexion of fetlock joints.</t>
  </si>
  <si>
    <t>RF Fetlock sesamoid fracture + RF Suspensory desmitis and tendinitis.</t>
  </si>
  <si>
    <t>POWER OF  NATURE</t>
  </si>
  <si>
    <t>GUTIERREZ</t>
  </si>
  <si>
    <t>CHICA BELLA</t>
  </si>
  <si>
    <t>LF fetlock severe arthritis.</t>
  </si>
  <si>
    <t>5-NOVIEMBRE-2024</t>
  </si>
  <si>
    <t>GUANIN DE ORO</t>
  </si>
  <si>
    <t>Fracturas y artritis severa de rodilla derecha.</t>
  </si>
  <si>
    <t>11-NOVIEMBRE-2024</t>
  </si>
  <si>
    <t>BEKY</t>
  </si>
  <si>
    <t>R CHA CHA</t>
  </si>
  <si>
    <t>Artritis menudillo derecho delantero/Fx sesamoide RF ankle</t>
  </si>
  <si>
    <t>CHEROKEE</t>
  </si>
  <si>
    <t>Laminitis crónica casco derecho delantero/Subepiglottic fold granuloma.</t>
  </si>
  <si>
    <t>9-NOVIEMBRE-2024</t>
  </si>
  <si>
    <t>DOUBLE ERICK</t>
  </si>
  <si>
    <t>10-NOVIEMBRE-2024</t>
  </si>
  <si>
    <t>HOP KAT</t>
  </si>
  <si>
    <t>RF Knee fx during race. (Guardia PRHOA)</t>
  </si>
  <si>
    <t>LF Ankle breakdown injury during race. (Guardia PRHOA)</t>
  </si>
  <si>
    <t>12-NOVIEMBRE-2024</t>
  </si>
  <si>
    <t>CEPA</t>
  </si>
  <si>
    <t>GRAND MACKENZIE</t>
  </si>
  <si>
    <t>Múltiples fracturas rodilla derecha. Durante cirugía.</t>
  </si>
  <si>
    <t>ADELYNN ROSE</t>
  </si>
  <si>
    <t>L C-3 Slab fracture. (Referido PRHOA)</t>
  </si>
  <si>
    <t>16-NOVIEMBRE-2024</t>
  </si>
  <si>
    <t>EL IRUNES</t>
  </si>
  <si>
    <t>Fractura catastrófica hombro izquierdo. (Pista)</t>
  </si>
  <si>
    <t>ISABEL DEL MAR</t>
  </si>
  <si>
    <t>BRAVO</t>
  </si>
  <si>
    <t>ONE PASS</t>
  </si>
  <si>
    <t>LF Chronic tendinitis</t>
  </si>
  <si>
    <t>Bilateral front limbs chronic suspensory desmitis</t>
  </si>
  <si>
    <t>EL ROSKO</t>
  </si>
  <si>
    <t>18-NOVIEMBRE-2024</t>
  </si>
  <si>
    <r>
      <t xml:space="preserve">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EUTHANASIAS 2025</t>
    </r>
  </si>
  <si>
    <t>9-ENERO-2025</t>
  </si>
  <si>
    <t>PERICIA</t>
  </si>
  <si>
    <t>47 ROSES OF P.R.</t>
  </si>
  <si>
    <t>14-ENERO-2025</t>
  </si>
  <si>
    <t>DMA</t>
  </si>
  <si>
    <t>MATTER OF TRUST</t>
  </si>
  <si>
    <t>LF MC III lateral condylar fracture</t>
  </si>
  <si>
    <t>21-ENERO-2025</t>
  </si>
  <si>
    <t>VENEZUELA FIRST</t>
  </si>
  <si>
    <t>2-DICIEMBRE-2024</t>
  </si>
  <si>
    <t>CAJUN ASP</t>
  </si>
  <si>
    <t>Fracturas en ambas rodillas R&gt;L</t>
  </si>
  <si>
    <t>3-DICIEMBRE-2024</t>
  </si>
  <si>
    <t>CAUDILLO</t>
  </si>
  <si>
    <t>Bilateral LF Splint bones fractures with suspensory desmitis</t>
  </si>
  <si>
    <t>Bilateral commited MC III fractures</t>
  </si>
  <si>
    <t>TORMNETOSO</t>
  </si>
  <si>
    <t>7-DICIEMBRE-2024</t>
  </si>
  <si>
    <t>8-DICIEMBRE-2024</t>
  </si>
  <si>
    <t>MR. BELLINGHAM</t>
  </si>
  <si>
    <t>RF Knee fractures (Referido PRHOA)</t>
  </si>
  <si>
    <t>ASESORA</t>
  </si>
  <si>
    <t>11-DICIEMBRE-2024</t>
  </si>
  <si>
    <t>REINA ESTER</t>
  </si>
  <si>
    <t>Fractura caña y tendón infectado</t>
  </si>
  <si>
    <t>Fractura tibia izquierda</t>
  </si>
  <si>
    <t>MI AMIGO JAIME</t>
  </si>
  <si>
    <t>E.R.V. ENTERPRISES</t>
  </si>
  <si>
    <t>CRIOLLISIMA</t>
  </si>
  <si>
    <t>LAST SHIFT</t>
  </si>
  <si>
    <t>G.C.A.</t>
  </si>
  <si>
    <t>13-DICIEMBRE-2024</t>
  </si>
  <si>
    <t>14-DICIEMBRE-2024</t>
  </si>
  <si>
    <t>RUN FOR FREEDOM</t>
  </si>
  <si>
    <t>Severe chronic tendonitis (Referido PRHOA)</t>
  </si>
  <si>
    <t>PRESTIGIOSO</t>
  </si>
  <si>
    <t>16-DICIEMBRE-2024</t>
  </si>
  <si>
    <t>20-DICIEMBRE-2024</t>
  </si>
  <si>
    <t>RAZZI</t>
  </si>
  <si>
    <t>Catastrophic breakdown injury left fetlock</t>
  </si>
  <si>
    <t>NEVER ENDING DREAMS</t>
  </si>
  <si>
    <t>21-DICIEMBRE-2024</t>
  </si>
  <si>
    <t>23-DICIEMBRE-2024</t>
  </si>
  <si>
    <t>EL ARDILLO</t>
  </si>
  <si>
    <t>Chronic tendonitits (both front limbs)/Neurologic signs (ataxia on hind legs)</t>
  </si>
  <si>
    <t>LF Knee multiple fragments, severe reduce space with C3 fractures. (Referido PRHOA)</t>
  </si>
  <si>
    <t>SUNDAY SPEIGHT</t>
  </si>
  <si>
    <t>E RAMOS</t>
  </si>
  <si>
    <t>JUSTICE JEWELL</t>
  </si>
  <si>
    <t>Fractura caña derecha delantera</t>
  </si>
  <si>
    <t>L C3 sagittal fracture</t>
  </si>
  <si>
    <t>GUILLERMO TELL</t>
  </si>
  <si>
    <t>CIBUCO</t>
  </si>
  <si>
    <t>27-DICIEMBRE-2024</t>
  </si>
  <si>
    <t>28-DICIEMBRE-2024</t>
  </si>
  <si>
    <t>OSO POLAR</t>
  </si>
  <si>
    <t>LA GORDA</t>
  </si>
  <si>
    <t>Carpal Bone Fracture</t>
  </si>
  <si>
    <t>SABROSON</t>
  </si>
  <si>
    <t>30-DICIEMBRE-2024</t>
  </si>
  <si>
    <t>SHAKIN SONG</t>
  </si>
  <si>
    <t>Base Sesamoid Fracture (LF Medial Sesamoid)</t>
  </si>
  <si>
    <t>Fractura de ambas caños delanteras. (Referido PRHOA)</t>
  </si>
  <si>
    <t>SOY AUTENTICO</t>
  </si>
  <si>
    <t>31-DICIEMBRE-2024</t>
  </si>
  <si>
    <t>24-ENERO-2025</t>
  </si>
  <si>
    <t>AFIRMADO</t>
  </si>
  <si>
    <t>L Dorsal MC III cortical fracture</t>
  </si>
  <si>
    <t>26-ENERO-2025</t>
  </si>
  <si>
    <t>LOS LEE</t>
  </si>
  <si>
    <t>POSEIDON</t>
  </si>
  <si>
    <t>Rodilla derecha- Slab FX</t>
  </si>
  <si>
    <t>27-ENERO-2025</t>
  </si>
  <si>
    <t>FIESTA BRAVA</t>
  </si>
  <si>
    <t>Fractura en ambas rodillas</t>
  </si>
  <si>
    <t>28-ENERO-2025</t>
  </si>
  <si>
    <t>SILOE</t>
  </si>
  <si>
    <t>COBRADOR</t>
  </si>
  <si>
    <t>Fractura/artritis rodilla izquierda</t>
  </si>
  <si>
    <t>31-ENERO-2025</t>
  </si>
  <si>
    <t>CARICIA DEL CIELO</t>
  </si>
  <si>
    <t>Colic last night + Severe DJD Knee + LF ankle fracture (sesamoids). (Referido PRHOA)</t>
  </si>
  <si>
    <t>4-FEBRERO-2025</t>
  </si>
  <si>
    <t>ANTONIO E ISABEL</t>
  </si>
  <si>
    <t>MUNAY</t>
  </si>
  <si>
    <t>R Knee distal radius big fracture, proximal intermediate fx. (Referido PRHOA)</t>
  </si>
  <si>
    <t>DU-RA-KO</t>
  </si>
  <si>
    <t>MAURICIO</t>
  </si>
  <si>
    <t>10-FEBRERO-2025</t>
  </si>
  <si>
    <t>AMAIA MY LOVE</t>
  </si>
  <si>
    <t>11-FEBRERO-2025</t>
  </si>
  <si>
    <t>M SANTIAGO</t>
  </si>
  <si>
    <t>ARABIAN HEART</t>
  </si>
  <si>
    <t>Diagnóstico previo de problemas neurológicos. Hoy recumbente incapaz de pararse.</t>
  </si>
  <si>
    <t>TECNÓLOGO</t>
  </si>
  <si>
    <t>Fractura de la escápula derecha.</t>
  </si>
  <si>
    <t>VALID BELLE</t>
  </si>
  <si>
    <t>Posible fractura en la base del cráneo.</t>
  </si>
  <si>
    <t>13-FEBRERO-2025</t>
  </si>
  <si>
    <t>GREAT AZABACHE</t>
  </si>
  <si>
    <t>Infección menudillo derecho.</t>
  </si>
  <si>
    <t>15-FEBRERO-2025</t>
  </si>
  <si>
    <t>MERYLAN</t>
  </si>
  <si>
    <t>ROMANSON</t>
  </si>
  <si>
    <t>Tendinitis crónica pata derecha delantera.</t>
  </si>
  <si>
    <t>17-FEBRERO-2025</t>
  </si>
  <si>
    <t>EL PATRULLERO</t>
  </si>
  <si>
    <t>L MCIII dorsal cortical fracture.</t>
  </si>
  <si>
    <t>Multiple chip fractures R Carpus/Arthritis.</t>
  </si>
  <si>
    <t>LIBRE SOY</t>
  </si>
  <si>
    <t>SIACCA</t>
  </si>
  <si>
    <t>18-FEBRERO-2025</t>
  </si>
  <si>
    <t>PERFILADOR</t>
  </si>
  <si>
    <t>Fractura escápula derecha.</t>
  </si>
  <si>
    <t>Bilateral laminitis. Fetlock severe OA. (Referido PRHOA)</t>
  </si>
  <si>
    <t>TWEET THIS</t>
  </si>
  <si>
    <t>MISS MIGHTY MITOLE</t>
  </si>
  <si>
    <t>Artritis en ambos menudillos delanteros. Fractura sagital de C-3 (rodilla derecha).</t>
  </si>
  <si>
    <t>20-FEBRERO-2025</t>
  </si>
  <si>
    <t>EMT</t>
  </si>
  <si>
    <t>LIGHTS ON GIRL</t>
  </si>
  <si>
    <t>Exercise intolerance (tracheal collapse)/ Arthritis both front fetlocks.</t>
  </si>
  <si>
    <t>Repaired C-3 Slab refractured/Septic arthritis (Referido PRHOA)</t>
  </si>
  <si>
    <t>ROYAL CLASSIC</t>
  </si>
  <si>
    <t>21-FEBRERO-2025</t>
  </si>
  <si>
    <t>25-FEBRERO-2025</t>
  </si>
  <si>
    <t>MY LADY D</t>
  </si>
  <si>
    <t>RF Knee multiple fractures all RC with lots of fragments RI with loose fragments. (Referido PRHOA)</t>
  </si>
  <si>
    <t>RF sesamoid fracture, 4/5 lame (Referido PRHOA)</t>
  </si>
  <si>
    <t>1-MARZO-2025</t>
  </si>
  <si>
    <t>PARTICULAR</t>
  </si>
  <si>
    <t>Sesamoid fracture LF ankle. (Referido PRHOA)</t>
  </si>
  <si>
    <t>R &amp; L Knee multiple fracture both RC and Medial Carpal Joint. (Referido PRHOA)</t>
  </si>
  <si>
    <t>HARLAND STORM</t>
  </si>
  <si>
    <t>3-MARZO-2025</t>
  </si>
  <si>
    <t>CRYPTO MINING</t>
  </si>
  <si>
    <t>Severe chronic tendinitis LF limb.</t>
  </si>
  <si>
    <t>LF Knee severe DJD and fracture RF ankle DJD. (Referido PRHOA)</t>
  </si>
  <si>
    <t>SHE'S N THE MOMENT</t>
  </si>
  <si>
    <t>TORRES RACING</t>
  </si>
  <si>
    <t>GIANNA'S GIFT</t>
  </si>
  <si>
    <t>5-MARZO-2025</t>
  </si>
  <si>
    <t>BOLD CHAMPAGNE</t>
  </si>
  <si>
    <t>Posible tumor en seno maxilar derecho. Prognosis pobre.</t>
  </si>
  <si>
    <t>6-MARZO-2025</t>
  </si>
  <si>
    <t>ORIENTADO</t>
  </si>
  <si>
    <t>Tendinitis crónica con dorsiflexion excesiva del menudillo izquierdo delantero con subluxación de la cuartilla</t>
  </si>
  <si>
    <t>RIQUITO A</t>
  </si>
  <si>
    <t>7-MARZO-2025</t>
  </si>
  <si>
    <t>10-MARZO-2025</t>
  </si>
  <si>
    <t>NEVER SATISFIED</t>
  </si>
  <si>
    <t>Severe arthritis RF ankle</t>
  </si>
  <si>
    <t>Slab fracture L Knee</t>
  </si>
  <si>
    <t>DON WILFRE</t>
  </si>
  <si>
    <t>SMALL GUN</t>
  </si>
  <si>
    <t>Chronic tendinitis on both front limbs</t>
  </si>
  <si>
    <t>12-MARZO-2025</t>
  </si>
  <si>
    <t>CRUISES CREEK</t>
  </si>
  <si>
    <t>0A02461076</t>
  </si>
  <si>
    <t>Cólico. Colon desplazado.</t>
  </si>
  <si>
    <t>15-MARZO-2025</t>
  </si>
  <si>
    <t>K MENA</t>
  </si>
  <si>
    <t>Fracture LF P-1</t>
  </si>
  <si>
    <t>17-MARZO-2025</t>
  </si>
  <si>
    <t>HISTORY</t>
  </si>
  <si>
    <t>DYLAN THE GREAT</t>
  </si>
  <si>
    <t>R Carpal severe OA secundary to chronic chip fractures. (Referido PRHOA)</t>
  </si>
  <si>
    <t>18-MARZO-2025</t>
  </si>
  <si>
    <t>AMAZING TRIP</t>
  </si>
  <si>
    <t>RF ankle severe DJD with no joint space. Splint bones fractures with collateral fragments. (Referido PRHOA)</t>
  </si>
  <si>
    <t>22-MARZO-2025</t>
  </si>
  <si>
    <t>CENTAURO</t>
  </si>
  <si>
    <t>Laminitis LF hoof</t>
  </si>
  <si>
    <t>C-3 Slab fracture (Referido PRHOA)</t>
  </si>
  <si>
    <t>ANUALIZADA</t>
  </si>
  <si>
    <t>NUEVA GENERACIÓN</t>
  </si>
  <si>
    <t>28-MARZO-2025</t>
  </si>
  <si>
    <t>7-ABRIL-2025</t>
  </si>
  <si>
    <t>8-ABRIL-2025</t>
  </si>
  <si>
    <t>L&amp;D THOROUGHBRED</t>
  </si>
  <si>
    <t>DAMA DE HIERRO</t>
  </si>
  <si>
    <t>Fractura hombro derecho. (Se fue a la pista)</t>
  </si>
  <si>
    <t>Artritis crónica ambos menudillos delanteros. Fractura sagital L C-3. Artritis séptica L RC.</t>
  </si>
  <si>
    <t>Fractura rodilla izquierda (C-3 Slab).</t>
  </si>
  <si>
    <t>ORIÓN</t>
  </si>
  <si>
    <t>EL INTRÉPIDO</t>
  </si>
  <si>
    <t>PATRIÓTICA</t>
  </si>
  <si>
    <t>DIME RUBÉN M</t>
  </si>
  <si>
    <t>MALAVÉ</t>
  </si>
  <si>
    <t>ÁLAMO</t>
  </si>
  <si>
    <t>14-MARZO-2025</t>
  </si>
  <si>
    <t>DON ICO T</t>
  </si>
  <si>
    <t>Bilateral pleuropneumonia.</t>
  </si>
  <si>
    <t>22-ABRIL-2025</t>
  </si>
  <si>
    <t>MI BOTICARIA</t>
  </si>
  <si>
    <t>Near complete tear in medial pastern bundle of the DDFT. (Referido PRHOA)</t>
  </si>
  <si>
    <t>Cólico.</t>
  </si>
  <si>
    <t>JESS'S STRIDE</t>
  </si>
  <si>
    <t>25-ABRIL-2025</t>
  </si>
  <si>
    <t>30-ABRIL-2025</t>
  </si>
  <si>
    <t>SNAPE</t>
  </si>
  <si>
    <t>Laminitis crónica.</t>
  </si>
  <si>
    <t>SOLIVAN</t>
  </si>
  <si>
    <t>GREY COFFEE</t>
  </si>
  <si>
    <t>Prognosis pobre.</t>
  </si>
  <si>
    <t>3-MAYO-2025</t>
  </si>
  <si>
    <t>DESAFÍO</t>
  </si>
  <si>
    <t>MI AMADA CECILIA</t>
  </si>
  <si>
    <t>Left laryngeal hemoplasia with neurological signs. (Referido PRHOA)</t>
  </si>
  <si>
    <t>TATIBIRI</t>
  </si>
  <si>
    <t>9-MAYO-2025</t>
  </si>
  <si>
    <t>12-MAYO-2025</t>
  </si>
  <si>
    <t>OROCOVIX</t>
  </si>
  <si>
    <t>Fractura de caña izquierda delantera.</t>
  </si>
  <si>
    <t>RF T Base sesamoid fx.</t>
  </si>
  <si>
    <t>VUELVE MARIELENA</t>
  </si>
  <si>
    <t>13-MAYO-2025</t>
  </si>
  <si>
    <t>14-MAYO-2025</t>
  </si>
  <si>
    <t>ADLEKE</t>
  </si>
  <si>
    <t>CODE OF TIME</t>
  </si>
  <si>
    <t>Fractura hombro derecho.</t>
  </si>
  <si>
    <t>Fracturas ambos menudillos y rodillas.</t>
  </si>
  <si>
    <t>CARLOS RUBÉN</t>
  </si>
  <si>
    <t>POTRERO LOS LLANOS</t>
  </si>
  <si>
    <t>16-MAYO-2025</t>
  </si>
  <si>
    <t>MY PRETTY GIRL</t>
  </si>
  <si>
    <t>R C-3 Slab fracture.</t>
  </si>
  <si>
    <t>19-MAYO-2025</t>
  </si>
  <si>
    <t>PERFUMADA</t>
  </si>
  <si>
    <t>SDF Tendinitis de la cuartilla.</t>
  </si>
  <si>
    <t>Bilateral front limbs. Suspensory desmitis.</t>
  </si>
  <si>
    <t>ECONÓMICA</t>
  </si>
  <si>
    <t>23-MAYO-2025</t>
  </si>
  <si>
    <t>24-MAYO-2025</t>
  </si>
  <si>
    <t>HOMBRAZO</t>
  </si>
  <si>
    <t>LF Medial sesamoid comminuted fracture.</t>
  </si>
  <si>
    <t>26-MAYO-2025</t>
  </si>
  <si>
    <t>HABLAMOS</t>
  </si>
  <si>
    <t>Bilateral front fetlocks arthritis.</t>
  </si>
  <si>
    <t>L C3 Slab fracture.</t>
  </si>
  <si>
    <t>LOLITO</t>
  </si>
  <si>
    <t>HACIENDA EL SUEÑO</t>
  </si>
  <si>
    <t>CHIQUILIN</t>
  </si>
  <si>
    <t>Tétano.</t>
  </si>
  <si>
    <t>Bilateral front limbs suspensory desmitis in subluxation of pastern joints.</t>
  </si>
  <si>
    <t>MAMI OLGA</t>
  </si>
  <si>
    <t>29-MAYO-2025</t>
  </si>
  <si>
    <t>30-MAYO-2025</t>
  </si>
  <si>
    <t>JUST CROWN</t>
  </si>
  <si>
    <t>Artritis menudillo izquierdo delantero.</t>
  </si>
  <si>
    <t>SIMÉTRICO</t>
  </si>
  <si>
    <t>1-JUNIO-2025</t>
  </si>
  <si>
    <t>INVICTUS</t>
  </si>
  <si>
    <t>TIZ THE SKY</t>
  </si>
  <si>
    <t>Mid-body fracture of medial sesamoid + apical fracture of lateral sesamoid.</t>
  </si>
  <si>
    <t>GRAN LEXY</t>
  </si>
  <si>
    <t>GRAN POLLO</t>
  </si>
  <si>
    <t>Tendinitis cronica pata derecha delantera.</t>
  </si>
  <si>
    <t>AMERICAN SUNSHINE</t>
  </si>
  <si>
    <t>7-JUNIO-2025</t>
  </si>
  <si>
    <t>9-JUNIO-2025</t>
  </si>
  <si>
    <t>TOMA PUERTORRO</t>
  </si>
  <si>
    <t>HOLY SECRET</t>
  </si>
  <si>
    <t>JCM</t>
  </si>
  <si>
    <t>8-JUNIO-2025</t>
  </si>
  <si>
    <t>RH Condylar Fracture. (Guardia PRHOA. No se utilizó Beuthanasia).</t>
  </si>
  <si>
    <t>10-JUNIO-2025</t>
  </si>
  <si>
    <t>AYALA</t>
  </si>
  <si>
    <t>AYALAS</t>
  </si>
  <si>
    <t>Artritis severa en la rodilla izquierda (Intercarpal Joint).</t>
  </si>
  <si>
    <t>LA CHICA LATERAL</t>
  </si>
  <si>
    <t>13-JUNIO-2025</t>
  </si>
  <si>
    <t>14-JUNIO-2025</t>
  </si>
  <si>
    <t>CLINTON</t>
  </si>
  <si>
    <t>PRICE TARGET 2023</t>
  </si>
  <si>
    <t>23-JUNIO-2025</t>
  </si>
  <si>
    <t>ANA LEE</t>
  </si>
  <si>
    <t>WICKED WEDNESDAY</t>
  </si>
  <si>
    <t>Fractura rodilla izquierda y fractura del sesamoide menudillo derecho delantero.</t>
  </si>
  <si>
    <t>Historial de cojera crónica en pata trasera (tibias). Problemas de indocilidad.</t>
  </si>
  <si>
    <t>GUAYBA</t>
  </si>
  <si>
    <t>24-JUNIO-2025</t>
  </si>
  <si>
    <t>THIAGUITO A</t>
  </si>
  <si>
    <t>RF medial base sesamoid bone fracture + severe arthritis.</t>
  </si>
  <si>
    <t>CRIOLLITO</t>
  </si>
  <si>
    <t>Cólico (enteritis).</t>
  </si>
  <si>
    <t>27-JUNIO-2025</t>
  </si>
  <si>
    <t>BARU</t>
  </si>
  <si>
    <t>Diarrea/Laminitis.</t>
  </si>
  <si>
    <t>28-JUNIO-2025</t>
  </si>
  <si>
    <t>MAJESTIC</t>
  </si>
  <si>
    <t>LUCKY GREATNESS 2022</t>
  </si>
  <si>
    <t>LF Medial base sesamoid fracture.</t>
  </si>
  <si>
    <t>VIDA ALEGRE</t>
  </si>
  <si>
    <t>30-JUNIO-2025</t>
  </si>
  <si>
    <t>FIADOR</t>
  </si>
  <si>
    <t>LF Lateral base sesamoid fracture.</t>
  </si>
  <si>
    <t>Laminitis casco izquierdo/Celulitis severa con formación de absceso pata derecha delantera</t>
  </si>
  <si>
    <t>QUEQUE</t>
  </si>
  <si>
    <t>JOHN BULLS</t>
  </si>
  <si>
    <t>FLOR DE MAGA</t>
  </si>
  <si>
    <t>Artritis severa del menudillo izquierdo delantero.</t>
  </si>
  <si>
    <t>LF Ankle breakdown injury. Fracture both splints and injury tendon. (Referido PRHOA)</t>
  </si>
  <si>
    <t>FLAT UP</t>
  </si>
  <si>
    <t>ESTRADA</t>
  </si>
  <si>
    <t>1-JULIO-2025</t>
  </si>
  <si>
    <t>LOVELY MARIAH</t>
  </si>
  <si>
    <t>RF medial base sesamoid bone fracture + Arthritis RF Fetlock.</t>
  </si>
  <si>
    <t>Diarrea/Septicemia (endotoxemia)</t>
  </si>
  <si>
    <t>PETENERA</t>
  </si>
  <si>
    <t>3-JULIO-2025</t>
  </si>
  <si>
    <t>SANTÍSIMA TRINIDAD</t>
  </si>
  <si>
    <t>LEYLA SOLITA</t>
  </si>
  <si>
    <t>LF Medial sesamoid fracture.</t>
  </si>
  <si>
    <t>EL MOCATA</t>
  </si>
  <si>
    <t>7-JULIO-2025</t>
  </si>
  <si>
    <t>6-JULIO-2025</t>
  </si>
  <si>
    <t>JORGE J. JIMÉNEZ</t>
  </si>
  <si>
    <t>INFORMADA</t>
  </si>
  <si>
    <t>Compound tibial fracture. (Guardia en PRHOA)</t>
  </si>
  <si>
    <t>11-JULIO-2025</t>
  </si>
  <si>
    <t>LA GRAN WHOOPSY</t>
  </si>
  <si>
    <t>Múltiples fracturas y artritis en ambas rodillas.</t>
  </si>
  <si>
    <t>ADIÓS CARLOS</t>
  </si>
  <si>
    <t>14-JULIO-2025</t>
  </si>
  <si>
    <t>LH SWAG</t>
  </si>
  <si>
    <t>ACECHADOR</t>
  </si>
  <si>
    <t xml:space="preserve">C-3 Slab fracture (Rodilla izquierda). </t>
  </si>
  <si>
    <t>R Front Medial sesamoid fracture (base sesamoid fracture)</t>
  </si>
  <si>
    <t>EL TONY PLATA</t>
  </si>
  <si>
    <t>15-JULIO-2025</t>
  </si>
  <si>
    <t>Severe tenosynovitis of RF limb (Referido PRHOA)</t>
  </si>
  <si>
    <t>ÁGUILA BLANCA</t>
  </si>
  <si>
    <t>KARELÍSIMA</t>
  </si>
  <si>
    <t>16-JULIO-2025</t>
  </si>
  <si>
    <t>C &amp; C</t>
  </si>
  <si>
    <t>CAMINO AL PLATO</t>
  </si>
  <si>
    <t>R RC joint sever DJD with multiple large fragments. L severe large C III slab fracture. (Referido PRHOA)</t>
  </si>
  <si>
    <t>Múltiples fracturas en la rodilla izquierda.</t>
  </si>
  <si>
    <t>EL CHUAIMA</t>
  </si>
  <si>
    <t>RÍO CARIBE</t>
  </si>
  <si>
    <t>17-JULIO-2025</t>
  </si>
  <si>
    <t>19-JULIO-2025</t>
  </si>
  <si>
    <t>FACTOR SECURITY</t>
  </si>
  <si>
    <t>Fractura y artritis severa R Knee.</t>
  </si>
  <si>
    <t>Tendinitis severa pata derecha delantera.</t>
  </si>
  <si>
    <t>FROSTED MOMENT</t>
  </si>
  <si>
    <t>SUERTE PETITE</t>
  </si>
  <si>
    <t>21-JULIO-2025</t>
  </si>
  <si>
    <t>NEW CREATION</t>
  </si>
  <si>
    <t>C 3 Slab fracture L Knee.</t>
  </si>
  <si>
    <t>BOLD RESCUE</t>
  </si>
  <si>
    <t>23-JULIO-2025</t>
  </si>
  <si>
    <t>DON LUIS</t>
  </si>
  <si>
    <t>MI VIEJO JOHNNY</t>
  </si>
  <si>
    <t>CRONOS HEART</t>
  </si>
  <si>
    <t>HCDA LYAZUL</t>
  </si>
  <si>
    <t>26-JULIO-2025</t>
  </si>
  <si>
    <t>28-JULIO-2025</t>
  </si>
  <si>
    <t>CONSULADO</t>
  </si>
  <si>
    <t>Fractura caña derecha (Open R MC III fracture. Euthanized on track)</t>
  </si>
  <si>
    <t>TENTADORA</t>
  </si>
  <si>
    <t>THE LEGEND</t>
  </si>
  <si>
    <t>30-JULIO-2025</t>
  </si>
  <si>
    <t>1-AGOSTO-2025</t>
  </si>
  <si>
    <t>DÍMELO PAPI CHULO</t>
  </si>
  <si>
    <t>Artritis severa en la rodilla derecha.</t>
  </si>
  <si>
    <t>YERAI</t>
  </si>
  <si>
    <t>4-AGOSTO-2025</t>
  </si>
  <si>
    <t>31-JULIO-2025</t>
  </si>
  <si>
    <t>TAKE MISCHIEF</t>
  </si>
  <si>
    <t>CONSOLADORA</t>
  </si>
  <si>
    <t>Breakdown injury LF Knee. (Guardia PRHOA-PM)</t>
  </si>
  <si>
    <t>RF base sesamoid fracture</t>
  </si>
  <si>
    <t>DIAMOND THE GOAT</t>
  </si>
  <si>
    <t>PERFECCIONISTA</t>
  </si>
  <si>
    <t>Fractura rodilla izquierda (Guardia PRHOA)</t>
  </si>
  <si>
    <t>ARABIAN MOON</t>
  </si>
  <si>
    <t>3-AGOSTO-2025</t>
  </si>
  <si>
    <t>11-AGOSTO-2025</t>
  </si>
  <si>
    <t>POCOS PERO FIRMES</t>
  </si>
  <si>
    <t>ANFITRIONA</t>
  </si>
  <si>
    <t>9-AGOSTO-2025</t>
  </si>
  <si>
    <t>13-AGOSTO-2025</t>
  </si>
  <si>
    <t>PESCADOR DE SUEÑOS</t>
  </si>
  <si>
    <t>Laminitis en ambas manos/Múltiples fracturas en ambas rodillas L&gt;R.</t>
  </si>
  <si>
    <t>EL GALLOLFO</t>
  </si>
  <si>
    <t>BLACK SILK</t>
  </si>
  <si>
    <t>Artritis severa menudillo derecho delantero.</t>
  </si>
  <si>
    <t>HARD TEN</t>
  </si>
  <si>
    <t>14-AGOSTO-2025</t>
  </si>
  <si>
    <t>18-AGOSTO-2025</t>
  </si>
  <si>
    <t>VOLATILE DANCER</t>
  </si>
  <si>
    <t>LF Breakdown injury.</t>
  </si>
  <si>
    <t>UCASTEO</t>
  </si>
  <si>
    <t>Laminitis severa (sinker). (Referido PRHOA)</t>
  </si>
  <si>
    <t>Múltiples fracturas en ambas rodillas L&gt;R.</t>
  </si>
  <si>
    <t>EMILIA D</t>
  </si>
  <si>
    <t>VMH</t>
  </si>
  <si>
    <t>20-AGOSTO-2025</t>
  </si>
  <si>
    <t>FLAMBOYÁN</t>
  </si>
  <si>
    <t>DULCE BISCUIT</t>
  </si>
  <si>
    <t>Artritis en ambos menudillos delanteros. Historial previo de laminitis.</t>
  </si>
  <si>
    <t>24-AGOSTO-2025</t>
  </si>
  <si>
    <t>MI NIETA AMANDA V</t>
  </si>
  <si>
    <t>Fractura caña izquierda. (Guardia Confederación)</t>
  </si>
  <si>
    <t>Pulmonía y laminitis.</t>
  </si>
  <si>
    <t>THIAGO'S GOLD</t>
  </si>
  <si>
    <t>3-SEPTIEMBRE-2025</t>
  </si>
  <si>
    <t>4-SEPTIEMBRE-2025</t>
  </si>
  <si>
    <t>ROYAL APPLAUD</t>
  </si>
  <si>
    <t>15-SEPTIEMBRE-2025</t>
  </si>
  <si>
    <t>DOMINO</t>
  </si>
  <si>
    <t>TESORERA</t>
  </si>
  <si>
    <t>JORMALY</t>
  </si>
  <si>
    <t>LA NIETA E JORGI C</t>
  </si>
  <si>
    <t>25-AGOSTO-2025</t>
  </si>
  <si>
    <t>HERNÁNDEZ</t>
  </si>
  <si>
    <t>EL ZAFIRO</t>
  </si>
  <si>
    <t>28-AGOSTO-2025</t>
  </si>
  <si>
    <t>VENEZUELAN DOCTORS</t>
  </si>
  <si>
    <t>THE GREAT CESAR</t>
  </si>
  <si>
    <t>MA D CO</t>
  </si>
  <si>
    <t>ROSARIO BLUE</t>
  </si>
  <si>
    <t>Chronic infected wound on medial aspect of L front fetlock.</t>
  </si>
  <si>
    <t>MASTERY ASHLEY JHU</t>
  </si>
  <si>
    <t>Herida con laceración de tendón pata izquierda trasera.</t>
  </si>
  <si>
    <t>Complete lateral and medial sesamoid breakdown. (Guardia PRHOA)</t>
  </si>
  <si>
    <t>Laminitis 4 patas. (Se fue a la cuadra PRHOA)</t>
  </si>
  <si>
    <t>9-SEPTIEMBRE-2025</t>
  </si>
  <si>
    <t>XIO'S MARIE 2022</t>
  </si>
  <si>
    <t>Tendosinovitis crónica séptica (corvejón izquierda).</t>
  </si>
  <si>
    <t>19-SEPTIEMBRE-2025</t>
  </si>
  <si>
    <t>NATALIA</t>
  </si>
  <si>
    <t>AWESOME DISCOUNT</t>
  </si>
  <si>
    <t>Fractura de la pelvis (Dx Dr. Loinaz)</t>
  </si>
  <si>
    <t>DIVA CHICK 2022</t>
  </si>
  <si>
    <t>24-SEPTIEMBRE-2025</t>
  </si>
  <si>
    <t>TRUE ATKA</t>
  </si>
  <si>
    <t>Artritis (menudillo izquierdo delantero)</t>
  </si>
  <si>
    <t>GUERRERA TAÍNA</t>
  </si>
  <si>
    <t>25-SEPTIEMBRE-2025</t>
  </si>
  <si>
    <t>EL FERROCARRIL</t>
  </si>
  <si>
    <t>Arthritis severe on both knees/Fracture L Knee (distal radius)</t>
  </si>
  <si>
    <t>26-SEPTIEMBRE-2025</t>
  </si>
  <si>
    <t>RAFY Q</t>
  </si>
  <si>
    <t>AVID*835*533*594</t>
  </si>
  <si>
    <t>LH chronic suspensory desmitis.</t>
  </si>
  <si>
    <t>29-SEPTIEMBRE-2025</t>
  </si>
  <si>
    <t>LIT</t>
  </si>
  <si>
    <t>EL RENEGADO</t>
  </si>
  <si>
    <t>RF Suspensory desmitis/tendinitis.</t>
  </si>
  <si>
    <t>27-SEPTIEMBRE-2025</t>
  </si>
  <si>
    <t>FORTALECEDOR</t>
  </si>
  <si>
    <t>RF Shin fracture spiral (Referido PRHOA)</t>
  </si>
  <si>
    <t>DAN'S LOYALTY</t>
  </si>
  <si>
    <t>Ambas cañas fracturadas. Fracturas catastróficas de ambas cañas delanteras. Eutanizada en la pista.</t>
  </si>
  <si>
    <t>TWO PRINCESSES</t>
  </si>
  <si>
    <t>28-SEPTIEMBRE-2025</t>
  </si>
  <si>
    <t>RIVAL ROYAL</t>
  </si>
  <si>
    <t>Fracture and breakdown RF knee after race. (Referido PRHOA)</t>
  </si>
  <si>
    <t>NICELY KLIM</t>
  </si>
  <si>
    <t>3-OCTUBRE-2025</t>
  </si>
  <si>
    <t>6-OCTUBRE-2025</t>
  </si>
  <si>
    <t>CAT ROAD</t>
  </si>
  <si>
    <t>RF ankle severe DJD with fracture. (Referido PRHOA)</t>
  </si>
  <si>
    <t>Artritis ambos menudillos delanteros</t>
  </si>
  <si>
    <t>SHOW ME LOVE</t>
  </si>
  <si>
    <t>SNIPER</t>
  </si>
  <si>
    <t>13-OCTUBRE-2025</t>
  </si>
  <si>
    <t>CAUSADOR</t>
  </si>
  <si>
    <t>Fractura C3.</t>
  </si>
  <si>
    <t>Sepsis severa rodilla izquierda.</t>
  </si>
  <si>
    <t>EL GRAN MICKEY</t>
  </si>
  <si>
    <t>AND I KNOW</t>
  </si>
  <si>
    <t>Desmitis ligamento suspensorio derecha trasera.</t>
  </si>
  <si>
    <t>R second carpal bone fracture.</t>
  </si>
  <si>
    <t>AGRICULTORA</t>
  </si>
  <si>
    <t>14-OCTUBRE-2025</t>
  </si>
  <si>
    <t>15-OCTUBRE-2025</t>
  </si>
  <si>
    <t>DETERMINADORA</t>
  </si>
  <si>
    <t>Fractura caña derecha delnatera.</t>
  </si>
  <si>
    <t>MATTA IN THE HOUSE</t>
  </si>
  <si>
    <t>20-OCTUBRE-2025</t>
  </si>
  <si>
    <t>21-OCTUBRE-2025</t>
  </si>
  <si>
    <t>CURAPA M</t>
  </si>
  <si>
    <t>Fractura rodilla derecha (C-3 slab).</t>
  </si>
  <si>
    <t>24-OCTUBRE-2025</t>
  </si>
  <si>
    <t>23-OCTUBRE-2025</t>
  </si>
  <si>
    <t>QUICK DISTINCTION</t>
  </si>
  <si>
    <t>Múltiples fracturas/DJD severo en ambas rodillas.</t>
  </si>
  <si>
    <t>JASMINE C</t>
  </si>
  <si>
    <t>JOSÉ LUIS</t>
  </si>
  <si>
    <t>29-OCTUBRE-2025</t>
  </si>
  <si>
    <t>THREE STEPS AHEAD</t>
  </si>
  <si>
    <t>Fractura rodilla izquierda. (Referido PRHOA)</t>
  </si>
  <si>
    <t>Severe bilateral arythenoids chronditis. Labored breathing.</t>
  </si>
  <si>
    <t>DRILL ZELLA</t>
  </si>
  <si>
    <t>30-OCTUBRE-2025</t>
  </si>
  <si>
    <t>ADIOS DAVI</t>
  </si>
  <si>
    <t>Dislocation of the RF pastern. Moderate palmar metacarpal disease. (Referido PRHOA)</t>
  </si>
  <si>
    <t>1-OCTUBRE-2025</t>
  </si>
  <si>
    <t>KEEP DANCING</t>
  </si>
  <si>
    <t>22-SEPTIEMBRE-2025</t>
  </si>
  <si>
    <t>POMICA</t>
  </si>
  <si>
    <t>MISTER AFRITION</t>
  </si>
  <si>
    <t>ARTRITIS EN AMBOS MENUDILLOS DELANTEROS</t>
  </si>
  <si>
    <t>31-OCTUBRE-2025</t>
  </si>
  <si>
    <t>SORPRESIVA</t>
  </si>
  <si>
    <t>SEUCRE ARTHRITIS LF FETLOCK</t>
  </si>
  <si>
    <t>ARTHRITIS SEVERA MENUDILLO IZQUIERDO DELANTERO</t>
  </si>
  <si>
    <t>E.RAMOS</t>
  </si>
  <si>
    <t>RECUMBANCY</t>
  </si>
  <si>
    <t>TEMPORERA</t>
  </si>
  <si>
    <t>LAMINITIS CRONICA</t>
  </si>
  <si>
    <t>1-NOVIEMBRE-2025</t>
  </si>
  <si>
    <t>SUEÑO FAMILIAR</t>
  </si>
  <si>
    <t>Fractura del metacarpus. (Se fue a la pista)</t>
  </si>
  <si>
    <t>3-NOVIEMBRE-2025</t>
  </si>
  <si>
    <t>JOK</t>
  </si>
  <si>
    <t>POWER G</t>
  </si>
  <si>
    <t>PETROLERO</t>
  </si>
  <si>
    <t>Operado dos veces de C-3 rodilla derecha. Artritis severa con múltiples fragmentos articulares y fisuras en C-3. (Referido Dr. Bozzo)</t>
  </si>
  <si>
    <t>FORJADOR</t>
  </si>
  <si>
    <t>5-NOVIEMBRE-2025</t>
  </si>
  <si>
    <t>PRETTY TALENT</t>
  </si>
  <si>
    <t>Condición neurológica.</t>
  </si>
  <si>
    <t>11-NOVIEMBRE-2025</t>
  </si>
  <si>
    <t>MAGURO (UNAGI 2024)</t>
  </si>
  <si>
    <t>20-NOVIEMBRE-2025</t>
  </si>
  <si>
    <t>HOT PATOOTIE</t>
  </si>
  <si>
    <t>981020031364500/ 981020041797429</t>
  </si>
  <si>
    <t>LONDON GHOST</t>
  </si>
  <si>
    <t>PRETTY PHILLY 2024</t>
  </si>
  <si>
    <t>Cólico y laminitis fulminante.</t>
  </si>
  <si>
    <t>21-NOVIEMBRE-2025</t>
  </si>
  <si>
    <t>INFINITE</t>
  </si>
  <si>
    <t>GIAN CARLOS R</t>
  </si>
  <si>
    <t xml:space="preserve">Fractura hombro derecho. </t>
  </si>
  <si>
    <t>22-NOVIEMBRE-2025</t>
  </si>
  <si>
    <t>R.V.C.</t>
  </si>
  <si>
    <t>MAR TRANQUILO</t>
  </si>
  <si>
    <t>Severe DJD + fracture R radiocarpal joint.</t>
  </si>
  <si>
    <t>ADELIN M</t>
  </si>
  <si>
    <t>24-NOVIEMBRE-2025</t>
  </si>
  <si>
    <t>FABERY</t>
  </si>
  <si>
    <t>ASTACIO QUEEN</t>
  </si>
  <si>
    <t>L front lateral apical sesamoid fracture.</t>
  </si>
  <si>
    <t>26-NOVIEMBRE-2025</t>
  </si>
  <si>
    <t>EL COMERIEÑO</t>
  </si>
  <si>
    <t>Fracturas sesamoides en ambos menudillos delanteros (fracturas viejas).</t>
  </si>
  <si>
    <t>28-NOVIEMBRE-2025</t>
  </si>
  <si>
    <t>EL ENGREÍDO</t>
  </si>
  <si>
    <t>ANGEL'S COLLECTED</t>
  </si>
  <si>
    <t>RÍO CAÑAS</t>
  </si>
  <si>
    <t>1-DICIEMBRE-2025</t>
  </si>
  <si>
    <t>SMOOTH PLAYER</t>
  </si>
  <si>
    <t>4-DICIEMBRE-2025</t>
  </si>
  <si>
    <t>SHARON'S HOPE</t>
  </si>
  <si>
    <t>Trashing after lasix (8cc). (PRHOA)</t>
  </si>
  <si>
    <t>Pobre condición física post-cólico.</t>
  </si>
  <si>
    <t>FEDERAL CASE</t>
  </si>
  <si>
    <t>5-DICIEMBRE-2025</t>
  </si>
  <si>
    <t>CLIFFY</t>
  </si>
  <si>
    <t>Artritis severa en ambos menudillos delnateros. Artritis y múltiples fracturas en la rodilla izquierda.</t>
  </si>
  <si>
    <t>9-DICIEMBRE-2025</t>
  </si>
  <si>
    <t>12-DICIEMBRE-2025</t>
  </si>
  <si>
    <t>CURRUTACO</t>
  </si>
  <si>
    <t>Fractura C-3 (slab) rodilla derecha.</t>
  </si>
  <si>
    <t>13-DICIEMBRE-2025</t>
  </si>
  <si>
    <t>EMMANUEL</t>
  </si>
  <si>
    <t>DON'T BOX ME IN</t>
  </si>
  <si>
    <t>L front chronic tendinitis and cellulitis.</t>
  </si>
  <si>
    <t>16-DICIEMBRE-2025</t>
  </si>
  <si>
    <t>ALEGRE VA</t>
  </si>
  <si>
    <t>19-DICIEMBRE-2025</t>
  </si>
  <si>
    <t>GALERÍA REAL</t>
  </si>
  <si>
    <t>Fractura rodilla izquierda (L C3 slab fracture).</t>
  </si>
  <si>
    <t>PRINCESA DIVINA</t>
  </si>
  <si>
    <t>JOAQUIN MIRACLE</t>
  </si>
  <si>
    <t>20-DICIEMBRE-2025</t>
  </si>
  <si>
    <t>EL CROQUEL</t>
  </si>
  <si>
    <t>Ruptura del ligamento pata izquierda trasera (menudillo)</t>
  </si>
  <si>
    <t>24-DICIEMBRE-2025</t>
  </si>
  <si>
    <t>DOUBLE PLAY KING</t>
  </si>
  <si>
    <t>LF ankle loss of joint space. (Referido PRHOA)</t>
  </si>
  <si>
    <t>23-DICIEMBRE-2025</t>
  </si>
  <si>
    <t>DOÑA LOLA</t>
  </si>
  <si>
    <t>ANGEL LUIS CALDERÓN</t>
  </si>
  <si>
    <t>Sesamoidal fx (medial). RF ankle.</t>
  </si>
  <si>
    <t>Severe pain LF knee with arthritis and severe DJD ankle LF (Referido PRHOA)</t>
  </si>
  <si>
    <t>PRESUMIDO</t>
  </si>
  <si>
    <t>26-DICIEMBRE-2025</t>
  </si>
  <si>
    <t>SWIFT SPARK</t>
  </si>
  <si>
    <t>RF breakdown injury (Referido PRHOA. Se eutanizo en el cajón frente a PRHOA)</t>
  </si>
  <si>
    <t>29-DICIEMBRE-2025</t>
  </si>
  <si>
    <t>MI NIETA NAJELYS</t>
  </si>
  <si>
    <t>31-DICIEMBRE-2025</t>
  </si>
  <si>
    <t>YUCA BRAVA</t>
  </si>
  <si>
    <t>Fractura en la caña derecha delantera (Se fue a la pista)</t>
  </si>
  <si>
    <t>30-DICIEMBRE-2025</t>
  </si>
  <si>
    <t>AMBERLYS ADHARA</t>
  </si>
  <si>
    <t>MONET NEVER</t>
  </si>
  <si>
    <t>Artritis severa, fractura splints, suspensory ligament desmitis.</t>
  </si>
  <si>
    <t>Artritis severa y avanzada.</t>
  </si>
  <si>
    <t>JUNO SEA</t>
  </si>
  <si>
    <t>SD</t>
  </si>
  <si>
    <t>JORGITO L</t>
  </si>
  <si>
    <t>Chronic diarrea for 5 weeks duration. R hind limb cellulitis. (Referido PRHOA)</t>
  </si>
  <si>
    <r>
      <t xml:space="preserve">                                                                         </t>
    </r>
    <r>
      <rPr>
        <b/>
        <sz val="14"/>
        <color theme="1"/>
        <rFont val="Calibri"/>
        <family val="2"/>
        <scheme val="minor"/>
      </rPr>
      <t xml:space="preserve"> EUTHANASIAS 2026</t>
    </r>
  </si>
  <si>
    <t>2-ENERO-2026</t>
  </si>
  <si>
    <t>C R NOMI</t>
  </si>
  <si>
    <t>Severe carpal disease. (Referido PRHOA)</t>
  </si>
  <si>
    <t>Fractura caña izquierda + múltiples fracturas rodilla derecha. (Referido PRHOA)</t>
  </si>
  <si>
    <t>JARAB DE ZAPETE</t>
  </si>
  <si>
    <t>EXCLUSIVA</t>
  </si>
  <si>
    <t>RF Suspensory Desmitis.</t>
  </si>
  <si>
    <t>3-ENERO-2026</t>
  </si>
  <si>
    <t>PRETTY H@RSE</t>
  </si>
  <si>
    <t>BLAZZING ARROW</t>
  </si>
  <si>
    <t>RF C-3 Slab fracture. (Referido PRHOA)</t>
  </si>
  <si>
    <t>5-ENERO-2026</t>
  </si>
  <si>
    <t>G.R.C.</t>
  </si>
  <si>
    <t>YAHIR</t>
  </si>
  <si>
    <t>LF artritis severa.</t>
  </si>
  <si>
    <t>FEBRERO</t>
  </si>
  <si>
    <t>NOVIEMBRE</t>
  </si>
  <si>
    <t>DICIEMBRE</t>
  </si>
  <si>
    <t>Mes</t>
  </si>
  <si>
    <t>Día</t>
  </si>
  <si>
    <t>Razón de muerte</t>
  </si>
  <si>
    <t>Categoría</t>
  </si>
  <si>
    <t>Tipo de fractura</t>
  </si>
  <si>
    <t>Enfermedad degenerativa articular</t>
  </si>
  <si>
    <t>Fractura ósea</t>
  </si>
  <si>
    <t>Rodilla / Carpal</t>
  </si>
  <si>
    <t>Condylar</t>
  </si>
  <si>
    <t>Caña / Cannon bone</t>
  </si>
  <si>
    <t>Slab</t>
  </si>
  <si>
    <t>Otras / No especificada</t>
  </si>
  <si>
    <t>Lesión de ligamentos/tendones</t>
  </si>
  <si>
    <t>No especificado</t>
  </si>
  <si>
    <t>Sesamoideo</t>
  </si>
  <si>
    <t>Fetlock</t>
  </si>
  <si>
    <t>Splint</t>
  </si>
  <si>
    <t>Fatal injury</t>
  </si>
  <si>
    <t>No fatal injury (chronic/medical)</t>
  </si>
  <si>
    <t>No clasificado</t>
  </si>
  <si>
    <t>Date</t>
  </si>
  <si>
    <t>día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</si>
  <si>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</si>
  <si>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</si>
  <si>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</si>
  <si>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</si>
  <si>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</si>
  <si>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</si>
  <si>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</si>
  <si>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</si>
  <si>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</si>
  <si>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</si>
  <si>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</si>
  <si>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</si>
  <si>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</si>
  <si>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</si>
  <si>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</si>
  <si>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Qtr1</t>
  </si>
  <si>
    <t>Qtr2</t>
  </si>
  <si>
    <t>Qtr3</t>
  </si>
  <si>
    <t>Qtr4</t>
  </si>
  <si>
    <t>2025</t>
  </si>
  <si>
    <t>Column Labels</t>
  </si>
  <si>
    <t>Count of CABALLO</t>
  </si>
  <si>
    <t>Years</t>
  </si>
  <si>
    <t>Death Horses</t>
  </si>
  <si>
    <t>Months</t>
  </si>
  <si>
    <t>% Death Diff</t>
  </si>
  <si>
    <t>AVG Starts by year</t>
  </si>
  <si>
    <t>0</t>
  </si>
  <si>
    <t>Range[FECHA]</t>
  </si>
  <si>
    <t>Range[día]</t>
  </si>
  <si>
    <t>Range[Mes]</t>
  </si>
  <si>
    <t>Range[Date]</t>
  </si>
  <si>
    <t>Range[ESTABLO]</t>
  </si>
  <si>
    <t>Range[CABALLO]</t>
  </si>
  <si>
    <t>Range[RAZON]</t>
  </si>
  <si>
    <t>Range[Categoría]</t>
  </si>
  <si>
    <t>Range[Tipo de fractura]</t>
  </si>
  <si>
    <t>Range[Fatal injury]</t>
  </si>
  <si>
    <t>Range[Date (Month)]</t>
  </si>
  <si>
    <t>Range[Date (Year)]</t>
  </si>
  <si>
    <t>Range[Date (Quarter)]</t>
  </si>
  <si>
    <t>Range[Date (Month Index)]</t>
  </si>
  <si>
    <t>12</t>
  </si>
  <si>
    <t>16</t>
  </si>
  <si>
    <t>DIXIE CANDY</t>
  </si>
  <si>
    <t>20</t>
  </si>
  <si>
    <t>ALEXIS CARTAGENA</t>
  </si>
  <si>
    <t>NEPTUNO</t>
  </si>
  <si>
    <t>26</t>
  </si>
  <si>
    <t>BROTHERS</t>
  </si>
  <si>
    <t>PRESENTADOR</t>
  </si>
  <si>
    <t>7</t>
  </si>
  <si>
    <t>19</t>
  </si>
  <si>
    <t>23</t>
  </si>
  <si>
    <t>24</t>
  </si>
  <si>
    <t>27</t>
  </si>
  <si>
    <t>1</t>
  </si>
  <si>
    <t>6</t>
  </si>
  <si>
    <t>8</t>
  </si>
  <si>
    <t>9</t>
  </si>
  <si>
    <t>11</t>
  </si>
  <si>
    <t>13</t>
  </si>
  <si>
    <t>15</t>
  </si>
  <si>
    <t>2</t>
  </si>
  <si>
    <t>3</t>
  </si>
  <si>
    <t>4</t>
  </si>
  <si>
    <t>17</t>
  </si>
  <si>
    <t>10</t>
  </si>
  <si>
    <t>22</t>
  </si>
  <si>
    <t>28</t>
  </si>
  <si>
    <t>31</t>
  </si>
  <si>
    <t>PANCHO LOPEZ</t>
  </si>
  <si>
    <t>18</t>
  </si>
  <si>
    <t>30</t>
  </si>
  <si>
    <t>21</t>
  </si>
  <si>
    <t>5</t>
  </si>
  <si>
    <t>14</t>
  </si>
  <si>
    <t>25</t>
  </si>
  <si>
    <t>29</t>
  </si>
  <si>
    <t>Data returned for Count of CABALLO, Otras / No especificada (First 1000 rows).</t>
  </si>
  <si>
    <t>Jan Total</t>
  </si>
  <si>
    <t>Feb Total</t>
  </si>
  <si>
    <t>Mar Total</t>
  </si>
  <si>
    <t>Apr Total</t>
  </si>
  <si>
    <t>May Total</t>
  </si>
  <si>
    <t>Jun Total</t>
  </si>
  <si>
    <t>Jul Total</t>
  </si>
  <si>
    <t>Aug Total</t>
  </si>
  <si>
    <t>Sep Total</t>
  </si>
  <si>
    <t>Oct Total</t>
  </si>
  <si>
    <t>Nov Total</t>
  </si>
  <si>
    <t>Dec Total</t>
  </si>
  <si>
    <t>Last Race Date (desde Equibase)</t>
  </si>
  <si>
    <t>Death Date</t>
  </si>
  <si>
    <t>Horas transcurridas</t>
  </si>
  <si>
    <t>No</t>
  </si>
  <si>
    <t>Registrado/Compitió?</t>
  </si>
  <si>
    <t>Si</t>
  </si>
  <si>
    <t>Año</t>
  </si>
  <si>
    <t>JARABE DE ZAPETE</t>
  </si>
  <si>
    <t>12-ENERO-2026</t>
  </si>
  <si>
    <t>GLASS BEACH</t>
  </si>
  <si>
    <t>Severe arthritis. Menudillos delanteros.</t>
  </si>
  <si>
    <t>14-ENERO-2026</t>
  </si>
  <si>
    <t>J CARTAGENA JR</t>
  </si>
  <si>
    <t>WICKED SEÑORITA</t>
  </si>
  <si>
    <t>Múltiples fracturas del cuarto metatarso derecho.</t>
  </si>
  <si>
    <t>26-ENERO-2026</t>
  </si>
  <si>
    <t>ROAD SLEW</t>
  </si>
  <si>
    <t>RF severe tendon injury.</t>
  </si>
  <si>
    <t>SOY DE LEE</t>
  </si>
  <si>
    <t>ADINERADA</t>
  </si>
  <si>
    <t>Severe DJD + chip fractures both knees.</t>
  </si>
  <si>
    <t>CUADRA BORICUA (1,000)</t>
  </si>
  <si>
    <t>CEPEDA BORICUA</t>
  </si>
  <si>
    <t>28-ENERO-2026</t>
  </si>
  <si>
    <t>PERLA DEL CARIBE</t>
  </si>
  <si>
    <t>30-ENERO-2026</t>
  </si>
  <si>
    <t>GALLOWS BAY</t>
  </si>
  <si>
    <t>31-ENERO-2026</t>
  </si>
  <si>
    <t>MR. RAY Q</t>
  </si>
  <si>
    <t>Pulmonía bilateral.</t>
  </si>
  <si>
    <t>2-FEBRERO-2026</t>
  </si>
  <si>
    <t>CATIRA V</t>
  </si>
  <si>
    <t>Fracturas y artritis rodilla izquierda.</t>
  </si>
  <si>
    <t>GEMÓLOGA</t>
  </si>
  <si>
    <t>TAKEMI</t>
  </si>
  <si>
    <t>3-FEBRERO-2026</t>
  </si>
  <si>
    <t>ERA</t>
  </si>
  <si>
    <t>CARITÉS</t>
  </si>
  <si>
    <t>4-FEBRERO-2026</t>
  </si>
  <si>
    <t>NARANJITO</t>
  </si>
  <si>
    <t>HARLAN'S BEST</t>
  </si>
  <si>
    <t>Fractura y artritis severa rodilla derecha.</t>
  </si>
  <si>
    <t>5-FEBRERO-2026</t>
  </si>
  <si>
    <t>LANCARA'S LADY</t>
  </si>
  <si>
    <t>6-FEBRERO-2026</t>
  </si>
  <si>
    <t>NOLÍN</t>
  </si>
  <si>
    <t>MI NIETO</t>
  </si>
  <si>
    <t>Fractura caña derecha delantera. (Accidente en la pista)</t>
  </si>
  <si>
    <t>VUELVE RUBÉN M</t>
  </si>
  <si>
    <t>MODERADA</t>
  </si>
  <si>
    <t>9-FEBRERO-2026</t>
  </si>
  <si>
    <t>GUILLERMO RODRÍGUEZ</t>
  </si>
  <si>
    <t>MÁXIMA LARISSA</t>
  </si>
  <si>
    <t>MODERNIZA</t>
  </si>
  <si>
    <t>PULP MASTER</t>
  </si>
  <si>
    <t>10-FEBRERO-2026</t>
  </si>
  <si>
    <t>CATALIZADOR</t>
  </si>
  <si>
    <t>YOETTE</t>
  </si>
  <si>
    <t>HEAT SOCIETY</t>
  </si>
  <si>
    <t>11-FEBRERO-2026</t>
  </si>
  <si>
    <t>MR. PIONEERING</t>
  </si>
  <si>
    <t>12-FEBRERO-2026</t>
  </si>
  <si>
    <t>WICKED SENSE</t>
  </si>
  <si>
    <t>13-FEBRERO-2026</t>
  </si>
  <si>
    <t>WAR OF FIRE</t>
  </si>
  <si>
    <t>18-FEBRERO-2026</t>
  </si>
  <si>
    <t>SONAJERO</t>
  </si>
  <si>
    <t>GUILLERMO BERRÍOS</t>
  </si>
  <si>
    <t>MY LOVELY ROSE</t>
  </si>
  <si>
    <t>19-FEBRERO-2026</t>
  </si>
  <si>
    <t>PRETTY AND PROUD</t>
  </si>
  <si>
    <t>Artritis severa del corvejón derecho secundario a infección.</t>
  </si>
  <si>
    <t>SEA PRINCESS</t>
  </si>
  <si>
    <t>20-FEBRERO-2026</t>
  </si>
  <si>
    <t>SMARTEN UP</t>
  </si>
  <si>
    <t>LF severe chronic tendinitis.</t>
  </si>
  <si>
    <t>SML</t>
  </si>
  <si>
    <t>FULL OF MISCHIEF</t>
  </si>
  <si>
    <t>Artritis severa menudillo izquierdo delantero.</t>
  </si>
  <si>
    <t>RICHPORT</t>
  </si>
  <si>
    <t>21-FEBRERO-2026</t>
  </si>
  <si>
    <t>MY OWN DREAM</t>
  </si>
  <si>
    <t>DIVINO NIÑO</t>
  </si>
  <si>
    <t>SIX THE HARD WAY</t>
  </si>
  <si>
    <t>24-FEBRERO-2026</t>
  </si>
  <si>
    <t>COMBAT METRA</t>
  </si>
  <si>
    <t>C-3 Slab fracture RF.</t>
  </si>
  <si>
    <t>25-FEBRERO-2026</t>
  </si>
  <si>
    <t>MY KEEN SON</t>
  </si>
  <si>
    <t>TOWN OF GUAYNABO</t>
  </si>
  <si>
    <t>DROP IT</t>
  </si>
  <si>
    <t>PURA BORICUA</t>
  </si>
  <si>
    <t>CHERRY STAR</t>
  </si>
  <si>
    <t>NEW TOWN</t>
  </si>
  <si>
    <t>GOLDEN FRIEND</t>
  </si>
  <si>
    <t>27-FEBRERO-2026</t>
  </si>
  <si>
    <t>LA LLORONCITA</t>
  </si>
  <si>
    <t>LF lateral base sesamoid fracture.</t>
  </si>
  <si>
    <t>RUSSIAN TANK</t>
  </si>
  <si>
    <t>Artritis ambos menudillos delanteros.</t>
  </si>
  <si>
    <t>28-FEBRERO-2026</t>
  </si>
  <si>
    <t xml:space="preserve">CRYSTAL CRECENT </t>
  </si>
  <si>
    <t xml:space="preserve">BRAKE DOWN INJURY LEFT FRONT </t>
  </si>
  <si>
    <t xml:space="preserve">CIBUCO </t>
  </si>
  <si>
    <t xml:space="preserve">IDLE UNION </t>
  </si>
  <si>
    <t>BI LATERAL RADIOCARPAL DJD AND FRACTURES</t>
  </si>
  <si>
    <t>2-MARZO-2026</t>
  </si>
  <si>
    <t xml:space="preserve">MA-D-CO </t>
  </si>
  <si>
    <t xml:space="preserve">LAS COLINAS </t>
  </si>
  <si>
    <t xml:space="preserve">WIN WIN ROSE </t>
  </si>
  <si>
    <t xml:space="preserve">AUSTRALIS ROYALTY </t>
  </si>
  <si>
    <t xml:space="preserve">LIT RACING </t>
  </si>
  <si>
    <t xml:space="preserve">DEBDURITE </t>
  </si>
  <si>
    <t xml:space="preserve">ARTHRITIS MENUDILLOS DELANTEROS </t>
  </si>
  <si>
    <t>3-MARZO-2026</t>
  </si>
  <si>
    <t xml:space="preserve">SIMILAR </t>
  </si>
  <si>
    <t>TRECE NEGRO</t>
  </si>
  <si>
    <t>COMERIO EXPRESS</t>
  </si>
  <si>
    <t>4-MARZO-2026</t>
  </si>
  <si>
    <t xml:space="preserve">EL CRECIMIENTO </t>
  </si>
  <si>
    <t xml:space="preserve">ARTHRITIS SEVERE EN EL MENUDILLO DERECHO DELANTERO </t>
  </si>
  <si>
    <t xml:space="preserve">SKULL FOREVER </t>
  </si>
  <si>
    <t xml:space="preserve">L C-3 AND RADIOCARPAL BONE SLABS FRACTURES </t>
  </si>
  <si>
    <t>5-MARZO-2026</t>
  </si>
  <si>
    <t xml:space="preserve">BARU </t>
  </si>
  <si>
    <t xml:space="preserve">IMMACULATE SPIRIT </t>
  </si>
  <si>
    <t>7-MARZO-2026</t>
  </si>
  <si>
    <t xml:space="preserve">CHAD </t>
  </si>
  <si>
    <t xml:space="preserve">EAST ANSWER </t>
  </si>
  <si>
    <t xml:space="preserve">DEFICIT NEUROLOGICO </t>
  </si>
  <si>
    <t>GIAN'S DREAM</t>
  </si>
  <si>
    <t xml:space="preserve">RF "T" BASE MEDIAL SESAMOID FRACTURE </t>
  </si>
  <si>
    <t>9-MARZO-2026</t>
  </si>
  <si>
    <t>FBC</t>
  </si>
  <si>
    <t xml:space="preserve">FOREMAN </t>
  </si>
  <si>
    <t>10-MARZO-2026</t>
  </si>
  <si>
    <t xml:space="preserve">YOETTE </t>
  </si>
  <si>
    <t xml:space="preserve">EL INVESTIGADOR </t>
  </si>
  <si>
    <t>OSTEOMELITIS SESAMOIDE PATA IZQ TRASERA Y LAMINITIS FULMINANTES DERECHA TRACERA</t>
  </si>
  <si>
    <t>EL KOPIÓN</t>
  </si>
  <si>
    <t>Laminitis pata izquierda trasera.</t>
  </si>
  <si>
    <t>12-MARZO-2026</t>
  </si>
  <si>
    <t xml:space="preserve">ADVOCATE HARBOR </t>
  </si>
  <si>
    <t xml:space="preserve">SEVERE PALMAR METACARPAL DESEASE (LF ANKLE) </t>
  </si>
  <si>
    <t>16-MARZO-2026</t>
  </si>
  <si>
    <t>HCDA DON KIKE</t>
  </si>
  <si>
    <t>GOLD ANICHI</t>
  </si>
  <si>
    <t>Artritis severa en la rodilla izquierda.</t>
  </si>
  <si>
    <t>18-MARZO-2026</t>
  </si>
  <si>
    <t>BLACK SKULL</t>
  </si>
  <si>
    <t>SUPER WICKED CHARM</t>
  </si>
  <si>
    <t>Artritis severa en ambos menudillos delanteros. Fractura caña izquierda delantera.</t>
  </si>
  <si>
    <t>21-MARZO-2026</t>
  </si>
  <si>
    <t>SHOHEI TAPIT</t>
  </si>
  <si>
    <t>VUELVE JOU</t>
  </si>
  <si>
    <t>Suspensory ligament breakdown injury.</t>
  </si>
  <si>
    <t>22-MARZO-2026</t>
  </si>
  <si>
    <t>DOUBLE THOUGH TIGER</t>
  </si>
  <si>
    <t>Reacción a medicamento. Fallece durante tratamiento. Se comenzó a tratar el 21 de marzo de 2026.</t>
  </si>
  <si>
    <t>23-MARZO-2026</t>
  </si>
  <si>
    <t>CONFEDERACIÓN HÍPICA</t>
  </si>
  <si>
    <t>TROPICAL DREAM</t>
  </si>
  <si>
    <t>HIDDEN WARRIOR</t>
  </si>
  <si>
    <t>24-MARZO-2026</t>
  </si>
  <si>
    <t>ZULAIKA ISABEL</t>
  </si>
  <si>
    <t>Intercarpal large chip fx.</t>
  </si>
  <si>
    <t>CARLOS DAMIÁN</t>
  </si>
  <si>
    <t>LA NEGRA MÍA</t>
  </si>
  <si>
    <t>25-MARZO-2026</t>
  </si>
  <si>
    <t>WILNELIS</t>
  </si>
  <si>
    <t>30-MARZO-2026</t>
  </si>
  <si>
    <t>KISS ME NOT</t>
  </si>
  <si>
    <t>MOTEL MISCHIEF</t>
  </si>
  <si>
    <t>2-ABRIL-2026</t>
  </si>
  <si>
    <t>PERFECT GAL</t>
  </si>
  <si>
    <t>Cólico. Eutanizada en mesa.</t>
  </si>
  <si>
    <t>4-ABRIL-2026</t>
  </si>
  <si>
    <t>MOROVI'S PROFIT</t>
  </si>
  <si>
    <t>7-ABRIL-2026</t>
  </si>
  <si>
    <t>ZAPPER MOON</t>
  </si>
  <si>
    <t>8-ABRIL-2026</t>
  </si>
  <si>
    <t>AWESOME LUCKY</t>
  </si>
  <si>
    <t>MOUSEFAST</t>
  </si>
  <si>
    <t>9-ABRIL-2026</t>
  </si>
  <si>
    <t>PITÁGORAS</t>
  </si>
  <si>
    <t>P.R. CONNECTION</t>
  </si>
  <si>
    <t>13-ABRIL-2026</t>
  </si>
  <si>
    <t>DUQUESA</t>
  </si>
  <si>
    <t>MARANATHA SOON</t>
  </si>
  <si>
    <t>15-ABRIL-2026</t>
  </si>
  <si>
    <t>JENGIBRE</t>
  </si>
  <si>
    <t>Canker en los cascos de las cuatro patas.</t>
  </si>
  <si>
    <t>17-ABRIL-2026</t>
  </si>
  <si>
    <t>BELISA</t>
  </si>
  <si>
    <t>OFF THE MEDSS</t>
  </si>
  <si>
    <t>MARKOS</t>
  </si>
  <si>
    <t>MURUMBI</t>
  </si>
  <si>
    <t>Fractura rodilla izquierda. L C3 sagittal fracture.</t>
  </si>
  <si>
    <t>ANDRÉS</t>
  </si>
  <si>
    <t>Fractura rodilla. Post-race.</t>
  </si>
  <si>
    <t>18-ABRIL-2026</t>
  </si>
  <si>
    <t>LOVELY MARTA R</t>
  </si>
  <si>
    <t>23-ABRIL-2026</t>
  </si>
  <si>
    <t>LA MAGNÍFICA</t>
  </si>
  <si>
    <t>24-ABRIL-2026</t>
  </si>
  <si>
    <t>JUVI</t>
  </si>
  <si>
    <t>ACOMPÁÑAME</t>
  </si>
  <si>
    <t>Laminitis.</t>
  </si>
  <si>
    <t>NOVA QUEEN</t>
  </si>
  <si>
    <t>LA LOLIPOP</t>
  </si>
  <si>
    <t>25-ABRIL-2026</t>
  </si>
  <si>
    <t>MALICIOUS LADY</t>
  </si>
  <si>
    <t>Artritis séptica con múltiples fracturas en el radiocarpal e intercarpal.</t>
  </si>
  <si>
    <t>27-ABRIL-2026</t>
  </si>
  <si>
    <t>EL CONDE</t>
  </si>
  <si>
    <t>COSI MOMOSI</t>
  </si>
  <si>
    <t>29-ABRIL-2026</t>
  </si>
  <si>
    <t>MISS UBIÑA 2026</t>
  </si>
  <si>
    <t>Arresto cardiorrespiratorio postop.</t>
  </si>
  <si>
    <t>Referido PRHOA.</t>
  </si>
  <si>
    <t>R Carpal old fractures incomplete R slab, DJD and 4/5 lameness. (Referido PRHOA)</t>
  </si>
  <si>
    <t>Multiple fractures in both knees with callus formation and joint degeneration. (Referido PRHOA)</t>
  </si>
  <si>
    <t>Chronic apical fracture of lateral sesamoid of LF fetlock with joint erosion. (Referido PRHOA)</t>
  </si>
  <si>
    <t>Joint infection of R Knee + LF fetlock. Fracture of lateral sesamoid of LF fetlock. (Referido PRHOA)</t>
  </si>
  <si>
    <t>Artritis severa ambas rodillas. (Referido PHROA)</t>
  </si>
  <si>
    <t>Loss of joint space both front ankles, Hycoat epidemic. (Referido PRHOA)</t>
  </si>
  <si>
    <t>Severe osteoarthritis and palmar metacarpal disease with severe joint space reduction or loss. (Referido PRHOA)</t>
  </si>
  <si>
    <t>Severe loss of joint space of both ankles producing constant pain. (Referido PRHOA)</t>
  </si>
  <si>
    <t>L Carpal slab fracture multiple old bilateral carpal fragments. (Referido PRHOA)</t>
  </si>
  <si>
    <t>Artritis severa menudillo derecho delantero. (Referido PRHOA)</t>
  </si>
  <si>
    <t>Severe loss of joint space of front ankles. (Referido PRHOA)</t>
  </si>
  <si>
    <t>RF Slab C3. (Referido PRHOA)</t>
  </si>
  <si>
    <t>Severe bilateral RC DJD with multiple fragments. (Referido PRHOA)</t>
  </si>
  <si>
    <t>R severe C III slab fracture. (Referido PRHOA)</t>
  </si>
  <si>
    <t>Severe osteochondritic lession of both distal MC III's and hycoat epidemic. (Referido PRHOA)</t>
  </si>
  <si>
    <t>LF fetlock sepsis. Hycoat group. (Referido PRHOA)</t>
  </si>
  <si>
    <t>LF Sepsis arthritis. Hycoat case end stage OA. (Referido PRHOA)</t>
  </si>
  <si>
    <t>Bilateral carpal chips. Hycoat epidemic. (Referido PRHOA)</t>
  </si>
  <si>
    <t>Severe right front ankle arthritis. Hycoat epidemic. (Referido PRHOA)</t>
  </si>
  <si>
    <t>R CIII fragment. Loss of joint space bilateral. Hycoat epidemic. (Referido PRHOA)</t>
  </si>
  <si>
    <t>Multiple bilateral carpal chip fractures. L CIII slab fracture. Hycoat epidemic. (Referido PRHOA)</t>
  </si>
  <si>
    <t>Fractura pelvis. (Referido PRHOA)</t>
  </si>
  <si>
    <t>Bilateral multiple large chip fractures with loss of joint space. Hycoat epidemic. (Referido PRHOA)</t>
  </si>
  <si>
    <t xml:space="preserve">ARTRITIS EN AMBOS MENUDILLOS DELANTERO (REFERIDO PRHOA) </t>
  </si>
  <si>
    <t xml:space="preserve">SEVERE BILATERAL OSTEOCHONDRITIS LESION MCIII HYCOAT EPIDEMIC (REFERIDO PRHOA) </t>
  </si>
  <si>
    <t xml:space="preserve">SEVERE ARTRITIS BOTH ANKLES, BOTH KNESS HYCOAT EPIDEMIC (REFERIDO PRHOA) </t>
  </si>
  <si>
    <t xml:space="preserve">SEVERE BILATERAL FRONK ANKLE ARTHRITIS AND HYCOAT EPIDEMIC (REFEREIDO PRHOA) </t>
  </si>
  <si>
    <t xml:space="preserve">SEPSIS TENDON Y MENUDILLO DERECHO, HYCOAT EPIDEMIC (REFERIDO PRHOA) </t>
  </si>
  <si>
    <t xml:space="preserve">BILATERAL SEVERE ARTHRITIS BOTH RC JOINTS + HYCOAT EPIDEMIC (REFERIDO PRHOA) </t>
  </si>
  <si>
    <t xml:space="preserve">SEPSI RODILLA IZQ Y MENUDILLO DERECHO DELANTERO. HYCOAT EPIDEMIC (REFERIDO PRHOA) </t>
  </si>
  <si>
    <t>C3 Slab fx LF knee (Displaced C3 Slab fx). (Referido Dr. Víctor Bozzo)</t>
  </si>
  <si>
    <t>Chronic laminits RF fetlock. Estaba en Segundo Galope. (Referido PRHOA)</t>
  </si>
  <si>
    <t>C3 RF Knee fx slab chip. (Referido PRHOA)</t>
  </si>
  <si>
    <t>Hycoat epidemic. (Referido PRHOA)</t>
  </si>
  <si>
    <t>Severe osteochondritis chronic palmar metacarpal disease. 4/5 lameness. (Referido PRHOA)</t>
  </si>
  <si>
    <t>Bilateral carpal sepsis &amp; degenerative changes (severe). Hycoat epidemic. (Referido PRHOA)</t>
  </si>
  <si>
    <t>Osteomyelitis. Hycoat epidemic. No articular space RF fetlock. (Referido PRHOA)</t>
  </si>
  <si>
    <t>Severe arthritis and multiple chip fx of L Knee. Severe osteoarthritis of L Fetlock with minimal articular space. (Referido PRHOA)</t>
  </si>
  <si>
    <t>Sepsis RF fetlock + Coffin joint. Hycoat epidemic. (Referido PRHOA)</t>
  </si>
  <si>
    <t>Arthritis of both front fetlocks with joint erosion due to hycoat epidemic. (Referido PRHOA)</t>
  </si>
  <si>
    <t>Severe arthritis of front fetlocks with joint erosion due to hycoat epidemic. (Referido PRHOA)</t>
  </si>
  <si>
    <t>LF fetlock sepsis. Hycoat epidemic. (Referido PRHOA)</t>
  </si>
  <si>
    <t>Bilateral carpal sepsis. Severe DJD. Hycoat epidemic. (Referido PRHOA)</t>
  </si>
  <si>
    <t>Severe sepsis both knees. Hycoat epidemic. (Referido PRHOA)</t>
  </si>
  <si>
    <t>Severe R CIII Slab fracture. (Referido PRHOA)</t>
  </si>
  <si>
    <t>Narcolepsia severa. (Referido PRHOA)</t>
  </si>
  <si>
    <t>Bilateral old carpal fractures. Marked DJD. Fetlock hypertension. Grade 4 lame. (Referido PRHOA)</t>
  </si>
  <si>
    <t>Grade 4 lame. Severe bilateral front fetlock OA. Multiple old sesamoid fractures. (Referido PRHOA)</t>
  </si>
  <si>
    <t/>
  </si>
  <si>
    <t>2026</t>
  </si>
  <si>
    <t>CRYSTAL CRECENT</t>
  </si>
  <si>
    <t>IDLE UNION</t>
  </si>
  <si>
    <t>2-MAYO-2026</t>
  </si>
  <si>
    <t>JOAQUÍN ANDRÉS</t>
  </si>
  <si>
    <t>4-MAYO-2026</t>
  </si>
  <si>
    <t>PONCE</t>
  </si>
  <si>
    <t>MI NIÑA PONCEÑA</t>
  </si>
  <si>
    <t>BIG FIG</t>
  </si>
  <si>
    <t>5-MAYO-2026</t>
  </si>
  <si>
    <t>GO BIG BLUE</t>
  </si>
  <si>
    <t>LA INTOCABLE</t>
  </si>
  <si>
    <t>8-MAYO-2026</t>
  </si>
  <si>
    <t>VERÓNICA D</t>
  </si>
  <si>
    <t>11-MAYO-2026</t>
  </si>
  <si>
    <t>INGA</t>
  </si>
  <si>
    <t>CONSEJERO</t>
  </si>
  <si>
    <t>12-MAYO-2026</t>
  </si>
  <si>
    <t>THE UPPERCUT LADY</t>
  </si>
  <si>
    <t>15-MAYO-2026</t>
  </si>
  <si>
    <t>EL GOLDY</t>
  </si>
  <si>
    <t>16-MAYO-2026</t>
  </si>
  <si>
    <t>DAY OF LOVE</t>
  </si>
  <si>
    <t>JE</t>
  </si>
  <si>
    <t>CERVECERA</t>
  </si>
  <si>
    <t>18-MAYO-2026</t>
  </si>
  <si>
    <t>CHIHUAHUA</t>
  </si>
  <si>
    <t>Fractura sesamoide medial menudillo derecho delantero.</t>
  </si>
  <si>
    <t>22-MAYO-2026</t>
  </si>
  <si>
    <t>RED</t>
  </si>
  <si>
    <t>REINA DE COPAS</t>
  </si>
  <si>
    <t>R C-3 Slab fracture. (Se fue a la cuadra)</t>
  </si>
  <si>
    <t>DULCE INEA</t>
  </si>
  <si>
    <t>C.A.C.</t>
  </si>
  <si>
    <t>RAZZEL DAZZLE STAR</t>
  </si>
  <si>
    <t>Small intestine intususecption.</t>
  </si>
  <si>
    <t>SYRIANA MIA 2024</t>
  </si>
  <si>
    <t>23-MAYO-2026</t>
  </si>
  <si>
    <t>REGNATOR</t>
  </si>
  <si>
    <t>27-MAYO-2026</t>
  </si>
  <si>
    <t>EMPRENDEDORA</t>
  </si>
  <si>
    <t>LINDA CRISTY</t>
  </si>
  <si>
    <t>30-MAYO-2026</t>
  </si>
  <si>
    <t>ANA C</t>
  </si>
  <si>
    <t>LIBERTY QUEEN</t>
  </si>
  <si>
    <t>1-JUNIO-2026</t>
  </si>
  <si>
    <t>LAKME</t>
  </si>
  <si>
    <t>3-JUNIO-2026</t>
  </si>
  <si>
    <t>CHINO BRAVO</t>
  </si>
  <si>
    <t xml:space="preserve">L front severe chronic suspensory desmitis. </t>
  </si>
  <si>
    <t>4-JUNIO-2026</t>
  </si>
  <si>
    <t>COMMANDEER</t>
  </si>
  <si>
    <t>END</t>
  </si>
  <si>
    <t>DOÑA TITA N</t>
  </si>
  <si>
    <t>Fractura rodilla izquierda. Artritis severa.</t>
  </si>
  <si>
    <t>5-JUNIO-2026</t>
  </si>
  <si>
    <t>CRIOLLO</t>
  </si>
  <si>
    <t>Artritis severa avanzada. Fractura sesamoide izquierdo.</t>
  </si>
  <si>
    <t>6-JUNIO-2026</t>
  </si>
  <si>
    <t>PUNTO CRUCIAL</t>
  </si>
  <si>
    <t>9-JUNIO-2026</t>
  </si>
  <si>
    <t>SAME AS CASH</t>
  </si>
  <si>
    <t>Fractura de la base sesamoide medial del menudillo derecho y artritis.</t>
  </si>
  <si>
    <t>11-JUNIO-2026</t>
  </si>
  <si>
    <t>E.A.C.</t>
  </si>
  <si>
    <t>LA VALEROSA</t>
  </si>
  <si>
    <t>15-JUNIO-2026</t>
  </si>
  <si>
    <t>ARTCOM</t>
  </si>
  <si>
    <t>SKELLETOR</t>
  </si>
  <si>
    <t>Tendonitis severa (crónica) en ambas patas delanteras.</t>
  </si>
  <si>
    <t>R carpus severe fragmentation RC joint. Loss of joint space. Hycoat epidemic. (Referido PRHOA)</t>
  </si>
  <si>
    <t>Bilateral carpal sepsis. Hycoat epidemic. (Referido PRHOA)</t>
  </si>
  <si>
    <t>LF ankle decreased joint space. Hycoat epidemic. (Referido PRHOA)</t>
  </si>
  <si>
    <t>Multiple carpal fractures (L Knee). Severe RF fetlock DJD. Hycoat epidemic. (Referido PRHOA)</t>
  </si>
  <si>
    <t>Septic arthritis of coffin joint from a solar abscess. (Referido PRHOA)</t>
  </si>
  <si>
    <t>Bilateral multiples carpal chip fractures. Hycoat epidemic. (Referido PRHOA)</t>
  </si>
  <si>
    <t>Septic arthritis of left hind ankle. Hycoat epidemic. (Referido PRHOA)</t>
  </si>
  <si>
    <t>Multiple fragmentation of right radiocarpal joint with loss of joint space. Possibly hycoat case. (Referido PRHOA)</t>
  </si>
  <si>
    <t>T Base sesamoid fracture. (Referido PRHOA)</t>
  </si>
  <si>
    <t>L Knee multiple large RC joint fragments. Chronic lameness. Not an adoption prospect. (Referido PRHOA)</t>
  </si>
  <si>
    <t>(Referido PRHOA)</t>
  </si>
  <si>
    <t>Poor physical condition. Permanent estrus. Very bad behaviour. Not a good adoption candidate. (Referido PRHOA)</t>
  </si>
  <si>
    <t>L Carpal cannal sepsis secondary to traumatic compartment syndrome. (Referido PRHOA. Fue en cuadra)</t>
  </si>
  <si>
    <t>Severe bilateral arthritis of both front ankles. (Referido PRHOA)</t>
  </si>
  <si>
    <t>Founder in supporting leg. Hycoat epidemic. (Referido PRHOA)</t>
  </si>
  <si>
    <t>LFA severe arthritis. Apical sesamoid fracture with severe erosion. (Referido PRHOA)</t>
  </si>
  <si>
    <t>DONA TITA N</t>
  </si>
  <si>
    <t>JOAQUIN ANDRES</t>
  </si>
  <si>
    <t>VERONICA D</t>
  </si>
  <si>
    <t>MI NINA PONCENA</t>
  </si>
  <si>
    <t>MISS UBINA 2026</t>
  </si>
  <si>
    <t>(Multiple Items)</t>
  </si>
  <si>
    <t>2/ENERO/2024</t>
  </si>
  <si>
    <t>3/ENERO/2024</t>
  </si>
  <si>
    <t>4/ENERO/2024</t>
  </si>
  <si>
    <t>5/ENERO/2024</t>
  </si>
  <si>
    <t>7/ENERO/2024</t>
  </si>
  <si>
    <t>8/ENERO/2024</t>
  </si>
  <si>
    <t>11/ENERO/2024</t>
  </si>
  <si>
    <t>12/ENERO/2024</t>
  </si>
  <si>
    <t>13/ENERO/2024</t>
  </si>
  <si>
    <t>14/ENERO/2024</t>
  </si>
  <si>
    <t>15/ENERO/2024</t>
  </si>
  <si>
    <t>16/ENERO/2024</t>
  </si>
  <si>
    <t>19/ENERO/2024</t>
  </si>
  <si>
    <t>20/ENERO/2024</t>
  </si>
  <si>
    <t>22/ENERO/2024</t>
  </si>
  <si>
    <t>26/ENERO/2024</t>
  </si>
  <si>
    <t>31/ENERO/2024</t>
  </si>
  <si>
    <t>2/FEBRERO/2024</t>
  </si>
  <si>
    <t>5/FEBRERO/2024</t>
  </si>
  <si>
    <t>7/FEBRERO/2024</t>
  </si>
  <si>
    <t>8/FEBRERO/2024</t>
  </si>
  <si>
    <t>9/FEBRERO/2024</t>
  </si>
  <si>
    <t>12/FEBRERO/2024</t>
  </si>
  <si>
    <t>13/FEBRERO/2024</t>
  </si>
  <si>
    <t>14/FEBRERO/2024</t>
  </si>
  <si>
    <t>16/FEBRERO/2024</t>
  </si>
  <si>
    <t>19/FEBRERO/2024</t>
  </si>
  <si>
    <t>22/FEBRERO/2024</t>
  </si>
  <si>
    <t>23/FEBRERO/2024</t>
  </si>
  <si>
    <t>24/FEBRERO/2024</t>
  </si>
  <si>
    <t>27/FEBRERO/2024</t>
  </si>
  <si>
    <t>1/MARZO/2024</t>
  </si>
  <si>
    <t>4/MARZO/2024</t>
  </si>
  <si>
    <t>6/MARZO/2024</t>
  </si>
  <si>
    <t>7/MARZO/2024</t>
  </si>
  <si>
    <t>8/MARZO/2024</t>
  </si>
  <si>
    <t>9/MARZO/2024</t>
  </si>
  <si>
    <t>11/MARZO/2024</t>
  </si>
  <si>
    <t>12/MARZO/2024</t>
  </si>
  <si>
    <t>13/MARZO/2024</t>
  </si>
  <si>
    <t>15/MARZO/2024</t>
  </si>
  <si>
    <t>16/MARZO/2024</t>
  </si>
  <si>
    <t>20/MARZO/2024</t>
  </si>
  <si>
    <t>27/MARZO/2024</t>
  </si>
  <si>
    <t>28/MARZO/2024</t>
  </si>
  <si>
    <t>1/ABRIL/2024</t>
  </si>
  <si>
    <t>2/ABRIL/2024</t>
  </si>
  <si>
    <t>5/ABRIL/2024</t>
  </si>
  <si>
    <t>6/ABRIL/2024</t>
  </si>
  <si>
    <t>15/ABRIL/2024</t>
  </si>
  <si>
    <t>19/ABRIL/2024</t>
  </si>
  <si>
    <t>20/ABRIL/2024</t>
  </si>
  <si>
    <t>23/ABRIL/2024</t>
  </si>
  <si>
    <t>26/ABRIL/2024</t>
  </si>
  <si>
    <t>27/ABRIL/2024</t>
  </si>
  <si>
    <t>29/ABRIL/2024</t>
  </si>
  <si>
    <t>1/MAYO/2024</t>
  </si>
  <si>
    <t>3/MAYO/2024</t>
  </si>
  <si>
    <t>4/MAYO/2024</t>
  </si>
  <si>
    <t>VALE/MAR</t>
  </si>
  <si>
    <t>6/MAYO/2024</t>
  </si>
  <si>
    <t>7/MAYO/2024</t>
  </si>
  <si>
    <t>10/MAYO/2024</t>
  </si>
  <si>
    <t>11/MAYO/2024</t>
  </si>
  <si>
    <t>15/MAYO/2024</t>
  </si>
  <si>
    <t>17/MAYO/2024</t>
  </si>
  <si>
    <t>20/MAYO/2024</t>
  </si>
  <si>
    <t>22/MAYO/2024</t>
  </si>
  <si>
    <t>27/MAYO/2024</t>
  </si>
  <si>
    <t>29/MAYO/2024</t>
  </si>
  <si>
    <t>31/MAYO/2024</t>
  </si>
  <si>
    <t>3/JUNIO/2024</t>
  </si>
  <si>
    <t>10/JUNIO/2024</t>
  </si>
  <si>
    <t>11/JUNIO/2024</t>
  </si>
  <si>
    <t>13/JUNIO/2024</t>
  </si>
  <si>
    <t>14/JUNIO/2024</t>
  </si>
  <si>
    <t>15/JUNIO/2024</t>
  </si>
  <si>
    <t>R C/3 Slab fracture. Referido PRHOA.</t>
  </si>
  <si>
    <t>R C/3 Slab fracture. EMERGENCIA POST/RACE.</t>
  </si>
  <si>
    <t>16/JUNIO/2024</t>
  </si>
  <si>
    <t>17/JUNIO/2024</t>
  </si>
  <si>
    <t>18/JUNIO/2024</t>
  </si>
  <si>
    <t>19/JUNIO/2024</t>
  </si>
  <si>
    <t>Laminitis en todas las extremidades post/cólico. Referido PRHOA.</t>
  </si>
  <si>
    <t>21/JUNIO/2024</t>
  </si>
  <si>
    <t>22/JUNIO/2024</t>
  </si>
  <si>
    <t>24/JUNIO/2024</t>
  </si>
  <si>
    <t>25/JUNIO/2024</t>
  </si>
  <si>
    <t>26/JUNIO/2024</t>
  </si>
  <si>
    <t>29/JUNIO/2024</t>
  </si>
  <si>
    <t>3/JULIO/2024</t>
  </si>
  <si>
    <t>4/JULIO/2024</t>
  </si>
  <si>
    <t>5/JULIO/2024</t>
  </si>
  <si>
    <t>6/JULIO/2024</t>
  </si>
  <si>
    <t>7/JULIO/2024</t>
  </si>
  <si>
    <t>8/JULIO/2024</t>
  </si>
  <si>
    <t>9/JULIO/2024</t>
  </si>
  <si>
    <t>10/JULIO/2024</t>
  </si>
  <si>
    <t>11/JULIO/2024</t>
  </si>
  <si>
    <t>15/JULIO/2024</t>
  </si>
  <si>
    <t>17/JULIO/2024</t>
  </si>
  <si>
    <t>18/JULIO/2024</t>
  </si>
  <si>
    <t>19/JULIO/2024</t>
  </si>
  <si>
    <t>20/JULIO/2024</t>
  </si>
  <si>
    <t>22/JULIO/2024</t>
  </si>
  <si>
    <t>23/JULIO/2024</t>
  </si>
  <si>
    <t>24/JULIO/2024</t>
  </si>
  <si>
    <t>26/JULIO/2024</t>
  </si>
  <si>
    <t>28/JULIO/2024</t>
  </si>
  <si>
    <t>29/JULIO/2024</t>
  </si>
  <si>
    <t>31/JULIO/2024</t>
  </si>
  <si>
    <t>2/AGOSTO/2024</t>
  </si>
  <si>
    <t>3/AGOSTO/2024</t>
  </si>
  <si>
    <t>8/AGOSTO/2024</t>
  </si>
  <si>
    <t>13/AGOSTO/2024</t>
  </si>
  <si>
    <t>17/AGOSTO/2024</t>
  </si>
  <si>
    <t>19/AGOSTO/2024</t>
  </si>
  <si>
    <t>20/AGOSTO/2024</t>
  </si>
  <si>
    <t>28/AGOSTO/2024</t>
  </si>
  <si>
    <t>31/AGOSTO/2024</t>
  </si>
  <si>
    <t>3/SEPTIEMBRE/2024</t>
  </si>
  <si>
    <t>5/SEPTIEMBRE/2024</t>
  </si>
  <si>
    <t>6/SEPTIEMBRE/2024</t>
  </si>
  <si>
    <t>7/SEPTIEMBRE/2024</t>
  </si>
  <si>
    <t>9/SEPTIEMBRE/2024</t>
  </si>
  <si>
    <t>10/SEPTIEMBRE/2024</t>
  </si>
  <si>
    <t>12/SEPTIEMBRE/2024</t>
  </si>
  <si>
    <t>L Knee C/3 fracture/R Knee radiocarpal proximal fracture. (Referido PRHOA)</t>
  </si>
  <si>
    <t>13/SEPTIEMBRE/2024</t>
  </si>
  <si>
    <t>17/SEPTIEMBRE/2024</t>
  </si>
  <si>
    <t>L C/3 Slab fracture.</t>
  </si>
  <si>
    <t>18/SEPTIEMBRE/2024</t>
  </si>
  <si>
    <t>19/SEPTIEMBRE/2024</t>
  </si>
  <si>
    <t>Post/race 6:42pm</t>
  </si>
  <si>
    <t>20/SEPTIEMBRE/2024</t>
  </si>
  <si>
    <t>23/SEPTIEMBRE/2024</t>
  </si>
  <si>
    <t>C/3 Slab fracture L Knee</t>
  </si>
  <si>
    <t>27/SEPTIEMBRE/2024</t>
  </si>
  <si>
    <t>LF Knee C/3 fracture with multiple big fragments both joints. Can't train. (Referido PRHOA)</t>
  </si>
  <si>
    <t>30/SEPTIEMBRE/2024</t>
  </si>
  <si>
    <t>1/OCTUBRE/2024</t>
  </si>
  <si>
    <t>2/OCTUBRE/2024</t>
  </si>
  <si>
    <t>3/OCTUBRE/2024</t>
  </si>
  <si>
    <t>5/OCTUBRE/2024</t>
  </si>
  <si>
    <t>8/OCTUBRE/2024</t>
  </si>
  <si>
    <t>10/OCTUBRE/2024</t>
  </si>
  <si>
    <t>C/3 Slab fracture L Knee (Referido PRHOA)</t>
  </si>
  <si>
    <t>21/OCTUBRE/2024</t>
  </si>
  <si>
    <t>22/OCTUBRE/2024</t>
  </si>
  <si>
    <t>23/OCTUBRE/2024</t>
  </si>
  <si>
    <t>25/OCTUBRE/2024</t>
  </si>
  <si>
    <t>L C/3 Slab fracture</t>
  </si>
  <si>
    <t>28/OCTUBRE/2024</t>
  </si>
  <si>
    <t>4/NOVIEMBRE/2024</t>
  </si>
  <si>
    <t>5/NOVIEMBRE/2024</t>
  </si>
  <si>
    <t>9/NOVIEMBRE/2024</t>
  </si>
  <si>
    <t>10/NOVIEMBRE/2024</t>
  </si>
  <si>
    <t>11/NOVIEMBRE/2024</t>
  </si>
  <si>
    <t>12/NOVIEMBRE/2024</t>
  </si>
  <si>
    <t>L C/3 Slab fracture. (Referido PRHOA)</t>
  </si>
  <si>
    <t>16/NOVIEMBRE/2024</t>
  </si>
  <si>
    <t>18/NOVIEMBRE/2024</t>
  </si>
  <si>
    <t>2/DICIEMBRE/2024</t>
  </si>
  <si>
    <t>3/DICIEMBRE/2024</t>
  </si>
  <si>
    <t>7/DICIEMBRE/2024</t>
  </si>
  <si>
    <t>8/DICIEMBRE/2024</t>
  </si>
  <si>
    <t>11/DICIEMBRE/2024</t>
  </si>
  <si>
    <t>13/DICIEMBRE/2024</t>
  </si>
  <si>
    <t>14/DICIEMBRE/2024</t>
  </si>
  <si>
    <t>16/DICIEMBRE/2024</t>
  </si>
  <si>
    <t>20/DICIEMBRE/2024</t>
  </si>
  <si>
    <t>21/DICIEMBRE/2024</t>
  </si>
  <si>
    <t>23/DICIEMBRE/2024</t>
  </si>
  <si>
    <t>27/DICIEMBRE/2024</t>
  </si>
  <si>
    <t>28/DICIEMBRE/2024</t>
  </si>
  <si>
    <t>30/DICIEMBRE/2024</t>
  </si>
  <si>
    <t>31/DICIEMBRE/2024</t>
  </si>
  <si>
    <t>12/MARZO/2025</t>
  </si>
  <si>
    <t>31/OCTUBRE/2025</t>
  </si>
  <si>
    <t>13/AGOSTO/2025</t>
  </si>
  <si>
    <t>15/SEPTIEMBRE/2025</t>
  </si>
  <si>
    <t>28/JULIO/2025</t>
  </si>
  <si>
    <t>15/JULIO/2025</t>
  </si>
  <si>
    <t>18/FEBRERO/2025</t>
  </si>
  <si>
    <t>24/JUNIO/2025</t>
  </si>
  <si>
    <t>20/FEBRERO/2025</t>
  </si>
  <si>
    <t>6/MARZO/2025</t>
  </si>
  <si>
    <t>28/ENERO/2025</t>
  </si>
  <si>
    <t>5/NOVIEMBRE/2025</t>
  </si>
  <si>
    <t>Operado dos veces de C/3 rodilla derecha. Artritis severa con múltiples fragmentos articulares y fisuras en C/3. (Referido Dr. Bozzo)</t>
  </si>
  <si>
    <t>23/MAYO/2025</t>
  </si>
  <si>
    <t>21/ENERO/2025</t>
  </si>
  <si>
    <t>13/FEBRERO/2025</t>
  </si>
  <si>
    <t>19/MAYO/2025</t>
  </si>
  <si>
    <t>9/ENERO/2025</t>
  </si>
  <si>
    <t>10/MARZO/2025</t>
  </si>
  <si>
    <t>21/FEBRERO/2025</t>
  </si>
  <si>
    <t>Repaired C/3 Slab refractured/Septic arthritis (Referido PRHOA)</t>
  </si>
  <si>
    <t>30/ABRIL/2025</t>
  </si>
  <si>
    <t>14/ENERO/2025</t>
  </si>
  <si>
    <t>10/FEBRERO/2025</t>
  </si>
  <si>
    <t>25/FEBRERO/2025</t>
  </si>
  <si>
    <t>24/ENERO/2025</t>
  </si>
  <si>
    <t>11/FEBRERO/2025</t>
  </si>
  <si>
    <t>31/ENERO/2025</t>
  </si>
  <si>
    <t>Artritis en ambos menudillos delanteros. Fractura sagital de C/3 (rodilla derecha).</t>
  </si>
  <si>
    <t>4/FEBRERO/2025</t>
  </si>
  <si>
    <t>26/ENERO/2025</t>
  </si>
  <si>
    <t>Rodilla derecha/ Slab FX</t>
  </si>
  <si>
    <t>27/ENERO/2025</t>
  </si>
  <si>
    <t>DU/RA/KO</t>
  </si>
  <si>
    <t>13/MAYO/2025</t>
  </si>
  <si>
    <t>17/FEBRERO/2025</t>
  </si>
  <si>
    <t>14/MARZO/2025</t>
  </si>
  <si>
    <t>15/FEBRERO/2025</t>
  </si>
  <si>
    <t>30/JUNIO/2025</t>
  </si>
  <si>
    <t>3/MARZO/2025</t>
  </si>
  <si>
    <t>13/JUNIO/2025</t>
  </si>
  <si>
    <t>17/MARZO/2025</t>
  </si>
  <si>
    <t>5/MARZO/2025</t>
  </si>
  <si>
    <t>8/ABRIL/2025</t>
  </si>
  <si>
    <t>Artritis crónica ambos menudillos delanteros. Fractura sagital L C/3. Artritis séptica L RC.</t>
  </si>
  <si>
    <t>26/JULIO/2025</t>
  </si>
  <si>
    <t>15/MARZO/2025</t>
  </si>
  <si>
    <t>Fracture LF P/1</t>
  </si>
  <si>
    <t>18/MARZO/2025</t>
  </si>
  <si>
    <t>28/MARZO/2025</t>
  </si>
  <si>
    <t>C/3 Slab fracture (Referido PRHOA)</t>
  </si>
  <si>
    <t>17/JULIO/2025</t>
  </si>
  <si>
    <t>7/ABRIL/2025</t>
  </si>
  <si>
    <t>25/ABRIL/2025</t>
  </si>
  <si>
    <t>24/MAYO/2025</t>
  </si>
  <si>
    <t>27/JUNIO/2025</t>
  </si>
  <si>
    <t>4/AGOSTO/2025</t>
  </si>
  <si>
    <t>22/ABRIL/2025</t>
  </si>
  <si>
    <t>8/JUNIO/2025</t>
  </si>
  <si>
    <t>1/JULIO/2025</t>
  </si>
  <si>
    <t>30/MAYO/2025</t>
  </si>
  <si>
    <t>3/JULIO/2025</t>
  </si>
  <si>
    <t>16/MAYO/2025</t>
  </si>
  <si>
    <t>12/MAYO/2025</t>
  </si>
  <si>
    <t>29/MAYO/2025</t>
  </si>
  <si>
    <t>R C/3 Slab fracture.</t>
  </si>
  <si>
    <t>7/JUNIO/2025</t>
  </si>
  <si>
    <t>26/MAYO/2025</t>
  </si>
  <si>
    <t>14/JULIO/2025</t>
  </si>
  <si>
    <t xml:space="preserve">C/3 Slab fracture (Rodilla izquierda). </t>
  </si>
  <si>
    <t>11/JULIO/2025</t>
  </si>
  <si>
    <t>25/SEPTIEMBRE/2025</t>
  </si>
  <si>
    <t>Mid/body fracture of medial sesamoid + apical fracture of lateral sesamoid.</t>
  </si>
  <si>
    <t>1/AGOSTO/2025</t>
  </si>
  <si>
    <t>1/JUNIO/2025</t>
  </si>
  <si>
    <t>10/JUNIO/2025</t>
  </si>
  <si>
    <t>9/JUNIO/2025</t>
  </si>
  <si>
    <t>27/SEPTIEMBRE/2025</t>
  </si>
  <si>
    <t>30/OCTUBRE/2025</t>
  </si>
  <si>
    <t>23/JUNIO/2025</t>
  </si>
  <si>
    <t>7/JULIO/2025</t>
  </si>
  <si>
    <t>21/JULIO/2025</t>
  </si>
  <si>
    <t>19/JULIO/2025</t>
  </si>
  <si>
    <t>14/AGOSTO/2025</t>
  </si>
  <si>
    <t>3/SEPTIEMBRE/2025</t>
  </si>
  <si>
    <t>16/JULIO/2025</t>
  </si>
  <si>
    <t>6/JULIO/2025</t>
  </si>
  <si>
    <t>18/AGOSTO/2025</t>
  </si>
  <si>
    <t>11/AGOSTO/2025</t>
  </si>
  <si>
    <t>23/JULIO/2025</t>
  </si>
  <si>
    <t>31/JULIO/2025</t>
  </si>
  <si>
    <t>Breakdown injury LF Knee. (Guardia PRHOA/PM)</t>
  </si>
  <si>
    <t>3/AGOSTO/2025</t>
  </si>
  <si>
    <t>1/OCTUBRE/2025</t>
  </si>
  <si>
    <t>26/SEPTIEMBRE/2025</t>
  </si>
  <si>
    <t>25/AGOSTO/2025</t>
  </si>
  <si>
    <t>19/SEPTIEMBRE/2025</t>
  </si>
  <si>
    <t>9/AGOSTO/2025</t>
  </si>
  <si>
    <t>20/AGOSTO/2025</t>
  </si>
  <si>
    <t>24/SEPTIEMBRE/2025</t>
  </si>
  <si>
    <t>21/OCTUBRE/2025</t>
  </si>
  <si>
    <t>Fractura rodilla derecha (C/3 slab).</t>
  </si>
  <si>
    <t>4/SEPTIEMBRE/2025</t>
  </si>
  <si>
    <t>15/OCTUBRE/2025</t>
  </si>
  <si>
    <t>24/OCTUBRE/2025</t>
  </si>
  <si>
    <t>24/AGOSTO/2025</t>
  </si>
  <si>
    <t>28/AGOSTO/2025</t>
  </si>
  <si>
    <t>9/DICIEMBRE/2025</t>
  </si>
  <si>
    <t>3/OCTUBRE/2025</t>
  </si>
  <si>
    <t>29/SEPTIEMBRE/2025</t>
  </si>
  <si>
    <t>6/OCTUBRE/2025</t>
  </si>
  <si>
    <t>13/OCTUBRE/2025</t>
  </si>
  <si>
    <t>26/NOVIEMBRE/2025</t>
  </si>
  <si>
    <t>3/NOVIEMBRE/2025</t>
  </si>
  <si>
    <t>23/OCTUBRE/2025</t>
  </si>
  <si>
    <t>28/SEPTIEMBRE/2025</t>
  </si>
  <si>
    <t>30/DICIEMBRE/2025</t>
  </si>
  <si>
    <t>23/DICIEMBRE/2025</t>
  </si>
  <si>
    <t>14/OCTUBRE/2025</t>
  </si>
  <si>
    <t>20/OCTUBRE/2025</t>
  </si>
  <si>
    <t>24/NOVIEMBRE/2025</t>
  </si>
  <si>
    <t>16/DICIEMBRE/2025</t>
  </si>
  <si>
    <t>1/DICIEMBRE/2025</t>
  </si>
  <si>
    <t>24/DICIEMBRE/2025</t>
  </si>
  <si>
    <t>28/NOVIEMBRE/2025</t>
  </si>
  <si>
    <t>4/DICIEMBRE/2025</t>
  </si>
  <si>
    <t>20/NOVIEMBRE/2025</t>
  </si>
  <si>
    <t>31/DICIEMBRE/2025</t>
  </si>
  <si>
    <t>22/NOVIEMBRE/2025</t>
  </si>
  <si>
    <t>13/DICIEMBRE/2025</t>
  </si>
  <si>
    <t>19/DICIEMBRE/2025</t>
  </si>
  <si>
    <t>5/DICIEMBRE/2025</t>
  </si>
  <si>
    <t>Pobre condición física post/cólico.</t>
  </si>
  <si>
    <t>12/DICIEMBRE/2025</t>
  </si>
  <si>
    <t>Fractura C/3 (slab) rodilla derecha.</t>
  </si>
  <si>
    <t>26/DICIEMBRE/2025</t>
  </si>
  <si>
    <t>20/DICIEMBRE/2025</t>
  </si>
  <si>
    <t>1/MARZO/2025</t>
  </si>
  <si>
    <t>30/JULIO/2025</t>
  </si>
  <si>
    <t>22/SEPTIEMBRE/2025</t>
  </si>
  <si>
    <t>29/OCTUBRE/2025</t>
  </si>
  <si>
    <t>1/NOVIEMBRE/2025</t>
  </si>
  <si>
    <t>21/NOVIEMBRE/2025</t>
  </si>
  <si>
    <t>29/DICIEMBRE/2025</t>
  </si>
  <si>
    <t>2/ENERO/2026</t>
  </si>
  <si>
    <t>3/ENERO/2026</t>
  </si>
  <si>
    <t>RF C/3 Slab fracture. (Referido PRHOA)</t>
  </si>
  <si>
    <t>5/ENERO/2026</t>
  </si>
  <si>
    <t>12/ENERO/2026</t>
  </si>
  <si>
    <t>14/ENERO/2026</t>
  </si>
  <si>
    <t>26/ENERO/2026</t>
  </si>
  <si>
    <t>28/ENERO/2026</t>
  </si>
  <si>
    <t>30/ENERO/2026</t>
  </si>
  <si>
    <t>31/ENERO/2026</t>
  </si>
  <si>
    <t>2/FEBRERO/2026</t>
  </si>
  <si>
    <t>3/FEBRERO/2026</t>
  </si>
  <si>
    <t>4/FEBRERO/2026</t>
  </si>
  <si>
    <t>5/FEBRERO/2026</t>
  </si>
  <si>
    <t>6/FEBRERO/2026</t>
  </si>
  <si>
    <t>9/FEBRERO/2026</t>
  </si>
  <si>
    <t>10/FEBRERO/2026</t>
  </si>
  <si>
    <t>11/FEBRERO/2026</t>
  </si>
  <si>
    <t>12/FEBRERO/2026</t>
  </si>
  <si>
    <t>13/FEBRERO/2026</t>
  </si>
  <si>
    <t>18/FEBRERO/2026</t>
  </si>
  <si>
    <t>19/FEBRERO/2026</t>
  </si>
  <si>
    <t>20/FEBRERO/2026</t>
  </si>
  <si>
    <t>21/FEBRERO/2026</t>
  </si>
  <si>
    <t>24/FEBRERO/2026</t>
  </si>
  <si>
    <t>C/3 Slab fracture RF.</t>
  </si>
  <si>
    <t>25/FEBRERO/2026</t>
  </si>
  <si>
    <t>27/FEBRERO/2026</t>
  </si>
  <si>
    <t>28/FEBRERO/2026</t>
  </si>
  <si>
    <t>2/MARZO/2026</t>
  </si>
  <si>
    <t xml:space="preserve">MA/D/CO </t>
  </si>
  <si>
    <t>3/MARZO/2026</t>
  </si>
  <si>
    <t>4/MARZO/2026</t>
  </si>
  <si>
    <t xml:space="preserve">L C/3 AND RADIOCARPAL BONE SLABS FRACTURES </t>
  </si>
  <si>
    <t>5/MARZO/2026</t>
  </si>
  <si>
    <t>7/MARZO/2026</t>
  </si>
  <si>
    <t>9/MARZO/2026</t>
  </si>
  <si>
    <t>10/MARZO/2026</t>
  </si>
  <si>
    <t>12/MARZO/2026</t>
  </si>
  <si>
    <t>16/MARZO/2026</t>
  </si>
  <si>
    <t>18/MARZO/2026</t>
  </si>
  <si>
    <t>21/MARZO/2026</t>
  </si>
  <si>
    <t>22/MARZO/2026</t>
  </si>
  <si>
    <t>23/MARZO/2026</t>
  </si>
  <si>
    <t>24/MARZO/2026</t>
  </si>
  <si>
    <t>25/MARZO/2026</t>
  </si>
  <si>
    <t>30/MARZO/2026</t>
  </si>
  <si>
    <t>4/ABRIL/2026</t>
  </si>
  <si>
    <t>7/ABRIL/2026</t>
  </si>
  <si>
    <t>8/ABRIL/2026</t>
  </si>
  <si>
    <t>9/ABRIL/2026</t>
  </si>
  <si>
    <t>13/ABRIL/2026</t>
  </si>
  <si>
    <t>15/ABRIL/2026</t>
  </si>
  <si>
    <t>17/ABRIL/2026</t>
  </si>
  <si>
    <t>Fractura rodilla. Post/race.</t>
  </si>
  <si>
    <t>18/ABRIL/2026</t>
  </si>
  <si>
    <t>23/ABRIL/2026</t>
  </si>
  <si>
    <t>24/ABRIL/2026</t>
  </si>
  <si>
    <t>25/ABRIL/2026</t>
  </si>
  <si>
    <t>27/ABRIL/2026</t>
  </si>
  <si>
    <t>29/ABRIL/2026</t>
  </si>
  <si>
    <t>2/MAYO/2026</t>
  </si>
  <si>
    <t>4/MAYO/2026</t>
  </si>
  <si>
    <t>5/MAYO/2026</t>
  </si>
  <si>
    <t>8/MAYO/2026</t>
  </si>
  <si>
    <t>11/MAYO/2026</t>
  </si>
  <si>
    <t>12/MAYO/2026</t>
  </si>
  <si>
    <t>15/MAYO/2026</t>
  </si>
  <si>
    <t>16/MAYO/2026</t>
  </si>
  <si>
    <t>18/MAYO/2026</t>
  </si>
  <si>
    <t>22/MAYO/2026</t>
  </si>
  <si>
    <t>R C/3 Slab fracture. (Se fue a la cuadra)</t>
  </si>
  <si>
    <t>23/MAYO/2026</t>
  </si>
  <si>
    <t>27/MAYO/2026</t>
  </si>
  <si>
    <t>30/MAYO/2026</t>
  </si>
  <si>
    <t>3/JUNIO/2026</t>
  </si>
  <si>
    <t>4/JUNIO/2026</t>
  </si>
  <si>
    <t>5/JUNIO/2026</t>
  </si>
  <si>
    <t>6/JUNIO/2026</t>
  </si>
  <si>
    <t>9/JUNIO/2026</t>
  </si>
  <si>
    <t>11/JUNIO/2026</t>
  </si>
  <si>
    <t>15/JUNIO/2026</t>
  </si>
  <si>
    <t>ADVOCATE HARBOR</t>
  </si>
  <si>
    <t>EL INVESTIGADOR</t>
  </si>
  <si>
    <t>FOREMAN</t>
  </si>
  <si>
    <t>IMMACULATE SPIRIT</t>
  </si>
  <si>
    <t>SKULL FOREVER</t>
  </si>
  <si>
    <t>EL CRECIMIENTO</t>
  </si>
  <si>
    <t>SIMILAR</t>
  </si>
  <si>
    <t>DEBDURITE</t>
  </si>
  <si>
    <t>AUSTRALIS ROYALTY</t>
  </si>
  <si>
    <t>WIN WIN ROSE</t>
  </si>
  <si>
    <t>LAS COLINAS</t>
  </si>
  <si>
    <t>EASY ANSWER</t>
  </si>
  <si>
    <t>Death Date (Year)</t>
  </si>
  <si>
    <t>Data Inconsistente</t>
  </si>
  <si>
    <t>Caballos</t>
  </si>
  <si>
    <t>Meses</t>
  </si>
  <si>
    <t>Razón muerte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</si>
</sst>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m/d/yyyy;m/d/yyyy;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484848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horizontal="center" wrapText="1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 applyAlignment="1">
      <alignment horizontal="center"/>
    </xf>
    <xf numFmtId="0" fontId="4" fillId="0" borderId="0" xfId="0" applyFont="1"/>
    <xf numFmtId="9" fontId="0" fillId="0" borderId="0" xfId="1" applyFont="1"/>
    <xf numFmtId="14" fontId="5" fillId="0" borderId="0" xfId="0" applyNumberFormat="1" applyFont="1"/>
    <xf numFmtId="14" fontId="5" fillId="0" borderId="0" xfId="2" applyNumberFormat="1" applyFont="1"/>
    <xf numFmtId="14" fontId="5" fillId="2" borderId="0" xfId="0" applyNumberFormat="1" applyFont="1" applyFill="1" applyAlignment="1">
      <alignment vertical="center" wrapText="1"/>
    </xf>
    <xf numFmtId="0" fontId="0" fillId="3" borderId="0" xfId="0" applyFill="1"/>
    <xf numFmtId="14" fontId="0" fillId="3" borderId="0" xfId="0" applyNumberFormat="1" applyFill="1"/>
    <xf numFmtId="0" fontId="2" fillId="0" borderId="2" xfId="0" applyFont="1" applyBorder="1" applyAlignment="1">
      <alignment horizontal="center" vertical="top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14" fontId="5" fillId="0" borderId="0" xfId="0" applyNumberFormat="1" applyFont="1" applyAlignment="1">
      <alignment vertical="center" wrapText="1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6" fillId="0" borderId="0" xfId="0" applyFont="1"/>
    <xf numFmtId="1" fontId="2" fillId="0" borderId="0" xfId="0" applyNumberFormat="1" applyFont="1"/>
    <xf numFmtId="164" fontId="0" fillId="0" borderId="0" xfId="0" applyNumberFormat="1"/>
    <xf numFmtId="165" fontId="0" fillId="0" borderId="0" xfId="2" applyNumberFormat="1" applyFont="1"/>
    <xf numFmtId="165" fontId="2" fillId="0" borderId="1" xfId="2" applyNumberFormat="1" applyFont="1" applyBorder="1"/>
    <xf numFmtId="165" fontId="0" fillId="3" borderId="0" xfId="2" applyNumberFormat="1" applyFont="1" applyFill="1"/>
    <xf numFmtId="2" fontId="2" fillId="0" borderId="3" xfId="2" applyNumberFormat="1" applyFont="1" applyBorder="1"/>
    <xf numFmtId="2" fontId="0" fillId="0" borderId="0" xfId="2" applyNumberFormat="1" applyFont="1"/>
    <xf numFmtId="0" fontId="2" fillId="0" borderId="0" xfId="0" applyFont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pivotButton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45">
    <dxf>
      <alignment vertic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b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9" formatCode="m/d/yyyy"/>
    </dxf>
    <dxf>
      <numFmt numFmtId="14" formatCode="0.00%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5789AC4D-D704-408A-8591-E8E49398E0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2.xml"/><Relationship Id="rId21" Type="http://schemas.openxmlformats.org/officeDocument/2006/relationships/theme" Target="theme/theme1.xml"/><Relationship Id="rId34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eetMetadata" Target="metadata.xml"/><Relationship Id="rId33" Type="http://schemas.openxmlformats.org/officeDocument/2006/relationships/customXml" Target="../customXml/item6.xml"/><Relationship Id="rId38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32" Type="http://schemas.openxmlformats.org/officeDocument/2006/relationships/customXml" Target="../customXml/item5.xml"/><Relationship Id="rId37" Type="http://schemas.openxmlformats.org/officeDocument/2006/relationships/customXml" Target="../customXml/item10.xml"/><Relationship Id="rId40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36" Type="http://schemas.openxmlformats.org/officeDocument/2006/relationships/customXml" Target="../customXml/item9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onnections" Target="connection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Relationship Id="rId35" Type="http://schemas.openxmlformats.org/officeDocument/2006/relationships/customXml" Target="../customXml/item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Death</a:t>
            </a:r>
            <a:r>
              <a:rPr lang="en-US" baseline="0"/>
              <a:t> per month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Sheet5!$B$24:$B$25</c:f>
              <c:strCache>
                <c:ptCount val="2"/>
                <c:pt idx="0">
                  <c:v>2024</c:v>
                </c:pt>
                <c:pt idx="1">
                  <c:v>Death Horses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Sheet5!$B$26:$B$37</c:f>
              <c:numCache>
                <c:formatCode>0%</c:formatCode>
                <c:ptCount val="12"/>
                <c:pt idx="0">
                  <c:v>8.3969465648854963E-2</c:v>
                </c:pt>
                <c:pt idx="1">
                  <c:v>5.3435114503816793E-2</c:v>
                </c:pt>
                <c:pt idx="2">
                  <c:v>6.1068702290076333E-2</c:v>
                </c:pt>
                <c:pt idx="3">
                  <c:v>8.3969465648854963E-2</c:v>
                </c:pt>
                <c:pt idx="4">
                  <c:v>0.13740458015267176</c:v>
                </c:pt>
                <c:pt idx="5">
                  <c:v>7.6335877862595422E-2</c:v>
                </c:pt>
                <c:pt idx="6">
                  <c:v>0.15267175572519084</c:v>
                </c:pt>
                <c:pt idx="7">
                  <c:v>6.8702290076335881E-2</c:v>
                </c:pt>
                <c:pt idx="8">
                  <c:v>8.3969465648854963E-2</c:v>
                </c:pt>
                <c:pt idx="9">
                  <c:v>4.5801526717557252E-2</c:v>
                </c:pt>
                <c:pt idx="10">
                  <c:v>4.5801526717557252E-2</c:v>
                </c:pt>
                <c:pt idx="11">
                  <c:v>0.10687022900763359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B5-455C-992D-306AA4B97C89}"/>
            </c:ext>
          </c:extLst>
        </c:ser>
        <c:ser>
          <c:idx val="1"/>
          <c:order val="1"/>
          <c:tx>
            <c:strRef>
              <c:f>Sheet5!$C$25</c:f>
              <c:strCache>
                <c:ptCount val="1"/>
                <c:pt idx="0">
                  <c:v>% Death Diff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Sheet5!$C$26:$C$37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B5-455C-992D-306AA4B97C89}"/>
            </c:ext>
          </c:extLst>
        </c:ser>
        <c:ser>
          <c:idx val="2"/>
          <c:order val="2"/>
          <c:tx>
            <c:strRef>
              <c:f>Sheet5!$D$24:$D$25</c:f>
              <c:strCache>
                <c:ptCount val="2"/>
                <c:pt idx="0">
                  <c:v>2025</c:v>
                </c:pt>
                <c:pt idx="1">
                  <c:v>Death Horses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Sheet5!$D$26:$D$37</c:f>
              <c:numCache>
                <c:formatCode>0%</c:formatCode>
                <c:ptCount val="12"/>
                <c:pt idx="0">
                  <c:v>5.4545454545454543E-2</c:v>
                </c:pt>
                <c:pt idx="1">
                  <c:v>0.1</c:v>
                </c:pt>
                <c:pt idx="2">
                  <c:v>8.1818181818181818E-2</c:v>
                </c:pt>
                <c:pt idx="3">
                  <c:v>3.6363636363636362E-2</c:v>
                </c:pt>
                <c:pt idx="4">
                  <c:v>7.2727272727272724E-2</c:v>
                </c:pt>
                <c:pt idx="5">
                  <c:v>9.0909090909090912E-2</c:v>
                </c:pt>
                <c:pt idx="6">
                  <c:v>0.15454545454545454</c:v>
                </c:pt>
                <c:pt idx="7">
                  <c:v>9.0909090909090912E-2</c:v>
                </c:pt>
                <c:pt idx="8">
                  <c:v>8.1818181818181818E-2</c:v>
                </c:pt>
                <c:pt idx="9">
                  <c:v>8.1818181818181818E-2</c:v>
                </c:pt>
                <c:pt idx="10">
                  <c:v>9.0909090909090912E-2</c:v>
                </c:pt>
                <c:pt idx="11">
                  <c:v>6.363636363636363E-2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B5-455C-992D-306AA4B97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83344"/>
        <c:axId val="193383824"/>
      </c:lineChart>
      <c:catAx>
        <c:axId val="1933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824"/>
        <c:crosses val="autoZero"/>
        <c:auto val="1"/>
        <c:lblAlgn val="ctr"/>
        <c:lblOffset val="100"/>
        <c:noMultiLvlLbl val="0"/>
      </c:catAx>
      <c:valAx>
        <c:axId val="1933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Death per month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Sheet5!$B$24:$B$25</c:f>
              <c:strCache>
                <c:ptCount val="2"/>
                <c:pt idx="0">
                  <c:v>2024</c:v>
                </c:pt>
                <c:pt idx="1">
                  <c:v>Death Horses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Sheet5!$B$26:$B$37</c:f>
              <c:numCache>
                <c:formatCode>0%</c:formatCode>
                <c:ptCount val="12"/>
                <c:pt idx="0">
                  <c:v>8.3969465648854963E-2</c:v>
                </c:pt>
                <c:pt idx="1">
                  <c:v>5.3435114503816793E-2</c:v>
                </c:pt>
                <c:pt idx="2">
                  <c:v>6.1068702290076333E-2</c:v>
                </c:pt>
                <c:pt idx="3">
                  <c:v>8.3969465648854963E-2</c:v>
                </c:pt>
                <c:pt idx="4">
                  <c:v>0.13740458015267176</c:v>
                </c:pt>
                <c:pt idx="5">
                  <c:v>7.6335877862595422E-2</c:v>
                </c:pt>
                <c:pt idx="6">
                  <c:v>0.15267175572519084</c:v>
                </c:pt>
                <c:pt idx="7">
                  <c:v>6.8702290076335881E-2</c:v>
                </c:pt>
                <c:pt idx="8">
                  <c:v>8.3969465648854963E-2</c:v>
                </c:pt>
                <c:pt idx="9">
                  <c:v>4.5801526717557252E-2</c:v>
                </c:pt>
                <c:pt idx="10">
                  <c:v>4.5801526717557252E-2</c:v>
                </c:pt>
                <c:pt idx="11">
                  <c:v>0.10687022900763359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0-4D8C-8C8D-5F64268527B9}"/>
            </c:ext>
          </c:extLst>
        </c:ser>
        <c:ser>
          <c:idx val="1"/>
          <c:order val="1"/>
          <c:tx>
            <c:strRef>
              <c:f>Sheet5!$C$25</c:f>
              <c:strCache>
                <c:ptCount val="1"/>
                <c:pt idx="0">
                  <c:v>% Death Diff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Sheet5!$C$26:$C$37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BA30-4D8C-8C8D-5F64268527B9}"/>
            </c:ext>
          </c:extLst>
        </c:ser>
        <c:ser>
          <c:idx val="2"/>
          <c:order val="2"/>
          <c:tx>
            <c:strRef>
              <c:f>Sheet5!$D$24:$D$25</c:f>
              <c:strCache>
                <c:ptCount val="2"/>
                <c:pt idx="0">
                  <c:v>2025</c:v>
                </c:pt>
                <c:pt idx="1">
                  <c:v>Death Horses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Sheet5!$A$26:$A$37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Sheet5!$D$26:$D$37</c:f>
              <c:numCache>
                <c:formatCode>0%</c:formatCode>
                <c:ptCount val="12"/>
                <c:pt idx="0">
                  <c:v>5.4545454545454543E-2</c:v>
                </c:pt>
                <c:pt idx="1">
                  <c:v>0.1</c:v>
                </c:pt>
                <c:pt idx="2">
                  <c:v>8.1818181818181818E-2</c:v>
                </c:pt>
                <c:pt idx="3">
                  <c:v>3.6363636363636362E-2</c:v>
                </c:pt>
                <c:pt idx="4">
                  <c:v>7.2727272727272724E-2</c:v>
                </c:pt>
                <c:pt idx="5">
                  <c:v>9.0909090909090912E-2</c:v>
                </c:pt>
                <c:pt idx="6">
                  <c:v>0.15454545454545454</c:v>
                </c:pt>
                <c:pt idx="7">
                  <c:v>9.0909090909090912E-2</c:v>
                </c:pt>
                <c:pt idx="8">
                  <c:v>8.1818181818181818E-2</c:v>
                </c:pt>
                <c:pt idx="9">
                  <c:v>8.1818181818181818E-2</c:v>
                </c:pt>
                <c:pt idx="10">
                  <c:v>9.0909090909090912E-2</c:v>
                </c:pt>
                <c:pt idx="11">
                  <c:v>6.363636363636363E-2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0-4D8C-8C8D-5F642685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3383344"/>
        <c:axId val="193383824"/>
      </c:barChart>
      <c:catAx>
        <c:axId val="19338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824"/>
        <c:crosses val="autoZero"/>
        <c:auto val="1"/>
        <c:lblAlgn val="ctr"/>
        <c:lblOffset val="100"/>
        <c:noMultiLvlLbl val="0"/>
      </c:catAx>
      <c:valAx>
        <c:axId val="19338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Sheet5!$A$8</c:f>
              <c:strCache>
                <c:ptCount val="1"/>
                <c:pt idx="0">
                  <c:v>Death Horses</c:v>
                </c:pt>
              </c:strCache>
            </c:strRef>
          </c:tx>
          <c:dPt>
            <c:idx val="0"/>
            <c:bubble3D val="0"/>
            <c:explosion val="7"/>
            <c:spPr>
              <a:solidFill>
                <a:schemeClr val="accent6">
                  <a:lumMod val="75000"/>
                </a:schemeClr>
              </a:solidFill>
              <a:ln w="25400">
                <a:solidFill>
                  <a:schemeClr val="accent6">
                    <a:lumMod val="75000"/>
                  </a:schemeClr>
                </a:solidFill>
              </a:ln>
              <a:effectLst/>
              <a:sp3d contourW="25400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51C-4E66-836F-756297576469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25400">
                <a:solidFill>
                  <a:schemeClr val="bg1">
                    <a:lumMod val="85000"/>
                  </a:schemeClr>
                </a:solidFill>
              </a:ln>
              <a:effectLst/>
              <a:sp3d contourW="25400">
                <a:contourClr>
                  <a:schemeClr val="bg1">
                    <a:lumMod val="8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51C-4E66-836F-7562975764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Sheet5!$B$7:$C$7</c:f>
              <c:numCache>
                <c:formatCode>General</c:formatCode>
                <c:ptCount val="2"/>
                <c:pt idx="0">
                  <c:v>2025</c:v>
                </c:pt>
                <c:pt idx="1">
                  <c:v>2024</c:v>
                </c:pt>
              </c:numCache>
            </c:numRef>
          </c:cat>
          <c:val>
            <c:numRef>
              <c:f>Sheet5!$B$8:$C$8</c:f>
              <c:numCache>
                <c:formatCode>0%</c:formatCode>
                <c:ptCount val="2"/>
                <c:pt idx="0">
                  <c:v>0.46</c:v>
                </c:pt>
                <c:pt idx="1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C-4E66-836F-7562975764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95249</xdr:colOff>
      <xdr:row>9</xdr:row>
      <xdr:rowOff>138111</xdr:rowOff>
    </xdr:from>
    <xdr:to>
      <xdr:col>18</xdr:col>
      <xdr:colOff>409574</xdr:colOff>
      <xdr:row>25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B69F4B-ECC7-4107-BF0A-BECF8C7CC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26</xdr:row>
      <xdr:rowOff>123825</xdr:rowOff>
    </xdr:from>
    <xdr:to>
      <xdr:col>18</xdr:col>
      <xdr:colOff>409575</xdr:colOff>
      <xdr:row>42</xdr:row>
      <xdr:rowOff>128588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6194FF-DB36-4241-A16C-0BC2FB4DED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509587</xdr:colOff>
      <xdr:row>12</xdr:row>
      <xdr:rowOff>52387</xdr:rowOff>
    </xdr:from>
    <xdr:to>
      <xdr:col>14</xdr:col>
      <xdr:colOff>204787</xdr:colOff>
      <xdr:row>26</xdr:row>
      <xdr:rowOff>128587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3ADDC7D-31EA-E06C-BC1D-CD64B5DB92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Alejandro" refreshedDate="46195.699445370374" backgroundQuery="1" createdVersion="8" refreshedVersion="8" minRefreshableVersion="3" recordCount="0" supportSubquery="1" supportAdvancedDrill="1" xr:uid="{E20689A3-1AEC-4635-A5B2-1CD6945071C7}">
  <cacheSource type="external" connectionId="2"/>
  <cacheFields count="3">
    <cacheField name="[Range].[Date (Year)].[Date (Year)]" caption="Date (Year)" numFmtId="0" hierarchy="11" level="1">
      <sharedItems count="2">
        <s v="2024"/>
        <s v="2025"/>
      </sharedItems>
    </cacheField>
    <cacheField name="[Measures].[Count of CABALLO]" caption="Count of CABALLO" numFmtId="0" hierarchy="37" level="32767"/>
    <cacheField name="[Range].[Categoría].[Categoría]" caption="Categoría" numFmtId="0" hierarchy="7" level="1">
      <sharedItems containsSemiMixedTypes="0" containsNonDate="0" containsString="0"/>
    </cacheField>
  </cacheFields>
  <cacheHierarchies count="39">
    <cacheHierarchy uniqueName="[Range].[FECHA]" caption="FECHA" attribute="1" defaultMemberUniqueName="[Range].[FECHA].[All]" allUniqueName="[Range].[FECHA].[All]" dimensionUniqueName="[Range]" displayFolder="" count="0" memberValueDatatype="130" unbalanced="0"/>
    <cacheHierarchy uniqueName="[Range].[día]" caption="día" attribute="1" defaultMemberUniqueName="[Range].[día].[All]" allUniqueName="[Range].[día].[All]" dimensionUniqueName="[Range]" displayFolder="" count="0" memberValueDatatype="130" unbalanced="0"/>
    <cacheHierarchy uniqueName="[Range].[Mes]" caption="Mes" attribute="1" defaultMemberUniqueName="[Range].[Mes].[All]" allUniqueName="[Range].[Mes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ESTABLO]" caption="ESTABLO" attribute="1" defaultMemberUniqueName="[Range].[ESTABLO].[All]" allUniqueName="[Range].[ESTABLO].[All]" dimensionUniqueName="[Range]" displayFolder="" count="0" memberValueDatatype="130" unbalanced="0"/>
    <cacheHierarchy uniqueName="[Range].[CABALLO]" caption="CABALLO" attribute="1" defaultMemberUniqueName="[Range].[CABALLO].[All]" allUniqueName="[Range].[CABALLO].[All]" dimensionUniqueName="[Range]" displayFolder="" count="0" memberValueDatatype="130" unbalanced="0"/>
    <cacheHierarchy uniqueName="[Range].[RAZON]" caption="RAZON" attribute="1" defaultMemberUniqueName="[Range].[RAZON].[All]" allUniqueName="[Range].[RAZON].[All]" dimensionUniqueName="[Range]" displayFolder="" count="0" memberValueDatatype="130" unbalanced="0"/>
    <cacheHierarchy uniqueName="[Range].[Categoría]" caption="Categoría" attribute="1" defaultMemberUniqueName="[Range].[Categoría].[All]" allUniqueName="[Range].[Categoría].[All]" dimensionUniqueName="[Range]" displayFolder="" count="2" memberValueDatatype="130" unbalanced="0">
      <fieldsUsage count="2">
        <fieldUsage x="-1"/>
        <fieldUsage x="2"/>
      </fieldsUsage>
    </cacheHierarchy>
    <cacheHierarchy uniqueName="[Range].[Tipo de fractura]" caption="Tipo de fractura" attribute="1" defaultMemberUniqueName="[Range].[Tipo de fractura].[All]" allUniqueName="[Range].[Tipo de fractura].[All]" dimensionUniqueName="[Range]" displayFolder="" count="0" memberValueDatatype="130" unbalanced="0"/>
    <cacheHierarchy uniqueName="[Range].[Fatal injury]" caption="Fatal injury" attribute="1" defaultMemberUniqueName="[Range].[Fatal injury].[All]" allUniqueName="[Range].[Fatal injury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 2].[Año]" caption="Año" attribute="1" defaultMemberUniqueName="[Range 2].[Año].[All]" allUniqueName="[Range 2].[Año].[All]" dimensionUniqueName="[Range 2]" displayFolder="" count="0" memberValueDatatype="20" unbalanced="0"/>
    <cacheHierarchy uniqueName="[Range 2].[FECHA]" caption="FECHA" attribute="1" defaultMemberUniqueName="[Range 2].[FECHA].[All]" allUniqueName="[Range 2].[FECHA].[All]" dimensionUniqueName="[Range 2]" displayFolder="" count="0" memberValueDatatype="130" unbalanced="0"/>
    <cacheHierarchy uniqueName="[Range 2].[día]" caption="día" attribute="1" defaultMemberUniqueName="[Range 2].[día].[All]" allUniqueName="[Range 2].[día].[All]" dimensionUniqueName="[Range 2]" displayFolder="" count="0" memberValueDatatype="130" unbalanced="0"/>
    <cacheHierarchy uniqueName="[Range 2].[Mes]" caption="Mes" attribute="1" defaultMemberUniqueName="[Range 2].[Mes].[All]" allUniqueName="[Range 2].[Mes].[All]" dimensionUniqueName="[Range 2]" displayFolder="" count="0" memberValueDatatype="130" unbalanced="0"/>
    <cacheHierarchy uniqueName="[Range 2].[Last Race Date (desde Equibase)]" caption="Last Race Date (desde Equibase)" attribute="1" defaultMemberUniqueName="[Range 2].[Last Race Date (desde Equibase)].[All]" allUniqueName="[Range 2].[Last Race Date (desde Equibase)].[All]" dimensionUniqueName="[Range 2]" displayFolder="" count="0" memberValueDatatype="130" unbalanced="0"/>
    <cacheHierarchy uniqueName="[Range 2].[Death Date]" caption="Death Date" attribute="1" time="1" defaultMemberUniqueName="[Range 2].[Death Date].[All]" allUniqueName="[Range 2].[Death Date].[All]" dimensionUniqueName="[Range 2]" displayFolder="" count="0" memberValueDatatype="7" unbalanced="0"/>
    <cacheHierarchy uniqueName="[Range 2].[ESTABLO]" caption="ESTABLO" attribute="1" defaultMemberUniqueName="[Range 2].[ESTABLO].[All]" allUniqueName="[Range 2].[ESTABLO].[All]" dimensionUniqueName="[Range 2]" displayFolder="" count="0" memberValueDatatype="130" unbalanced="0"/>
    <cacheHierarchy uniqueName="[Range 2].[Horas transcurridas]" caption="Horas transcurridas" attribute="1" defaultMemberUniqueName="[Range 2].[Horas transcurridas].[All]" allUniqueName="[Range 2].[Horas transcurridas].[All]" dimensionUniqueName="[Range 2]" displayFolder="" count="0" memberValueDatatype="20" unbalanced="0"/>
    <cacheHierarchy uniqueName="[Range 2].[CABALLO]" caption="CABALLO" attribute="1" defaultMemberUniqueName="[Range 2].[CABALLO].[All]" allUniqueName="[Range 2].[CABALLO].[All]" dimensionUniqueName="[Range 2]" displayFolder="" count="0" memberValueDatatype="130" unbalanced="0"/>
    <cacheHierarchy uniqueName="[Range 2].[RAZON]" caption="RAZON" attribute="1" defaultMemberUniqueName="[Range 2].[RAZON].[All]" allUniqueName="[Range 2].[RAZON].[All]" dimensionUniqueName="[Range 2]" displayFolder="" count="0" memberValueDatatype="130" unbalanced="0"/>
    <cacheHierarchy uniqueName="[Range 2].[Categoría]" caption="Categoría" attribute="1" defaultMemberUniqueName="[Range 2].[Categoría].[All]" allUniqueName="[Range 2].[Categoría].[All]" dimensionUniqueName="[Range 2]" displayFolder="" count="0" memberValueDatatype="130" unbalanced="0"/>
    <cacheHierarchy uniqueName="[Range 2].[Tipo de fractura]" caption="Tipo de fractura" attribute="1" defaultMemberUniqueName="[Range 2].[Tipo de fractura].[All]" allUniqueName="[Range 2].[Tipo de fractura].[All]" dimensionUniqueName="[Range 2]" displayFolder="" count="0" memberValueDatatype="130" unbalanced="0"/>
    <cacheHierarchy uniqueName="[Range 2].[Fatal injury]" caption="Fatal injury" attribute="1" defaultMemberUniqueName="[Range 2].[Fatal injury].[All]" allUniqueName="[Range 2].[Fatal injury].[All]" dimensionUniqueName="[Range 2]" displayFolder="" count="0" memberValueDatatype="130" unbalanced="0"/>
    <cacheHierarchy uniqueName="[Range 2].[Registrado/Compitió?]" caption="Registrado/Compitió?" attribute="1" defaultMemberUniqueName="[Range 2].[Registrado/Compitió?].[All]" allUniqueName="[Range 2].[Registrado/Compitió?].[All]" dimensionUniqueName="[Range 2]" displayFolder="" count="0" memberValueDatatype="130" unbalanced="0"/>
    <cacheHierarchy uniqueName="[Range 2].[Data Inconsistente]" caption="Data Inconsistente" attribute="1" defaultMemberUniqueName="[Range 2].[Data Inconsistente].[All]" allUniqueName="[Range 2].[Data Inconsistente].[All]" dimensionUniqueName="[Range 2]" displayFolder="" count="0" memberValueDatatype="130" unbalanced="0"/>
    <cacheHierarchy uniqueName="[Range 2].[Death Date (Year)]" caption="Death Date (Year)" attribute="1" defaultMemberUniqueName="[Range 2].[Death Date (Year)].[All]" allUniqueName="[Range 2].[Death Date (Year)].[All]" dimensionUniqueName="[Range 2]" displayFolder="" count="0" memberValueDatatype="130" unbalanced="0"/>
    <cacheHierarchy uniqueName="[Range 2].[Death Date (Quarter)]" caption="Death Date (Quarter)" attribute="1" defaultMemberUniqueName="[Range 2].[Death Date (Quarter)].[All]" allUniqueName="[Range 2].[Death Date (Quarter)].[All]" dimensionUniqueName="[Range 2]" displayFolder="" count="0" memberValueDatatype="130" unbalanced="0"/>
    <cacheHierarchy uniqueName="[Range 2].[Death Date (Month)]" caption="Death Date (Month)" attribute="1" defaultMemberUniqueName="[Range 2].[Death Date (Month)].[All]" allUniqueName="[Range 2].[Death Date (Month)].[All]" dimensionUniqueName="[Range 2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2].[Death Date (Month Index)]" caption="Death Date (Month Index)" attribute="1" defaultMemberUniqueName="[Range 2].[Death Date (Month Index)].[All]" allUniqueName="[Range 2].[Death Date (Month Index)].[All]" dimensionUniqueName="[Range 2]" displayFolder="" count="0" memberValueDatatype="20" unbalanced="0" hidden="1"/>
    <cacheHierarchy uniqueName="[Measures].[Menor a 72 horas]" caption="Menor a 72 horas" measure="1" displayFolder="" measureGroup="Range" count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CABALLO]" caption="Count of CABALLO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BALLO 2]" caption="Count of CABALL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2" uniqueName="[Range 2]" caption="Range 2"/>
  </dimensions>
  <measureGroups count="2">
    <measureGroup name="Range" caption="Range"/>
    <measureGroup name="Range 2" caption="Range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Alejandro" refreshedDate="46195.69944340278" backgroundQuery="1" createdVersion="8" refreshedVersion="8" minRefreshableVersion="3" recordCount="0" supportSubquery="1" supportAdvancedDrill="1" xr:uid="{697CCAFD-07A2-4839-A573-96D42712F9BA}">
  <cacheSource type="external" connectionId="2"/>
  <cacheFields count="3">
    <cacheField name="[Range].[Categoría].[Categoría]" caption="Categoría" numFmtId="0" hierarchy="7" level="1">
      <sharedItems count="4">
        <s v="Enfermedad degenerativa articular"/>
        <s v="Fractura ósea"/>
        <s v="Lesión de ligamentos/tendones"/>
        <s v="Otras / No especificada"/>
      </sharedItems>
    </cacheField>
    <cacheField name="[Measures].[Count of CABALLO]" caption="Count of CABALLO" numFmtId="0" hierarchy="37" level="32767"/>
    <cacheField name="[Range].[RAZON].[RAZON]" caption="RAZON" numFmtId="0" hierarchy="6" level="1">
      <sharedItems count="114">
        <s v="Aggressive eye cancer"/>
        <s v="Bilateral front fetlock palmar metacarpal disease. Unresolved lameness. (Referido PRHOA)"/>
        <s v="Bilateral front limb tendinitis"/>
        <s v="Bilateral front limbs tendinitis/desmitis with excessive dorsiflexion of fetlock joints."/>
        <s v="Bilateral laminitis. Fetlock severe OA. (Referido PRHOA)"/>
        <s v="Bilateral pleuropneumonia."/>
        <s v="Breakdown injury both front limbs. Referido PRHOA."/>
        <s v="Breakdown injury LF (menudillo izquierdo delantero)"/>
        <s v="Breakdown injury LF fetlock"/>
        <s v="Breakdown injury LF Knee. (Guardia PRHOA-PM)"/>
        <s v="Breakdown injury LF leg with tissue necrosy. Referido Dr. García Blanco."/>
        <s v="Catastrophic breakdown injury left fetlock"/>
        <s v="Celulitis severa la cual fue tratada con antibióticos y antiinflamatorios. Luego presentó fiebre persistente durante varios días. Varios abscesos se abrieron. Referido PRHOA."/>
        <s v="Chronic diarrea for 5 weeks duration. R hind limb cellulitis. (Referido PRHOA)"/>
        <s v="Chronic infected wound on medial aspect of L front fetlock."/>
        <s v="Chronic tendinitis (both front limbs)"/>
        <s v="Chronic tendinitis on both front limbs"/>
        <s v="Cojera crónica pata izquierda trasera (sin causa determinada)."/>
        <s v="COLICO"/>
        <s v="Cólico"/>
        <s v="COLICO &amp; POOR BODY CONDITION."/>
        <s v="Cólico (enteritis)."/>
        <s v="Cólico (Nephrosplenic entrapment/Referido Dr. Armand PRHOA)"/>
        <s v="Cólico (thromboembolic cecum)"/>
        <s v="Cólico (Varios días en tx)"/>
        <s v="Cólico severo (referido por Dr. Armand PRHOA)"/>
        <s v="Cólico severo (referido por Dr. Loinaz PRHOA)"/>
        <s v="Cólico y laminitis fulminante."/>
        <s v="Cólico."/>
        <s v="Cólico. Colon desplazado."/>
        <s v="Complete lateral and medial sesamoid breakdown. (Guardia PRHOA)"/>
        <s v="Condición neurológica."/>
        <s v="Degloving injury RH cannon bone."/>
        <s v="Diagnóstico previo de problemas neurológicos. Hoy recumbente incapaz de pararse."/>
        <s v="Diarrea/Laminitis."/>
        <s v="Diarrea/Septicemia (endotoxemia)"/>
        <s v="Dislocation of the RF pastern. Moderate palmar metacarpal disease. (Referido PRHOA)"/>
        <s v="Dx Drs. PRHOA. Severe laminitis."/>
        <s v="Extensive traume. PRHOA."/>
        <s v="FETLOCK BREAKDOWN INJURY BOTH HIND LEGS."/>
        <s v="Head Trauma"/>
        <s v="Herida con laceración de tendón pata izquierda trasera."/>
        <s v="Historial de cojera crónica en pata trasera (tibias). Problemas de indocilidad."/>
        <s v="Infección menudillo derecho."/>
        <s v="L Front breakdown injury"/>
        <s v="L front chronic tendinitis and cellulitis."/>
        <s v="LAMINITIS"/>
        <s v="Laminitis (all four limbs)"/>
        <s v="Laminitis 4 patas. (Se fue a la cuadra PRHOA)"/>
        <s v="Laminitis casco izquierdo/Celulitis severa con formación de absceso pata derecha delantera"/>
        <s v="LAMINITIS CRONICA"/>
        <s v="Laminitis crónica casco derecho delantero/Subepiglottic fold granuloma."/>
        <s v="Laminitis cronica."/>
        <s v="Laminitis crónica."/>
        <s v="Laminitis en todas las extremidades post-cólico. Referido PRHOA."/>
        <s v="Laminitis LF hoof"/>
        <s v="Laminitis severa (sinker). (Referido PRHOA)"/>
        <s v="Laminitis severa en ambos cascos delanteros. Rotación y hundimiento. (Referido Dr. Bozzo)"/>
        <s v="Left laryngeal hemoplasia with neurological signs. (Referido PRHOA)"/>
        <s v="LF Ankle breakdown injury during race. (Guardia PRHOA)"/>
        <s v="LF ankle loss of joint space. (Referido PRHOA)"/>
        <s v="LF Breakdown injury."/>
        <s v="LF breakdown injury. Referido PRHOA."/>
        <s v="LF Chronic tendinitis"/>
        <s v="Multiple chips in both knees. (Referido PRHOA)"/>
        <s v="Near complete tear in medial pastern bundle of the DDFT. (Referido PRHOA)"/>
        <s v="Pleuroneumonía. Referido Drs PRHOA."/>
        <s v="Pobre condición física post-cólico."/>
        <s v="Polysinovitis/Laminitis. Referido PRHOA."/>
        <s v="Posible tumor en seno maxilar derecho. Prognosis pobre."/>
        <s v="Post-race 6:42pm"/>
        <s v="Prognosis pobre."/>
        <s v="Pulmonía y laminitis."/>
        <s v="R Knee huge fragment radiocarpal bone. Cannot run. Referido PRHOA."/>
        <s v="R MC3 Fx."/>
        <s v="Radiocarpal joint sepsis. LF peritendinous abscess."/>
        <s v="RECUMBANCY"/>
        <s v="Referido Drs. PRHOA. Cólico."/>
        <s v="Referido Drs. PRHOA. Coyuntura infectada rodilla izquierda."/>
        <s v="Referido Drs. PRHOA. LF Front severe DID Knee and fetlock smooth rest. Cannot train."/>
        <s v="Referido Drs. PRHOA. R Carpus."/>
        <s v="Referido PRHOA"/>
        <s v="RF breakdown injury"/>
        <s v="RF breakdown injury (Referido PRHOA. Se eutanizo en el cajón frente a PRHOA)"/>
        <s v="RF Breakdown Injury. (PRHOA)"/>
        <s v="RF bReakdown Injury. (Referido PRHOA)"/>
        <s v="RF Chronic tendinitis"/>
        <s v="RF Knee breakdown injury. (Guardia PRHOA)"/>
        <s v="RF Knee fx during race. (Guardia PRHOA)"/>
        <s v="RF T Base sesamoid fx."/>
        <s v="Rodilla derecha- Slab FX"/>
        <s v="SDF Tendinitis de la cuartilla."/>
        <s v="Sepsis severa rodilla izquierda."/>
        <s v="Septic Joint R Knee"/>
        <s v="SEPTIC JOINT RIGHT INTERCARPAL"/>
        <s v="Sesamoidal fx (medial). RF ankle."/>
        <s v="Sesamoide medial derecho delantero"/>
        <s v="Sever colic. (Referido PRHOA.)"/>
        <s v="Severe bilateral arythenoids chronditis. Labored breathing."/>
        <s v="Severe chronic tendinitis LF limb."/>
        <s v="Severe Laminitis"/>
        <s v="Severe laminitis both front feet. Referido Drs. PRHOA."/>
        <s v="Severe tenosynovitis of RF limb (Referido PRHOA)"/>
        <s v="Tendinitis crónica con dorsiflexion excesiva del menudillo izquierdo delantero con subluxación de la cuartilla"/>
        <s v="Tendinitis crónica en ambas patas delanteras."/>
        <s v="Tendinitis cronica pata derecha delantera."/>
        <s v="Tendinitis crónica pata derecha delantera."/>
        <s v="Tendinitis crónica."/>
        <s v="Tendinitis severa pata derecha delantera."/>
        <s v="Tendón desgarrado pata izquierda trasera/ Laminitis pata derecha trasera"/>
        <s v="Tendosinovitis crónica séptica (corvejón izquierda)."/>
        <s v="Tétano."/>
        <s v="Trashing after lasix (8cc). (PRHOA)"/>
        <s v="Trauma en la cabeza, signos neurológicos."/>
      </sharedItems>
    </cacheField>
  </cacheFields>
  <cacheHierarchies count="39">
    <cacheHierarchy uniqueName="[Range].[FECHA]" caption="FECHA" attribute="1" defaultMemberUniqueName="[Range].[FECHA].[All]" allUniqueName="[Range].[FECHA].[All]" dimensionUniqueName="[Range]" displayFolder="" count="0" memberValueDatatype="130" unbalanced="0"/>
    <cacheHierarchy uniqueName="[Range].[día]" caption="día" attribute="1" defaultMemberUniqueName="[Range].[día].[All]" allUniqueName="[Range].[día].[All]" dimensionUniqueName="[Range]" displayFolder="" count="0" memberValueDatatype="130" unbalanced="0"/>
    <cacheHierarchy uniqueName="[Range].[Mes]" caption="Mes" attribute="1" defaultMemberUniqueName="[Range].[Mes].[All]" allUniqueName="[Range].[Mes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ESTABLO]" caption="ESTABLO" attribute="1" defaultMemberUniqueName="[Range].[ESTABLO].[All]" allUniqueName="[Range].[ESTABLO].[All]" dimensionUniqueName="[Range]" displayFolder="" count="0" memberValueDatatype="130" unbalanced="0"/>
    <cacheHierarchy uniqueName="[Range].[CABALLO]" caption="CABALLO" attribute="1" defaultMemberUniqueName="[Range].[CABALLO].[All]" allUniqueName="[Range].[CABALLO].[All]" dimensionUniqueName="[Range]" displayFolder="" count="0" memberValueDatatype="130" unbalanced="0"/>
    <cacheHierarchy uniqueName="[Range].[RAZON]" caption="RAZON" attribute="1" defaultMemberUniqueName="[Range].[RAZON].[All]" allUniqueName="[Range].[RAZ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ategoría]" caption="Categoría" attribute="1" defaultMemberUniqueName="[Range].[Categoría].[All]" allUniqueName="[Range].[Categoría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ipo de fractura]" caption="Tipo de fractura" attribute="1" defaultMemberUniqueName="[Range].[Tipo de fractura].[All]" allUniqueName="[Range].[Tipo de fractura].[All]" dimensionUniqueName="[Range]" displayFolder="" count="0" memberValueDatatype="130" unbalanced="0"/>
    <cacheHierarchy uniqueName="[Range].[Fatal injury]" caption="Fatal injury" attribute="1" defaultMemberUniqueName="[Range].[Fatal injury].[All]" allUniqueName="[Range].[Fatal injury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 2].[Año]" caption="Año" attribute="1" defaultMemberUniqueName="[Range 2].[Año].[All]" allUniqueName="[Range 2].[Año].[All]" dimensionUniqueName="[Range 2]" displayFolder="" count="0" memberValueDatatype="20" unbalanced="0"/>
    <cacheHierarchy uniqueName="[Range 2].[FECHA]" caption="FECHA" attribute="1" defaultMemberUniqueName="[Range 2].[FECHA].[All]" allUniqueName="[Range 2].[FECHA].[All]" dimensionUniqueName="[Range 2]" displayFolder="" count="0" memberValueDatatype="130" unbalanced="0"/>
    <cacheHierarchy uniqueName="[Range 2].[día]" caption="día" attribute="1" defaultMemberUniqueName="[Range 2].[día].[All]" allUniqueName="[Range 2].[día].[All]" dimensionUniqueName="[Range 2]" displayFolder="" count="0" memberValueDatatype="130" unbalanced="0"/>
    <cacheHierarchy uniqueName="[Range 2].[Mes]" caption="Mes" attribute="1" defaultMemberUniqueName="[Range 2].[Mes].[All]" allUniqueName="[Range 2].[Mes].[All]" dimensionUniqueName="[Range 2]" displayFolder="" count="0" memberValueDatatype="130" unbalanced="0"/>
    <cacheHierarchy uniqueName="[Range 2].[Last Race Date (desde Equibase)]" caption="Last Race Date (desde Equibase)" attribute="1" defaultMemberUniqueName="[Range 2].[Last Race Date (desde Equibase)].[All]" allUniqueName="[Range 2].[Last Race Date (desde Equibase)].[All]" dimensionUniqueName="[Range 2]" displayFolder="" count="0" memberValueDatatype="130" unbalanced="0"/>
    <cacheHierarchy uniqueName="[Range 2].[Death Date]" caption="Death Date" attribute="1" time="1" defaultMemberUniqueName="[Range 2].[Death Date].[All]" allUniqueName="[Range 2].[Death Date].[All]" dimensionUniqueName="[Range 2]" displayFolder="" count="0" memberValueDatatype="7" unbalanced="0"/>
    <cacheHierarchy uniqueName="[Range 2].[ESTABLO]" caption="ESTABLO" attribute="1" defaultMemberUniqueName="[Range 2].[ESTABLO].[All]" allUniqueName="[Range 2].[ESTABLO].[All]" dimensionUniqueName="[Range 2]" displayFolder="" count="0" memberValueDatatype="130" unbalanced="0"/>
    <cacheHierarchy uniqueName="[Range 2].[Horas transcurridas]" caption="Horas transcurridas" attribute="1" defaultMemberUniqueName="[Range 2].[Horas transcurridas].[All]" allUniqueName="[Range 2].[Horas transcurridas].[All]" dimensionUniqueName="[Range 2]" displayFolder="" count="0" memberValueDatatype="20" unbalanced="0"/>
    <cacheHierarchy uniqueName="[Range 2].[CABALLO]" caption="CABALLO" attribute="1" defaultMemberUniqueName="[Range 2].[CABALLO].[All]" allUniqueName="[Range 2].[CABALLO].[All]" dimensionUniqueName="[Range 2]" displayFolder="" count="0" memberValueDatatype="130" unbalanced="0"/>
    <cacheHierarchy uniqueName="[Range 2].[RAZON]" caption="RAZON" attribute="1" defaultMemberUniqueName="[Range 2].[RAZON].[All]" allUniqueName="[Range 2].[RAZON].[All]" dimensionUniqueName="[Range 2]" displayFolder="" count="0" memberValueDatatype="130" unbalanced="0"/>
    <cacheHierarchy uniqueName="[Range 2].[Categoría]" caption="Categoría" attribute="1" defaultMemberUniqueName="[Range 2].[Categoría].[All]" allUniqueName="[Range 2].[Categoría].[All]" dimensionUniqueName="[Range 2]" displayFolder="" count="0" memberValueDatatype="130" unbalanced="0"/>
    <cacheHierarchy uniqueName="[Range 2].[Tipo de fractura]" caption="Tipo de fractura" attribute="1" defaultMemberUniqueName="[Range 2].[Tipo de fractura].[All]" allUniqueName="[Range 2].[Tipo de fractura].[All]" dimensionUniqueName="[Range 2]" displayFolder="" count="0" memberValueDatatype="130" unbalanced="0"/>
    <cacheHierarchy uniqueName="[Range 2].[Fatal injury]" caption="Fatal injury" attribute="1" defaultMemberUniqueName="[Range 2].[Fatal injury].[All]" allUniqueName="[Range 2].[Fatal injury].[All]" dimensionUniqueName="[Range 2]" displayFolder="" count="0" memberValueDatatype="130" unbalanced="0"/>
    <cacheHierarchy uniqueName="[Range 2].[Registrado/Compitió?]" caption="Registrado/Compitió?" attribute="1" defaultMemberUniqueName="[Range 2].[Registrado/Compitió?].[All]" allUniqueName="[Range 2].[Registrado/Compitió?].[All]" dimensionUniqueName="[Range 2]" displayFolder="" count="0" memberValueDatatype="130" unbalanced="0"/>
    <cacheHierarchy uniqueName="[Range 2].[Data Inconsistente]" caption="Data Inconsistente" attribute="1" defaultMemberUniqueName="[Range 2].[Data Inconsistente].[All]" allUniqueName="[Range 2].[Data Inconsistente].[All]" dimensionUniqueName="[Range 2]" displayFolder="" count="0" memberValueDatatype="130" unbalanced="0"/>
    <cacheHierarchy uniqueName="[Range 2].[Death Date (Year)]" caption="Death Date (Year)" attribute="1" defaultMemberUniqueName="[Range 2].[Death Date (Year)].[All]" allUniqueName="[Range 2].[Death Date (Year)].[All]" dimensionUniqueName="[Range 2]" displayFolder="" count="0" memberValueDatatype="130" unbalanced="0"/>
    <cacheHierarchy uniqueName="[Range 2].[Death Date (Quarter)]" caption="Death Date (Quarter)" attribute="1" defaultMemberUniqueName="[Range 2].[Death Date (Quarter)].[All]" allUniqueName="[Range 2].[Death Date (Quarter)].[All]" dimensionUniqueName="[Range 2]" displayFolder="" count="0" memberValueDatatype="130" unbalanced="0"/>
    <cacheHierarchy uniqueName="[Range 2].[Death Date (Month)]" caption="Death Date (Month)" attribute="1" defaultMemberUniqueName="[Range 2].[Death Date (Month)].[All]" allUniqueName="[Range 2].[Death Date (Month)].[All]" dimensionUniqueName="[Range 2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2].[Death Date (Month Index)]" caption="Death Date (Month Index)" attribute="1" defaultMemberUniqueName="[Range 2].[Death Date (Month Index)].[All]" allUniqueName="[Range 2].[Death Date (Month Index)].[All]" dimensionUniqueName="[Range 2]" displayFolder="" count="0" memberValueDatatype="20" unbalanced="0" hidden="1"/>
    <cacheHierarchy uniqueName="[Measures].[Menor a 72 horas]" caption="Menor a 72 horas" measure="1" displayFolder="" measureGroup="Range" count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CABALLO]" caption="Count of CABALLO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BALLO 2]" caption="Count of CABALL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2" uniqueName="[Range 2]" caption="Range 2"/>
  </dimensions>
  <measureGroups count="2">
    <measureGroup name="Range" caption="Range"/>
    <measureGroup name="Range 2" caption="Range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Alejandro" refreshedDate="46195.69944074074" backgroundQuery="1" createdVersion="8" refreshedVersion="8" minRefreshableVersion="3" recordCount="0" supportSubquery="1" supportAdvancedDrill="1" xr:uid="{B5254F12-E433-4D64-AF73-80596AF9B577}">
  <cacheSource type="external" connectionId="2"/>
  <cacheFields count="5">
    <cacheField name="[Range].[Date (Month)].[Date (Month)]" caption="Date (Month)" numFmtId="0" hierarchy="1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Range].[Date (Year)].[Date (Year)]" caption="Date (Year)" numFmtId="0" hierarchy="11" level="1">
      <sharedItems count="2">
        <s v="2024"/>
        <s v="2025"/>
      </sharedItems>
    </cacheField>
    <cacheField name="[Measures].[Count of CABALLO]" caption="Count of CABALLO" numFmtId="0" hierarchy="37" level="32767"/>
    <cacheField name="[Range].[Tipo de fractura].[Tipo de fractura]" caption="Tipo de fractura" numFmtId="0" hierarchy="8" level="1">
      <sharedItems count="8">
        <s v="Caña / Cannon bone"/>
        <s v="Condylar"/>
        <s v="No especificado"/>
        <s v="Rodilla / Carpal"/>
        <s v="Sesamoideo"/>
        <s v="Slab"/>
        <s v="Splint"/>
        <s v="Fetlock"/>
      </sharedItems>
    </cacheField>
    <cacheField name="[Range].[Categoría].[Categoría]" caption="Categoría" numFmtId="0" hierarchy="7" level="1">
      <sharedItems containsSemiMixedTypes="0" containsNonDate="0" containsString="0"/>
    </cacheField>
  </cacheFields>
  <cacheHierarchies count="39">
    <cacheHierarchy uniqueName="[Range].[FECHA]" caption="FECHA" attribute="1" defaultMemberUniqueName="[Range].[FECHA].[All]" allUniqueName="[Range].[FECHA].[All]" dimensionUniqueName="[Range]" displayFolder="" count="0" memberValueDatatype="130" unbalanced="0"/>
    <cacheHierarchy uniqueName="[Range].[día]" caption="día" attribute="1" defaultMemberUniqueName="[Range].[día].[All]" allUniqueName="[Range].[día].[All]" dimensionUniqueName="[Range]" displayFolder="" count="0" memberValueDatatype="130" unbalanced="0"/>
    <cacheHierarchy uniqueName="[Range].[Mes]" caption="Mes" attribute="1" defaultMemberUniqueName="[Range].[Mes].[All]" allUniqueName="[Range].[Mes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ESTABLO]" caption="ESTABLO" attribute="1" defaultMemberUniqueName="[Range].[ESTABLO].[All]" allUniqueName="[Range].[ESTABLO].[All]" dimensionUniqueName="[Range]" displayFolder="" count="0" memberValueDatatype="130" unbalanced="0"/>
    <cacheHierarchy uniqueName="[Range].[CABALLO]" caption="CABALLO" attribute="1" defaultMemberUniqueName="[Range].[CABALLO].[All]" allUniqueName="[Range].[CABALLO].[All]" dimensionUniqueName="[Range]" displayFolder="" count="0" memberValueDatatype="130" unbalanced="0"/>
    <cacheHierarchy uniqueName="[Range].[RAZON]" caption="RAZON" attribute="1" defaultMemberUniqueName="[Range].[RAZON].[All]" allUniqueName="[Range].[RAZON].[All]" dimensionUniqueName="[Range]" displayFolder="" count="0" memberValueDatatype="130" unbalanced="0"/>
    <cacheHierarchy uniqueName="[Range].[Categoría]" caption="Categoría" attribute="1" defaultMemberUniqueName="[Range].[Categoría].[All]" allUniqueName="[Range].[Categoría].[All]" dimensionUniqueName="[Range]" displayFolder="" count="2" memberValueDatatype="130" unbalanced="0">
      <fieldsUsage count="2">
        <fieldUsage x="-1"/>
        <fieldUsage x="4"/>
      </fieldsUsage>
    </cacheHierarchy>
    <cacheHierarchy uniqueName="[Range].[Tipo de fractura]" caption="Tipo de fractura" attribute="1" defaultMemberUniqueName="[Range].[Tipo de fractura].[All]" allUniqueName="[Range].[Tipo de fractura].[All]" dimensionUniqueName="[Range]" displayFolder="" count="2" memberValueDatatype="130" unbalanced="0">
      <fieldsUsage count="2">
        <fieldUsage x="-1"/>
        <fieldUsage x="3"/>
      </fieldsUsage>
    </cacheHierarchy>
    <cacheHierarchy uniqueName="[Range].[Fatal injury]" caption="Fatal injury" attribute="1" defaultMemberUniqueName="[Range].[Fatal injury].[All]" allUniqueName="[Range].[Fatal injury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2" memberValueDatatype="130" unbalanced="0">
      <fieldsUsage count="2">
        <fieldUsage x="-1"/>
        <fieldUsage x="0"/>
      </fieldsUsage>
    </cacheHierarchy>
    <cacheHierarchy uniqueName="[Range].[Date (Year)]" caption="Date (Year)" attribute="1" defaultMemberUniqueName="[Range].[Date (Year)].[All]" allUniqueName="[Range].[Date (Year)].[All]" dimensionUniqueName="[Range]" displayFolder="" count="2" memberValueDatatype="130" unbalanced="0">
      <fieldsUsage count="2">
        <fieldUsage x="-1"/>
        <fieldUsage x="1"/>
      </fieldsUsage>
    </cacheHierarchy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 2].[Año]" caption="Año" attribute="1" defaultMemberUniqueName="[Range 2].[Año].[All]" allUniqueName="[Range 2].[Año].[All]" dimensionUniqueName="[Range 2]" displayFolder="" count="0" memberValueDatatype="20" unbalanced="0"/>
    <cacheHierarchy uniqueName="[Range 2].[FECHA]" caption="FECHA" attribute="1" defaultMemberUniqueName="[Range 2].[FECHA].[All]" allUniqueName="[Range 2].[FECHA].[All]" dimensionUniqueName="[Range 2]" displayFolder="" count="0" memberValueDatatype="130" unbalanced="0"/>
    <cacheHierarchy uniqueName="[Range 2].[día]" caption="día" attribute="1" defaultMemberUniqueName="[Range 2].[día].[All]" allUniqueName="[Range 2].[día].[All]" dimensionUniqueName="[Range 2]" displayFolder="" count="0" memberValueDatatype="130" unbalanced="0"/>
    <cacheHierarchy uniqueName="[Range 2].[Mes]" caption="Mes" attribute="1" defaultMemberUniqueName="[Range 2].[Mes].[All]" allUniqueName="[Range 2].[Mes].[All]" dimensionUniqueName="[Range 2]" displayFolder="" count="0" memberValueDatatype="130" unbalanced="0"/>
    <cacheHierarchy uniqueName="[Range 2].[Last Race Date (desde Equibase)]" caption="Last Race Date (desde Equibase)" attribute="1" defaultMemberUniqueName="[Range 2].[Last Race Date (desde Equibase)].[All]" allUniqueName="[Range 2].[Last Race Date (desde Equibase)].[All]" dimensionUniqueName="[Range 2]" displayFolder="" count="0" memberValueDatatype="130" unbalanced="0"/>
    <cacheHierarchy uniqueName="[Range 2].[Death Date]" caption="Death Date" attribute="1" time="1" defaultMemberUniqueName="[Range 2].[Death Date].[All]" allUniqueName="[Range 2].[Death Date].[All]" dimensionUniqueName="[Range 2]" displayFolder="" count="0" memberValueDatatype="7" unbalanced="0"/>
    <cacheHierarchy uniqueName="[Range 2].[ESTABLO]" caption="ESTABLO" attribute="1" defaultMemberUniqueName="[Range 2].[ESTABLO].[All]" allUniqueName="[Range 2].[ESTABLO].[All]" dimensionUniqueName="[Range 2]" displayFolder="" count="0" memberValueDatatype="130" unbalanced="0"/>
    <cacheHierarchy uniqueName="[Range 2].[Horas transcurridas]" caption="Horas transcurridas" attribute="1" defaultMemberUniqueName="[Range 2].[Horas transcurridas].[All]" allUniqueName="[Range 2].[Horas transcurridas].[All]" dimensionUniqueName="[Range 2]" displayFolder="" count="0" memberValueDatatype="20" unbalanced="0"/>
    <cacheHierarchy uniqueName="[Range 2].[CABALLO]" caption="CABALLO" attribute="1" defaultMemberUniqueName="[Range 2].[CABALLO].[All]" allUniqueName="[Range 2].[CABALLO].[All]" dimensionUniqueName="[Range 2]" displayFolder="" count="0" memberValueDatatype="130" unbalanced="0"/>
    <cacheHierarchy uniqueName="[Range 2].[RAZON]" caption="RAZON" attribute="1" defaultMemberUniqueName="[Range 2].[RAZON].[All]" allUniqueName="[Range 2].[RAZON].[All]" dimensionUniqueName="[Range 2]" displayFolder="" count="0" memberValueDatatype="130" unbalanced="0"/>
    <cacheHierarchy uniqueName="[Range 2].[Categoría]" caption="Categoría" attribute="1" defaultMemberUniqueName="[Range 2].[Categoría].[All]" allUniqueName="[Range 2].[Categoría].[All]" dimensionUniqueName="[Range 2]" displayFolder="" count="0" memberValueDatatype="130" unbalanced="0"/>
    <cacheHierarchy uniqueName="[Range 2].[Tipo de fractura]" caption="Tipo de fractura" attribute="1" defaultMemberUniqueName="[Range 2].[Tipo de fractura].[All]" allUniqueName="[Range 2].[Tipo de fractura].[All]" dimensionUniqueName="[Range 2]" displayFolder="" count="0" memberValueDatatype="130" unbalanced="0"/>
    <cacheHierarchy uniqueName="[Range 2].[Fatal injury]" caption="Fatal injury" attribute="1" defaultMemberUniqueName="[Range 2].[Fatal injury].[All]" allUniqueName="[Range 2].[Fatal injury].[All]" dimensionUniqueName="[Range 2]" displayFolder="" count="0" memberValueDatatype="130" unbalanced="0"/>
    <cacheHierarchy uniqueName="[Range 2].[Registrado/Compitió?]" caption="Registrado/Compitió?" attribute="1" defaultMemberUniqueName="[Range 2].[Registrado/Compitió?].[All]" allUniqueName="[Range 2].[Registrado/Compitió?].[All]" dimensionUniqueName="[Range 2]" displayFolder="" count="0" memberValueDatatype="130" unbalanced="0"/>
    <cacheHierarchy uniqueName="[Range 2].[Data Inconsistente]" caption="Data Inconsistente" attribute="1" defaultMemberUniqueName="[Range 2].[Data Inconsistente].[All]" allUniqueName="[Range 2].[Data Inconsistente].[All]" dimensionUniqueName="[Range 2]" displayFolder="" count="0" memberValueDatatype="130" unbalanced="0"/>
    <cacheHierarchy uniqueName="[Range 2].[Death Date (Year)]" caption="Death Date (Year)" attribute="1" defaultMemberUniqueName="[Range 2].[Death Date (Year)].[All]" allUniqueName="[Range 2].[Death Date (Year)].[All]" dimensionUniqueName="[Range 2]" displayFolder="" count="0" memberValueDatatype="130" unbalanced="0"/>
    <cacheHierarchy uniqueName="[Range 2].[Death Date (Quarter)]" caption="Death Date (Quarter)" attribute="1" defaultMemberUniqueName="[Range 2].[Death Date (Quarter)].[All]" allUniqueName="[Range 2].[Death Date (Quarter)].[All]" dimensionUniqueName="[Range 2]" displayFolder="" count="0" memberValueDatatype="130" unbalanced="0"/>
    <cacheHierarchy uniqueName="[Range 2].[Death Date (Month)]" caption="Death Date (Month)" attribute="1" defaultMemberUniqueName="[Range 2].[Death Date (Month)].[All]" allUniqueName="[Range 2].[Death Date (Month)].[All]" dimensionUniqueName="[Range 2]" displayFolder="" count="0" memberValueDatatype="130" unbalanced="0"/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2].[Death Date (Month Index)]" caption="Death Date (Month Index)" attribute="1" defaultMemberUniqueName="[Range 2].[Death Date (Month Index)].[All]" allUniqueName="[Range 2].[Death Date (Month Index)].[All]" dimensionUniqueName="[Range 2]" displayFolder="" count="0" memberValueDatatype="20" unbalanced="0" hidden="1"/>
    <cacheHierarchy uniqueName="[Measures].[Menor a 72 horas]" caption="Menor a 72 horas" measure="1" displayFolder="" measureGroup="Range" count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CABALLO]" caption="Count of CABALLO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BALLO 2]" caption="Count of CABALLO 2" measure="1" displayFolder="" measureGroup="Range 2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2" uniqueName="[Range 2]" caption="Range 2"/>
  </dimensions>
  <measureGroups count="2">
    <measureGroup name="Range" caption="Range"/>
    <measureGroup name="Range 2" caption="Range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guel Alejandro" refreshedDate="46196.346556944445" backgroundQuery="1" createdVersion="8" refreshedVersion="8" minRefreshableVersion="3" recordCount="0" supportSubquery="1" supportAdvancedDrill="1" xr:uid="{B71E07CE-B859-49AA-A7CA-DD5D2332131D}">
  <cacheSource type="external" connectionId="2"/>
  <cacheFields count="7">
    <cacheField name="[Range 2].[Registrado/Compitió?].[Registrado/Compitió?]" caption="Registrado/Compitió?" numFmtId="0" hierarchy="26" level="1">
      <sharedItems containsSemiMixedTypes="0" containsNonDate="0" containsString="0"/>
    </cacheField>
    <cacheField name="[Range 2].[Death Date (Month)].[Death Date (Month)]" caption="Death Date (Month)" numFmtId="0" hierarchy="30" level="1">
      <sharedItems count="6">
        <s v="Jan"/>
        <s v="Feb"/>
        <s v="Mar"/>
        <s v="Apr"/>
        <s v="May"/>
        <s v="Jun"/>
      </sharedItems>
    </cacheField>
    <cacheField name="[Range 2].[Death Date (Year)].[Death Date (Year)]" caption="Death Date (Year)" numFmtId="0" hierarchy="28" level="1">
      <sharedItems containsSemiMixedTypes="0" containsNonDate="0" containsString="0"/>
    </cacheField>
    <cacheField name="[Measures].[Count of CABALLO 2]" caption="Count of CABALLO 2" numFmtId="0" hierarchy="38" level="32767"/>
    <cacheField name="[Range 2].[Categoría].[Categoría]" caption="Categoría" numFmtId="0" hierarchy="23" level="1">
      <sharedItems count="4">
        <s v="Enfermedad degenerativa articular"/>
        <s v="Fractura ósea"/>
        <s v="Lesión de ligamentos/tendones"/>
        <s v="Otras / No especificada"/>
      </sharedItems>
    </cacheField>
    <cacheField name="[Range 2].[Horas transcurridas].[Horas transcurridas]" caption="Horas transcurridas" numFmtId="0" hierarchy="20" level="1">
      <sharedItems containsSemiMixedTypes="0" containsNonDate="0" containsString="0"/>
    </cacheField>
    <cacheField name="[Range 2].[CABALLO].[CABALLO]" caption="CABALLO" numFmtId="0" hierarchy="21" level="1">
      <sharedItems count="35">
        <s v="ADINERADA"/>
        <s v="ROAD SLEW"/>
        <s v="SOY DE LEE"/>
        <s v="COMBAT METRA"/>
        <s v="CRYSTAL CRECENT"/>
        <s v="MY OWN DREAM"/>
        <s v="VUELVE JOU"/>
        <s v="ANDRÉS"/>
        <s v="BIG FIG"/>
        <s v="CERVECERA"/>
        <s v="CHIHUAHUA"/>
        <s v="CONSEJERO"/>
        <s v="DAY OF LOVE"/>
        <s v="DULCE INEA"/>
        <s v="EL GOLDY"/>
        <s v="EMPRENDEDORA"/>
        <s v="GO BIG BLUE"/>
        <s v="JOAQUIN ANDRES"/>
        <s v="LA INTOCABLE"/>
        <s v="LIBERTY QUEEN"/>
        <s v="LINDA CRISTY"/>
        <s v="MI NINA PONCENA"/>
        <s v="REGNATOR"/>
        <s v="REINA DE COPAS"/>
        <s v="SYRIANA MIA 2024"/>
        <s v="THE UPPERCUT LADY"/>
        <s v="VERONICA D"/>
        <s v="CHINO BRAVO"/>
        <s v="COMMANDEER"/>
        <s v="CRIOLLO"/>
        <s v="DONA TITA N"/>
        <s v="LA VALEROSA"/>
        <s v="PUNTO CRUCIAL"/>
        <s v="SAME AS CASH"/>
        <s v="SKELLETOR"/>
      </sharedItems>
    </cacheField>
  </cacheFields>
  <cacheHierarchies count="39">
    <cacheHierarchy uniqueName="[Range].[FECHA]" caption="FECHA" attribute="1" defaultMemberUniqueName="[Range].[FECHA].[All]" allUniqueName="[Range].[FECHA].[All]" dimensionUniqueName="[Range]" displayFolder="" count="0" memberValueDatatype="130" unbalanced="0"/>
    <cacheHierarchy uniqueName="[Range].[día]" caption="día" attribute="1" defaultMemberUniqueName="[Range].[día].[All]" allUniqueName="[Range].[día].[All]" dimensionUniqueName="[Range]" displayFolder="" count="0" memberValueDatatype="130" unbalanced="0"/>
    <cacheHierarchy uniqueName="[Range].[Mes]" caption="Mes" attribute="1" defaultMemberUniqueName="[Range].[Mes].[All]" allUniqueName="[Range].[Mes].[All]" dimensionUniqueName="[Range]" displayFolder="" count="0" memberValueDatatype="130" unbalanced="0"/>
    <cacheHierarchy uniqueName="[Range].[Date]" caption="Date" attribute="1" time="1" defaultMemberUniqueName="[Range].[Date].[All]" allUniqueName="[Range].[Date].[All]" dimensionUniqueName="[Range]" displayFolder="" count="0" memberValueDatatype="7" unbalanced="0"/>
    <cacheHierarchy uniqueName="[Range].[ESTABLO]" caption="ESTABLO" attribute="1" defaultMemberUniqueName="[Range].[ESTABLO].[All]" allUniqueName="[Range].[ESTABLO].[All]" dimensionUniqueName="[Range]" displayFolder="" count="0" memberValueDatatype="130" unbalanced="0"/>
    <cacheHierarchy uniqueName="[Range].[CABALLO]" caption="CABALLO" attribute="1" defaultMemberUniqueName="[Range].[CABALLO].[All]" allUniqueName="[Range].[CABALLO].[All]" dimensionUniqueName="[Range]" displayFolder="" count="0" memberValueDatatype="130" unbalanced="0"/>
    <cacheHierarchy uniqueName="[Range].[RAZON]" caption="RAZON" attribute="1" defaultMemberUniqueName="[Range].[RAZON].[All]" allUniqueName="[Range].[RAZON].[All]" dimensionUniqueName="[Range]" displayFolder="" count="0" memberValueDatatype="130" unbalanced="0"/>
    <cacheHierarchy uniqueName="[Range].[Categoría]" caption="Categoría" attribute="1" defaultMemberUniqueName="[Range].[Categoría].[All]" allUniqueName="[Range].[Categoría].[All]" dimensionUniqueName="[Range]" displayFolder="" count="0" memberValueDatatype="130" unbalanced="0"/>
    <cacheHierarchy uniqueName="[Range].[Tipo de fractura]" caption="Tipo de fractura" attribute="1" defaultMemberUniqueName="[Range].[Tipo de fractura].[All]" allUniqueName="[Range].[Tipo de fractura].[All]" dimensionUniqueName="[Range]" displayFolder="" count="0" memberValueDatatype="130" unbalanced="0"/>
    <cacheHierarchy uniqueName="[Range].[Fatal injury]" caption="Fatal injury" attribute="1" defaultMemberUniqueName="[Range].[Fatal injury].[All]" allUniqueName="[Range].[Fatal injury].[All]" dimensionUniqueName="[Range]" displayFolder="" count="0" memberValueDatatype="130" unbalanced="0"/>
    <cacheHierarchy uniqueName="[Range].[Date (Month)]" caption="Date (Month)" attribute="1" defaultMemberUniqueName="[Range].[Date (Month)].[All]" allUniqueName="[Range].[Date (Month)].[All]" dimensionUniqueName="[Range]" displayFolder="" count="0" memberValueDatatype="130" unbalanced="0"/>
    <cacheHierarchy uniqueName="[Range].[Date (Year)]" caption="Date (Year)" attribute="1" defaultMemberUniqueName="[Range].[Date (Year)].[All]" allUniqueName="[Range].[Date (Year)].[All]" dimensionUniqueName="[Range]" displayFolder="" count="0" memberValueDatatype="130" unbalanced="0"/>
    <cacheHierarchy uniqueName="[Range].[Date (Quarter)]" caption="Date (Quarter)" attribute="1" defaultMemberUniqueName="[Range].[Date (Quarter)].[All]" allUniqueName="[Range].[Date (Quarter)].[All]" dimensionUniqueName="[Range]" displayFolder="" count="0" memberValueDatatype="130" unbalanced="0"/>
    <cacheHierarchy uniqueName="[Range 2].[Año]" caption="Año" attribute="1" defaultMemberUniqueName="[Range 2].[Año].[All]" allUniqueName="[Range 2].[Año].[All]" dimensionUniqueName="[Range 2]" displayFolder="" count="0" memberValueDatatype="20" unbalanced="0"/>
    <cacheHierarchy uniqueName="[Range 2].[FECHA]" caption="FECHA" attribute="1" defaultMemberUniqueName="[Range 2].[FECHA].[All]" allUniqueName="[Range 2].[FECHA].[All]" dimensionUniqueName="[Range 2]" displayFolder="" count="0" memberValueDatatype="130" unbalanced="0"/>
    <cacheHierarchy uniqueName="[Range 2].[día]" caption="día" attribute="1" defaultMemberUniqueName="[Range 2].[día].[All]" allUniqueName="[Range 2].[día].[All]" dimensionUniqueName="[Range 2]" displayFolder="" count="0" memberValueDatatype="130" unbalanced="0"/>
    <cacheHierarchy uniqueName="[Range 2].[Mes]" caption="Mes" attribute="1" defaultMemberUniqueName="[Range 2].[Mes].[All]" allUniqueName="[Range 2].[Mes].[All]" dimensionUniqueName="[Range 2]" displayFolder="" count="0" memberValueDatatype="130" unbalanced="0"/>
    <cacheHierarchy uniqueName="[Range 2].[Last Race Date (desde Equibase)]" caption="Last Race Date (desde Equibase)" attribute="1" defaultMemberUniqueName="[Range 2].[Last Race Date (desde Equibase)].[All]" allUniqueName="[Range 2].[Last Race Date (desde Equibase)].[All]" dimensionUniqueName="[Range 2]" displayFolder="" count="0" memberValueDatatype="130" unbalanced="0"/>
    <cacheHierarchy uniqueName="[Range 2].[Death Date]" caption="Death Date" attribute="1" time="1" defaultMemberUniqueName="[Range 2].[Death Date].[All]" allUniqueName="[Range 2].[Death Date].[All]" dimensionUniqueName="[Range 2]" displayFolder="" count="0" memberValueDatatype="7" unbalanced="0"/>
    <cacheHierarchy uniqueName="[Range 2].[ESTABLO]" caption="ESTABLO" attribute="1" defaultMemberUniqueName="[Range 2].[ESTABLO].[All]" allUniqueName="[Range 2].[ESTABLO].[All]" dimensionUniqueName="[Range 2]" displayFolder="" count="0" memberValueDatatype="130" unbalanced="0"/>
    <cacheHierarchy uniqueName="[Range 2].[Horas transcurridas]" caption="Horas transcurridas" attribute="1" defaultMemberUniqueName="[Range 2].[Horas transcurridas].[All]" allUniqueName="[Range 2].[Horas transcurridas].[All]" dimensionUniqueName="[Range 2]" displayFolder="" count="2" memberValueDatatype="20" unbalanced="0">
      <fieldsUsage count="2">
        <fieldUsage x="-1"/>
        <fieldUsage x="5"/>
      </fieldsUsage>
    </cacheHierarchy>
    <cacheHierarchy uniqueName="[Range 2].[CABALLO]" caption="CABALLO" attribute="1" defaultMemberUniqueName="[Range 2].[CABALLO].[All]" allUniqueName="[Range 2].[CABALLO].[All]" dimensionUniqueName="[Range 2]" displayFolder="" count="2" memberValueDatatype="130" unbalanced="0">
      <fieldsUsage count="2">
        <fieldUsage x="-1"/>
        <fieldUsage x="6"/>
      </fieldsUsage>
    </cacheHierarchy>
    <cacheHierarchy uniqueName="[Range 2].[RAZON]" caption="RAZON" attribute="1" defaultMemberUniqueName="[Range 2].[RAZON].[All]" allUniqueName="[Range 2].[RAZON].[All]" dimensionUniqueName="[Range 2]" displayFolder="" count="0" memberValueDatatype="130" unbalanced="0"/>
    <cacheHierarchy uniqueName="[Range 2].[Categoría]" caption="Categoría" attribute="1" defaultMemberUniqueName="[Range 2].[Categoría].[All]" allUniqueName="[Range 2].[Categoría].[All]" dimensionUniqueName="[Range 2]" displayFolder="" count="2" memberValueDatatype="130" unbalanced="0">
      <fieldsUsage count="2">
        <fieldUsage x="-1"/>
        <fieldUsage x="4"/>
      </fieldsUsage>
    </cacheHierarchy>
    <cacheHierarchy uniqueName="[Range 2].[Tipo de fractura]" caption="Tipo de fractura" attribute="1" defaultMemberUniqueName="[Range 2].[Tipo de fractura].[All]" allUniqueName="[Range 2].[Tipo de fractura].[All]" dimensionUniqueName="[Range 2]" displayFolder="" count="0" memberValueDatatype="130" unbalanced="0"/>
    <cacheHierarchy uniqueName="[Range 2].[Fatal injury]" caption="Fatal injury" attribute="1" defaultMemberUniqueName="[Range 2].[Fatal injury].[All]" allUniqueName="[Range 2].[Fatal injury].[All]" dimensionUniqueName="[Range 2]" displayFolder="" count="0" memberValueDatatype="130" unbalanced="0"/>
    <cacheHierarchy uniqueName="[Range 2].[Registrado/Compitió?]" caption="Registrado/Compitió?" attribute="1" defaultMemberUniqueName="[Range 2].[Registrado/Compitió?].[All]" allUniqueName="[Range 2].[Registrado/Compitió?].[All]" dimensionUniqueName="[Range 2]" displayFolder="" count="2" memberValueDatatype="130" unbalanced="0">
      <fieldsUsage count="2">
        <fieldUsage x="-1"/>
        <fieldUsage x="0"/>
      </fieldsUsage>
    </cacheHierarchy>
    <cacheHierarchy uniqueName="[Range 2].[Data Inconsistente]" caption="Data Inconsistente" attribute="1" defaultMemberUniqueName="[Range 2].[Data Inconsistente].[All]" allUniqueName="[Range 2].[Data Inconsistente].[All]" dimensionUniqueName="[Range 2]" displayFolder="" count="0" memberValueDatatype="130" unbalanced="0"/>
    <cacheHierarchy uniqueName="[Range 2].[Death Date (Year)]" caption="Death Date (Year)" attribute="1" defaultMemberUniqueName="[Range 2].[Death Date (Year)].[All]" allUniqueName="[Range 2].[Death Date (Year)].[All]" dimensionUniqueName="[Range 2]" displayFolder="" count="2" memberValueDatatype="130" unbalanced="0">
      <fieldsUsage count="2">
        <fieldUsage x="-1"/>
        <fieldUsage x="2"/>
      </fieldsUsage>
    </cacheHierarchy>
    <cacheHierarchy uniqueName="[Range 2].[Death Date (Quarter)]" caption="Death Date (Quarter)" attribute="1" defaultMemberUniqueName="[Range 2].[Death Date (Quarter)].[All]" allUniqueName="[Range 2].[Death Date (Quarter)].[All]" dimensionUniqueName="[Range 2]" displayFolder="" count="0" memberValueDatatype="130" unbalanced="0"/>
    <cacheHierarchy uniqueName="[Range 2].[Death Date (Month)]" caption="Death Date (Month)" attribute="1" defaultMemberUniqueName="[Range 2].[Death Date (Month)].[All]" allUniqueName="[Range 2].[Death Date (Month)].[All]" dimensionUniqueName="[Range 2]" displayFolder="" count="2" memberValueDatatype="130" unbalanced="0">
      <fieldsUsage count="2">
        <fieldUsage x="-1"/>
        <fieldUsage x="1"/>
      </fieldsUsage>
    </cacheHierarchy>
    <cacheHierarchy uniqueName="[Range].[Date (Month Index)]" caption="Date (Month Index)" attribute="1" defaultMemberUniqueName="[Range].[Date (Month Index)].[All]" allUniqueName="[Range].[Date (Month Index)].[All]" dimensionUniqueName="[Range]" displayFolder="" count="0" memberValueDatatype="20" unbalanced="0" hidden="1"/>
    <cacheHierarchy uniqueName="[Range 2].[Death Date (Month Index)]" caption="Death Date (Month Index)" attribute="1" defaultMemberUniqueName="[Range 2].[Death Date (Month Index)].[All]" allUniqueName="[Range 2].[Death Date (Month Index)].[All]" dimensionUniqueName="[Range 2]" displayFolder="" count="0" memberValueDatatype="20" unbalanced="0" hidden="1"/>
    <cacheHierarchy uniqueName="[Measures].[Menor a 72 horas]" caption="Menor a 72 horas" measure="1" displayFolder="" measureGroup="Range" count="0"/>
    <cacheHierarchy uniqueName="[Measures].[__XL_Count Range]" caption="__XL_Count Range" measure="1" displayFolder="" measureGroup="Range" count="0" hidden="1"/>
    <cacheHierarchy uniqueName="[Measures].[__XL_Count Range 2]" caption="__XL_Count Range 2" measure="1" displayFolder="" measureGroup="Range 2" count="0" hidden="1"/>
    <cacheHierarchy uniqueName="[Measures].[__No measures defined]" caption="__No measures defined" measure="1" displayFolder="" count="0" hidden="1"/>
    <cacheHierarchy uniqueName="[Measures].[Count of CABALLO]" caption="Count of CABALLO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CABALLO 2]" caption="Count of CABALLO 2" measure="1" displayFolder="" measureGroup="Range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Range" uniqueName="[Range]" caption="Range"/>
    <dimension name="Range 2" uniqueName="[Range 2]" caption="Range 2"/>
  </dimensions>
  <measureGroups count="2">
    <measureGroup name="Range" caption="Range"/>
    <measureGroup name="Range 2" caption="Range 2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41B96-CC0F-4430-8BB1-592FFCFC4212}" name="PivotTable2" cacheId="62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11" rowHeaderCaption="Months" colHeaderCaption="Years">
  <location ref="A3:C5" firstHeaderRow="1" firstDataRow="2" firstDataCol="1" rowPageCount="1" colPageCount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Fields count="1">
    <field x="0"/>
  </colFields>
  <colItems count="2">
    <i>
      <x/>
    </i>
    <i>
      <x v="1"/>
    </i>
  </colItems>
  <pageFields count="1">
    <pageField fld="2" hier="7" name="[Range].[Categoría].&amp;[Fractura ósea]" cap="Fractura ósea"/>
  </pageFields>
  <dataFields count="1">
    <dataField name="Death Horses" fld="1" subtotal="count" showDataAs="percentOfTotal" baseField="0" baseItem="0" numFmtId="10"/>
  </dataFields>
  <formats count="3">
    <format dxfId="126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2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2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ange].[Categoría].&amp;[Fractura óse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% Death Diff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da la data!$A$1:$J$44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3B8D6-E354-4DD0-A81A-0ED59993D712}" name="PivotTable3" cacheId="6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2" firstHeaderRow="1" firstDataRow="1" firstDataCol="1"/>
  <pivotFields count="3">
    <pivotField axis="axisRow" allDrilled="1" subtotalTop="0" showAll="0" dataSourceSort="1" defaultSubtotal="0" defaultAttributeDrillState="1">
      <items count="4">
        <item s="1" x="0" e="0"/>
        <item s="1" x="1" e="0"/>
        <item s="1" x="2" e="0"/>
        <item s="1"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</pivotField>
  </pivotFields>
  <rowFields count="2">
    <field x="0"/>
    <field x="2"/>
  </rowFields>
  <rowItems count="119">
    <i>
      <x/>
    </i>
    <i>
      <x v="1"/>
    </i>
    <i>
      <x v="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t="grand">
      <x/>
    </i>
  </rowItems>
  <colItems count="1">
    <i/>
  </colItems>
  <dataFields count="1">
    <dataField name="Count of CABALLO" fld="1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da la data!$A$1:$J$44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CB736-784C-4757-915D-5CAC550C2CC8}" name="PivotTable4" cacheId="62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93" firstHeaderRow="1" firstDataRow="2" firstDataCol="1" rowPageCount="1" colPageCount="1"/>
  <pivotFields count="5">
    <pivotField axis="axisRow" allDrilled="1" subtotalTop="0" showAll="0" dataSourceSort="1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allDrilled="1" subtotalTop="0" showAll="0" dataSourceSort="1" defaultAttributeDrillState="1">
      <items count="3">
        <item x="0"/>
        <item x="1"/>
        <item t="default"/>
      </items>
    </pivotField>
    <pivotField dataField="1" subtotalTop="0" showAll="0" defaultSubtotal="0"/>
    <pivotField axis="axisRow" allDrilled="1" subtotalTop="0" showAll="0" dataSourceSort="1" defaultAttributeDrillState="1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allDrilled="1" subtotalTop="0" showAll="0" dataSourceSort="1" defaultAttributeDrillState="1">
      <items count="1">
        <item t="default"/>
      </items>
    </pivotField>
  </pivotFields>
  <rowFields count="2">
    <field x="0"/>
    <field x="3"/>
  </rowFields>
  <rowItems count="89">
    <i>
      <x/>
    </i>
    <i r="1">
      <x/>
    </i>
    <i r="1">
      <x v="1"/>
    </i>
    <i r="1">
      <x v="2"/>
    </i>
    <i r="1">
      <x v="3"/>
    </i>
    <i r="1">
      <x v="4"/>
    </i>
    <i r="1">
      <x v="5"/>
    </i>
    <i t="default">
      <x/>
    </i>
    <i>
      <x v="1"/>
    </i>
    <i r="1">
      <x v="2"/>
    </i>
    <i r="1">
      <x v="3"/>
    </i>
    <i r="1">
      <x v="4"/>
    </i>
    <i r="1">
      <x v="5"/>
    </i>
    <i t="default">
      <x v="1"/>
    </i>
    <i>
      <x v="2"/>
    </i>
    <i r="1">
      <x/>
    </i>
    <i r="1">
      <x v="2"/>
    </i>
    <i r="1">
      <x v="3"/>
    </i>
    <i r="1">
      <x v="4"/>
    </i>
    <i r="1">
      <x v="5"/>
    </i>
    <i r="1">
      <x v="6"/>
    </i>
    <i t="default">
      <x v="2"/>
    </i>
    <i>
      <x v="3"/>
    </i>
    <i r="1">
      <x/>
    </i>
    <i r="1">
      <x v="2"/>
    </i>
    <i r="1">
      <x v="3"/>
    </i>
    <i r="1">
      <x v="4"/>
    </i>
    <i r="1">
      <x v="5"/>
    </i>
    <i t="default">
      <x v="3"/>
    </i>
    <i>
      <x v="4"/>
    </i>
    <i r="1">
      <x/>
    </i>
    <i r="1">
      <x v="2"/>
    </i>
    <i r="1">
      <x v="3"/>
    </i>
    <i r="1">
      <x v="4"/>
    </i>
    <i r="1">
      <x v="5"/>
    </i>
    <i t="default">
      <x v="4"/>
    </i>
    <i>
      <x v="5"/>
    </i>
    <i r="1">
      <x v="1"/>
    </i>
    <i r="1">
      <x v="2"/>
    </i>
    <i r="1">
      <x v="3"/>
    </i>
    <i r="1">
      <x v="4"/>
    </i>
    <i r="1">
      <x v="5"/>
    </i>
    <i t="default">
      <x v="5"/>
    </i>
    <i>
      <x v="6"/>
    </i>
    <i r="1">
      <x/>
    </i>
    <i r="1">
      <x v="7"/>
    </i>
    <i r="1">
      <x v="2"/>
    </i>
    <i r="1">
      <x v="3"/>
    </i>
    <i r="1">
      <x v="4"/>
    </i>
    <i r="1">
      <x v="5"/>
    </i>
    <i r="1">
      <x v="6"/>
    </i>
    <i t="default">
      <x v="6"/>
    </i>
    <i>
      <x v="7"/>
    </i>
    <i r="1">
      <x/>
    </i>
    <i r="1">
      <x v="2"/>
    </i>
    <i r="1">
      <x v="3"/>
    </i>
    <i r="1">
      <x v="4"/>
    </i>
    <i r="1">
      <x v="5"/>
    </i>
    <i t="default">
      <x v="7"/>
    </i>
    <i>
      <x v="8"/>
    </i>
    <i r="1">
      <x/>
    </i>
    <i r="1">
      <x v="7"/>
    </i>
    <i r="1">
      <x v="2"/>
    </i>
    <i r="1">
      <x v="3"/>
    </i>
    <i r="1">
      <x v="4"/>
    </i>
    <i r="1">
      <x v="5"/>
    </i>
    <i t="default">
      <x v="8"/>
    </i>
    <i>
      <x v="9"/>
    </i>
    <i r="1">
      <x/>
    </i>
    <i r="1">
      <x v="2"/>
    </i>
    <i r="1">
      <x v="3"/>
    </i>
    <i r="1">
      <x v="5"/>
    </i>
    <i t="default">
      <x v="9"/>
    </i>
    <i>
      <x v="10"/>
    </i>
    <i r="1">
      <x v="7"/>
    </i>
    <i r="1">
      <x v="2"/>
    </i>
    <i r="1">
      <x v="3"/>
    </i>
    <i r="1">
      <x v="4"/>
    </i>
    <i r="1">
      <x v="5"/>
    </i>
    <i t="default">
      <x v="10"/>
    </i>
    <i>
      <x v="11"/>
    </i>
    <i r="1">
      <x/>
    </i>
    <i r="1">
      <x v="2"/>
    </i>
    <i r="1">
      <x v="3"/>
    </i>
    <i r="1">
      <x v="4"/>
    </i>
    <i r="1">
      <x v="5"/>
    </i>
    <i r="1">
      <x v="6"/>
    </i>
    <i t="default">
      <x v="1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4" hier="7" name="[Range].[Categoría].&amp;[Fractura ósea]" cap="Fractura ósea"/>
  </pageFields>
  <dataFields count="1">
    <dataField name="Count of CABALLO" fld="2" subtotal="count" baseField="0" baseItem="0"/>
  </dataField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0"/>
    <rowHierarchyUsage hierarchyUsage="8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oda la data!$A$1:$J$447">
        <x15:activeTabTopLevelEntity name="[Rang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B2A26-4133-465D-8039-08E343495E06}" name="PivotTable11" cacheId="634" applyNumberFormats="0" applyBorderFormats="0" applyFontFormats="0" applyPatternFormats="0" applyAlignmentFormats="0" applyWidthHeightFormats="1" dataCaption="Values" tag="4cfa2726-60de-4772-903d-59df077c556b" updatedVersion="8" minRefreshableVersion="3" useAutoFormatting="1" itemPrintTitles="1" createdVersion="8" indent="0" outline="1" outlineData="1" multipleFieldFilters="0" rowHeaderCaption="Meses" colHeaderCaption="Razón muerte">
  <location ref="A6:F49" firstHeaderRow="1" firstDataRow="2" firstDataCol="1" rowPageCount="3" colPageCount="1"/>
  <pivotFields count="7">
    <pivotField axis="axisPage" allDrilled="1" showAll="0" dataSourceSort="1" defaultAttributeDrillState="1">
      <items count="1">
        <item t="default"/>
      </items>
    </pivotField>
    <pivotField axis="axisRow" allDrilled="1" showAll="0" dataSourceSort="1">
      <items count="7">
        <item x="0"/>
        <item x="1"/>
        <item x="2"/>
        <item x="3"/>
        <item x="4"/>
        <item x="5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ubtotalTop="0" showAll="0" defaultSubtotal="0"/>
    <pivotField axis="axisCol" allDrilled="1" showAll="0" dataSourceSort="1" defaultAttributeDrillState="1">
      <items count="5">
        <item s="1" x="0"/>
        <item s="1" x="1"/>
        <item s="1" x="2"/>
        <item s="1" x="3"/>
        <item t="default"/>
      </items>
    </pivotField>
    <pivotField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</pivotFields>
  <rowFields count="2">
    <field x="1"/>
    <field x="6"/>
  </rowFields>
  <rowItems count="42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>
      <x v="3"/>
    </i>
    <i r="1">
      <x v="7"/>
    </i>
    <i>
      <x v="4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5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3">
    <pageField fld="0" hier="26" name="[Range 2].[Registrado/Compitió?].&amp;[Si]" cap="Si"/>
    <pageField fld="2" hier="28" name="[Range 2].[Death Date (Year)].&amp;[2026]" cap="2026"/>
    <pageField fld="5" hier="20" name="[Range 2].[Horas transcurridas].&amp;[0]" cap="0"/>
  </pageFields>
  <dataFields count="1">
    <dataField name="Caballos" fld="3" subtotal="count" baseField="0" baseItem="0"/>
  </dataFields>
  <formats count="38">
    <format dxfId="144">
      <pivotArea collapsedLevelsAreSubtotals="1" fieldPosition="0">
        <references count="1">
          <reference field="1" count="1">
            <x v="0"/>
          </reference>
        </references>
      </pivotArea>
    </format>
    <format dxfId="143">
      <pivotArea collapsedLevelsAreSubtotals="1" fieldPosition="0">
        <references count="1">
          <reference field="1" count="1">
            <x v="1"/>
          </reference>
        </references>
      </pivotArea>
    </format>
    <format dxfId="142">
      <pivotArea collapsedLevelsAreSubtotals="1" fieldPosition="0">
        <references count="1">
          <reference field="1" count="1">
            <x v="4"/>
          </reference>
        </references>
      </pivotArea>
    </format>
    <format dxfId="141">
      <pivotArea collapsedLevelsAreSubtotals="1" fieldPosition="0">
        <references count="1">
          <reference field="1" count="1">
            <x v="5"/>
          </reference>
        </references>
      </pivotArea>
    </format>
    <format dxfId="140">
      <pivotArea grandRow="1" outline="0" collapsedLevelsAreSubtotals="1" fieldPosition="0"/>
    </format>
    <format dxfId="139">
      <pivotArea collapsedLevelsAreSubtotals="1" fieldPosition="0">
        <references count="1">
          <reference field="1" count="1">
            <x v="0"/>
          </reference>
        </references>
      </pivotArea>
    </format>
    <format dxfId="138">
      <pivotArea collapsedLevelsAreSubtotals="1" fieldPosition="0">
        <references count="1">
          <reference field="1" count="1">
            <x v="1"/>
          </reference>
        </references>
      </pivotArea>
    </format>
    <format dxfId="137">
      <pivotArea collapsedLevelsAreSubtotals="1" fieldPosition="0">
        <references count="1">
          <reference field="1" count="1">
            <x v="4"/>
          </reference>
        </references>
      </pivotArea>
    </format>
    <format dxfId="136">
      <pivotArea collapsedLevelsAreSubtotals="1" fieldPosition="0">
        <references count="1">
          <reference field="1" count="1">
            <x v="5"/>
          </reference>
        </references>
      </pivotArea>
    </format>
    <format dxfId="135">
      <pivotArea grandRow="1" outline="0" collapsedLevelsAreSubtotals="1" fieldPosition="0"/>
    </format>
    <format dxfId="134">
      <pivotArea collapsedLevelsAreSubtotals="1" fieldPosition="0">
        <references count="1">
          <reference field="1" count="1">
            <x v="3"/>
          </reference>
        </references>
      </pivotArea>
    </format>
    <format dxfId="133">
      <pivotArea collapsedLevelsAreSubtotals="1" fieldPosition="0">
        <references count="1">
          <reference field="1" count="1">
            <x v="3"/>
          </reference>
        </references>
      </pivotArea>
    </format>
    <format dxfId="132">
      <pivotArea collapsedLevelsAreSubtotals="1" fieldPosition="0">
        <references count="1">
          <reference field="1" count="1">
            <x v="0"/>
          </reference>
        </references>
      </pivotArea>
    </format>
    <format dxfId="131">
      <pivotArea collapsedLevelsAreSubtotals="1" fieldPosition="0">
        <references count="1">
          <reference field="1" count="1">
            <x v="1"/>
          </reference>
        </references>
      </pivotArea>
    </format>
    <format dxfId="130">
      <pivotArea collapsedLevelsAreSubtotals="1" fieldPosition="0">
        <references count="1">
          <reference field="1" count="1">
            <x v="3"/>
          </reference>
        </references>
      </pivotArea>
    </format>
    <format dxfId="129">
      <pivotArea collapsedLevelsAreSubtotals="1" fieldPosition="0">
        <references count="1">
          <reference field="1" count="1">
            <x v="4"/>
          </reference>
        </references>
      </pivotArea>
    </format>
    <format dxfId="128">
      <pivotArea collapsedLevelsAreSubtotals="1" fieldPosition="0">
        <references count="1">
          <reference field="1" count="1">
            <x v="5"/>
          </reference>
        </references>
      </pivotArea>
    </format>
    <format dxfId="127">
      <pivotArea grandRow="1" outline="0" collapsedLevelsAreSubtotals="1" fieldPosition="0"/>
    </format>
    <format dxfId="86">
      <pivotArea dataOnly="0" labelOnly="1" fieldPosition="0">
        <references count="1">
          <reference field="4" count="1">
            <x v="1"/>
          </reference>
        </references>
      </pivotArea>
    </format>
    <format dxfId="85">
      <pivotArea dataOnly="0" labelOnly="1" fieldPosition="0">
        <references count="1">
          <reference field="4" count="1">
            <x v="2"/>
          </reference>
        </references>
      </pivotArea>
    </format>
    <format dxfId="84">
      <pivotArea dataOnly="0" labelOnly="1" fieldPosition="0">
        <references count="1">
          <reference field="4" count="2">
            <x v="1"/>
            <x v="2"/>
          </reference>
        </references>
      </pivotArea>
    </format>
    <format dxfId="82">
      <pivotArea type="origin" dataOnly="0" labelOnly="1" outline="0" fieldPosition="0"/>
    </format>
    <format dxfId="81">
      <pivotArea field="4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1" type="button" dataOnly="0" labelOnly="1" outline="0" axis="axisRow" fieldPosition="0"/>
    </format>
    <format dxfId="78">
      <pivotArea dataOnly="0" labelOnly="1" fieldPosition="0">
        <references count="1">
          <reference field="4" count="0"/>
        </references>
      </pivotArea>
    </format>
    <format dxfId="77">
      <pivotArea dataOnly="0" labelOnly="1" grandCol="1" outline="0" fieldPosition="0"/>
    </format>
    <format dxfId="76">
      <pivotArea field="1" type="button" dataOnly="0" labelOnly="1" outline="0" axis="axisRow" fieldPosition="0"/>
    </format>
    <format dxfId="75">
      <pivotArea dataOnly="0" labelOnly="1" fieldPosition="0">
        <references count="1">
          <reference field="4" count="0"/>
        </references>
      </pivotArea>
    </format>
    <format dxfId="74">
      <pivotArea dataOnly="0" labelOnly="1" grandCol="1" outline="0" fieldPosition="0"/>
    </format>
    <format dxfId="43">
      <pivotArea field="1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Col="1" outline="0" fieldPosition="0"/>
    </format>
    <format dxfId="40">
      <pivotArea field="1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Col="1" outline="0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Hierarchies count="3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4" level="1">
        <member name="[Range 2].[Horas transcurridas].&amp;[0]"/>
        <member name="[Range 2].[Horas transcurridas].&amp;[24]"/>
        <member name="[Range 2].[Horas transcurridas].&amp;[48]"/>
        <member name="[Range 2].[Horas transcurridas].&amp;[72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0"/>
    <rowHierarchyUsage hierarchyUsage="21"/>
  </rowHierarchiesUsage>
  <colHierarchiesUsage count="1">
    <colHierarchyUsage hierarchyUsage="2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atal Injury AllData!$A$1:$O$554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C483C80-4F72-4D74-B136-1FB8EE724AD8}" autoFormatId="16" applyNumberFormats="0" applyBorderFormats="0" applyFontFormats="0" applyPatternFormats="0" applyAlignmentFormats="0" applyWidthHeightFormats="0">
  <queryTableRefresh nextId="15">
    <queryTableFields count="14">
      <queryTableField id="1" name="Range[FECHA]" tableColumnId="1"/>
      <queryTableField id="2" name="Range[día]" tableColumnId="2"/>
      <queryTableField id="3" name="Range[Mes]" tableColumnId="3"/>
      <queryTableField id="4" name="Range[Date]" tableColumnId="4"/>
      <queryTableField id="5" name="Range[ESTABLO]" tableColumnId="5"/>
      <queryTableField id="6" name="Range[CABALLO]" tableColumnId="6"/>
      <queryTableField id="7" name="Range[RAZON]" tableColumnId="7"/>
      <queryTableField id="8" name="Range[Categoría]" tableColumnId="8"/>
      <queryTableField id="9" name="Range[Tipo de fractura]" tableColumnId="9"/>
      <queryTableField id="10" name="Range[Fatal injury]" tableColumnId="10"/>
      <queryTableField id="11" name="Range[Date (Month)]" tableColumnId="11"/>
      <queryTableField id="12" name="Range[Date (Year)]" tableColumnId="12"/>
      <queryTableField id="13" name="Range[Date (Quarter)]" tableColumnId="13"/>
      <queryTableField id="14" name="Range[Date (Month Index)]" tableColumnId="14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907E7-1348-435F-836E-A2033137D25B}" name="Table_ExternalData_1" displayName="Table_ExternalData_1" ref="A3:N131" tableType="queryTable" totalsRowShown="0">
  <autoFilter ref="A3:N131" xr:uid="{895907E7-1348-435F-836E-A2033137D25B}"/>
  <tableColumns count="14">
    <tableColumn id="1" xr3:uid="{8A90C6DC-D009-4742-AF81-A9CD3C4A0269}" uniqueName="1" name="Range[FECHA]" queryTableFieldId="1"/>
    <tableColumn id="2" xr3:uid="{681300AE-F5DC-416C-BF0B-C6CE675B4BBA}" uniqueName="2" name="Range[día]" queryTableFieldId="2"/>
    <tableColumn id="3" xr3:uid="{1AC3E953-9213-44ED-AD5F-3096C16C9F01}" uniqueName="3" name="Range[Mes]" queryTableFieldId="3"/>
    <tableColumn id="4" xr3:uid="{90D9AB20-7480-47D6-ABBD-C3F2D951FC9C}" uniqueName="4" name="Range[Date]" queryTableFieldId="4" dataDxfId="123"/>
    <tableColumn id="5" xr3:uid="{AAA5E2DC-D943-4988-A831-3E7A9CA0BD06}" uniqueName="5" name="Range[ESTABLO]" queryTableFieldId="5"/>
    <tableColumn id="6" xr3:uid="{CFF268D3-982F-4ED3-BBE2-D995A1DCF143}" uniqueName="6" name="Range[CABALLO]" queryTableFieldId="6"/>
    <tableColumn id="7" xr3:uid="{DC0F86DE-BE46-4C3A-BA07-917642A4B0D0}" uniqueName="7" name="Range[RAZON]" queryTableFieldId="7"/>
    <tableColumn id="8" xr3:uid="{E660958E-B0FD-4611-BF04-662E9F0F38AD}" uniqueName="8" name="Range[Categoría]" queryTableFieldId="8"/>
    <tableColumn id="9" xr3:uid="{96617802-9874-47A4-BEED-843FA7E7A055}" uniqueName="9" name="Range[Tipo de fractura]" queryTableFieldId="9"/>
    <tableColumn id="10" xr3:uid="{B8BCF75E-BF1D-4CFF-8350-D1D5B88F73F2}" uniqueName="10" name="Range[Fatal injury]" queryTableFieldId="10"/>
    <tableColumn id="11" xr3:uid="{8E0785EC-62CC-4260-A055-D311475C5D00}" uniqueName="11" name="Range[Date (Month)]" queryTableFieldId="11"/>
    <tableColumn id="12" xr3:uid="{E9BF7F27-6B8D-424F-A2DA-28F3D70F278F}" uniqueName="12" name="Range[Date (Year)]" queryTableFieldId="12"/>
    <tableColumn id="13" xr3:uid="{BD4DFDA2-2917-4C55-B98E-EB8494F52C44}" uniqueName="13" name="Range[Date (Quarter)]" queryTableFieldId="13"/>
    <tableColumn id="14" xr3:uid="{3F6F357D-EBF7-4972-B322-CD6213F24D7A}" uniqueName="14" name="Range[Date (Month Index)]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AF434E9-9570-46A9-8230-098D336B453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db4abd8-23a9-4327-945d-6f59a1e5a1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89A2-D182-4D3B-849E-5DFACF540896}">
  <dimension ref="A2:F2407"/>
  <sheetViews>
    <sheetView topLeftCell="A12" workbookViewId="0">
      <selection activeCell="F30" sqref="F30"/>
    </sheetView>
  </sheetViews>
  <sheetFormatPr defaultColWidth="9.140625" defaultRowHeight="15" x14ac:dyDescent="0.25"/>
  <cols>
    <col min="1" max="1" width="20.28515625" style="5" customWidth="1"/>
    <col min="2" max="2" width="29.28515625" customWidth="1"/>
    <col min="3" max="3" width="22.5703125" customWidth="1"/>
    <col min="4" max="4" width="23.28515625" style="4" customWidth="1"/>
    <col min="5" max="5" width="113.42578125" customWidth="1"/>
  </cols>
  <sheetData>
    <row r="2" spans="1:5" ht="18.75" x14ac:dyDescent="0.3">
      <c r="A2" s="5" t="s">
        <v>118</v>
      </c>
    </row>
    <row r="3" spans="1:5" x14ac:dyDescent="0.25">
      <c r="A3" s="1" t="s">
        <v>0</v>
      </c>
      <c r="B3" s="1" t="s">
        <v>1</v>
      </c>
      <c r="C3" s="1" t="s">
        <v>2</v>
      </c>
      <c r="D3" s="3" t="s">
        <v>115</v>
      </c>
      <c r="E3" s="1" t="s">
        <v>3</v>
      </c>
    </row>
    <row r="4" spans="1:5" x14ac:dyDescent="0.25">
      <c r="A4" s="1" t="s">
        <v>119</v>
      </c>
      <c r="B4" s="1" t="s">
        <v>116</v>
      </c>
      <c r="C4" s="1" t="s">
        <v>117</v>
      </c>
      <c r="D4" s="3">
        <v>981020033087979</v>
      </c>
      <c r="E4" s="1"/>
    </row>
    <row r="5" spans="1:5" x14ac:dyDescent="0.25">
      <c r="A5" s="1" t="s">
        <v>120</v>
      </c>
      <c r="B5" s="1" t="s">
        <v>7</v>
      </c>
      <c r="C5" s="1" t="s">
        <v>121</v>
      </c>
      <c r="D5" s="3">
        <v>981020021527287</v>
      </c>
      <c r="E5" s="1" t="s">
        <v>122</v>
      </c>
    </row>
    <row r="6" spans="1:5" x14ac:dyDescent="0.25">
      <c r="A6" s="1" t="s">
        <v>123</v>
      </c>
      <c r="B6" s="1" t="s">
        <v>124</v>
      </c>
      <c r="C6" s="1" t="s">
        <v>125</v>
      </c>
      <c r="D6" s="3">
        <v>981020031383586</v>
      </c>
      <c r="E6" s="1" t="s">
        <v>8</v>
      </c>
    </row>
    <row r="7" spans="1:5" x14ac:dyDescent="0.25">
      <c r="A7" s="1" t="s">
        <v>126</v>
      </c>
      <c r="B7" s="1" t="s">
        <v>127</v>
      </c>
      <c r="C7" s="1" t="s">
        <v>128</v>
      </c>
      <c r="D7" s="3">
        <v>981020037573957</v>
      </c>
      <c r="E7" s="1" t="s">
        <v>50</v>
      </c>
    </row>
    <row r="8" spans="1:5" x14ac:dyDescent="0.25">
      <c r="A8" s="1" t="s">
        <v>126</v>
      </c>
      <c r="B8" s="1" t="s">
        <v>129</v>
      </c>
      <c r="C8" s="1" t="s">
        <v>130</v>
      </c>
      <c r="D8" s="3">
        <v>981020025169692</v>
      </c>
      <c r="E8" s="1" t="s">
        <v>131</v>
      </c>
    </row>
    <row r="9" spans="1:5" x14ac:dyDescent="0.25">
      <c r="A9" s="1" t="s">
        <v>126</v>
      </c>
      <c r="B9" s="1" t="s">
        <v>132</v>
      </c>
      <c r="C9" s="1" t="s">
        <v>133</v>
      </c>
      <c r="D9" s="3">
        <v>985170002956976</v>
      </c>
      <c r="E9" s="1" t="s">
        <v>134</v>
      </c>
    </row>
    <row r="10" spans="1:5" x14ac:dyDescent="0.25">
      <c r="A10" s="1" t="s">
        <v>138</v>
      </c>
      <c r="B10" s="1" t="s">
        <v>68</v>
      </c>
      <c r="C10" s="1" t="s">
        <v>59</v>
      </c>
      <c r="D10" s="3">
        <v>981020019171896</v>
      </c>
      <c r="E10" s="1"/>
    </row>
    <row r="11" spans="1:5" x14ac:dyDescent="0.25">
      <c r="A11" s="1" t="s">
        <v>139</v>
      </c>
      <c r="B11" s="1" t="s">
        <v>140</v>
      </c>
      <c r="C11" s="1" t="s">
        <v>141</v>
      </c>
      <c r="D11" s="3">
        <v>981020021436120</v>
      </c>
      <c r="E11" s="1"/>
    </row>
    <row r="12" spans="1:5" x14ac:dyDescent="0.25">
      <c r="A12" s="1" t="s">
        <v>135</v>
      </c>
      <c r="B12" s="1" t="s">
        <v>21</v>
      </c>
      <c r="C12" s="1" t="s">
        <v>136</v>
      </c>
      <c r="D12" s="3">
        <v>981020037656742</v>
      </c>
      <c r="E12" s="1" t="s">
        <v>137</v>
      </c>
    </row>
    <row r="13" spans="1:5" x14ac:dyDescent="0.25">
      <c r="A13" s="1" t="s">
        <v>142</v>
      </c>
      <c r="B13" s="1" t="s">
        <v>143</v>
      </c>
      <c r="C13" s="1" t="s">
        <v>144</v>
      </c>
      <c r="D13" s="3">
        <v>981020037383964</v>
      </c>
      <c r="E13" s="1" t="s">
        <v>145</v>
      </c>
    </row>
    <row r="14" spans="1:5" x14ac:dyDescent="0.25">
      <c r="A14" s="1" t="s">
        <v>142</v>
      </c>
      <c r="B14" s="1" t="s">
        <v>5</v>
      </c>
      <c r="C14" s="1" t="s">
        <v>146</v>
      </c>
      <c r="D14" s="3">
        <v>981020033552035</v>
      </c>
      <c r="E14" s="2" t="s">
        <v>46</v>
      </c>
    </row>
    <row r="15" spans="1:5" x14ac:dyDescent="0.25">
      <c r="A15" s="1" t="s">
        <v>142</v>
      </c>
      <c r="B15" s="1" t="s">
        <v>151</v>
      </c>
      <c r="C15" s="1" t="s">
        <v>152</v>
      </c>
      <c r="D15" s="3" t="s">
        <v>153</v>
      </c>
      <c r="E15" s="2" t="s">
        <v>49</v>
      </c>
    </row>
    <row r="16" spans="1:5" x14ac:dyDescent="0.25">
      <c r="A16" s="1" t="s">
        <v>147</v>
      </c>
      <c r="B16" s="1" t="s">
        <v>32</v>
      </c>
      <c r="C16" s="1" t="s">
        <v>148</v>
      </c>
      <c r="D16" s="3">
        <v>981020031375259</v>
      </c>
      <c r="E16" s="1" t="s">
        <v>149</v>
      </c>
    </row>
    <row r="17" spans="1:6" x14ac:dyDescent="0.25">
      <c r="A17" s="1" t="s">
        <v>147</v>
      </c>
      <c r="B17" s="1" t="s">
        <v>73</v>
      </c>
      <c r="C17" s="1" t="s">
        <v>150</v>
      </c>
      <c r="D17" s="3">
        <v>981020033580400</v>
      </c>
      <c r="E17" s="1" t="s">
        <v>14</v>
      </c>
    </row>
    <row r="18" spans="1:6" x14ac:dyDescent="0.25">
      <c r="A18" s="1" t="s">
        <v>154</v>
      </c>
      <c r="B18" s="1" t="s">
        <v>155</v>
      </c>
      <c r="C18" s="1" t="s">
        <v>156</v>
      </c>
      <c r="D18" s="3">
        <v>981020049676107</v>
      </c>
      <c r="E18" s="1" t="s">
        <v>157</v>
      </c>
    </row>
    <row r="19" spans="1:6" x14ac:dyDescent="0.25">
      <c r="A19" s="1" t="s">
        <v>158</v>
      </c>
      <c r="B19" s="1" t="s">
        <v>159</v>
      </c>
      <c r="C19" s="1" t="s">
        <v>160</v>
      </c>
      <c r="D19" s="3">
        <v>981020035160579</v>
      </c>
      <c r="E19" s="1"/>
    </row>
    <row r="20" spans="1:6" x14ac:dyDescent="0.25">
      <c r="A20" s="1" t="s">
        <v>161</v>
      </c>
      <c r="B20" s="1" t="s">
        <v>162</v>
      </c>
      <c r="C20" s="1" t="s">
        <v>163</v>
      </c>
      <c r="D20" s="3">
        <v>981020035720582</v>
      </c>
      <c r="E20" s="1" t="s">
        <v>112</v>
      </c>
    </row>
    <row r="21" spans="1:6" x14ac:dyDescent="0.25">
      <c r="A21" s="1" t="s">
        <v>161</v>
      </c>
      <c r="B21" s="1" t="s">
        <v>32</v>
      </c>
      <c r="C21" s="1" t="s">
        <v>164</v>
      </c>
      <c r="D21" s="3">
        <v>981020023518625</v>
      </c>
      <c r="E21" s="1" t="s">
        <v>165</v>
      </c>
    </row>
    <row r="22" spans="1:6" x14ac:dyDescent="0.25">
      <c r="A22" s="1" t="s">
        <v>166</v>
      </c>
      <c r="B22" s="1" t="s">
        <v>167</v>
      </c>
      <c r="C22" s="1" t="s">
        <v>168</v>
      </c>
      <c r="D22" s="3">
        <v>981020035728387</v>
      </c>
      <c r="E22" s="1" t="s">
        <v>95</v>
      </c>
    </row>
    <row r="23" spans="1:6" ht="14.25" customHeight="1" x14ac:dyDescent="0.25">
      <c r="A23" s="1" t="s">
        <v>166</v>
      </c>
      <c r="B23" s="1" t="s">
        <v>169</v>
      </c>
      <c r="C23" s="1" t="s">
        <v>170</v>
      </c>
      <c r="D23" s="3">
        <v>985141001301755</v>
      </c>
      <c r="E23" s="1" t="s">
        <v>171</v>
      </c>
    </row>
    <row r="24" spans="1:6" x14ac:dyDescent="0.25">
      <c r="A24" s="1" t="s">
        <v>172</v>
      </c>
      <c r="B24" s="1" t="s">
        <v>173</v>
      </c>
      <c r="C24" s="1" t="s">
        <v>174</v>
      </c>
      <c r="D24" s="3" t="s">
        <v>175</v>
      </c>
      <c r="E24" s="1" t="s">
        <v>176</v>
      </c>
    </row>
    <row r="25" spans="1:6" x14ac:dyDescent="0.25">
      <c r="A25" s="1" t="s">
        <v>177</v>
      </c>
      <c r="B25" s="1" t="s">
        <v>178</v>
      </c>
      <c r="C25" s="1" t="s">
        <v>179</v>
      </c>
      <c r="D25" s="3">
        <v>981020025188398</v>
      </c>
      <c r="E25" s="1" t="s">
        <v>180</v>
      </c>
    </row>
    <row r="26" spans="1:6" x14ac:dyDescent="0.25">
      <c r="A26" s="1" t="s">
        <v>177</v>
      </c>
      <c r="B26" s="1" t="s">
        <v>181</v>
      </c>
      <c r="C26" s="1" t="s">
        <v>182</v>
      </c>
      <c r="D26" s="3">
        <v>981020031326852</v>
      </c>
      <c r="E26" s="1" t="s">
        <v>183</v>
      </c>
    </row>
    <row r="27" spans="1:6" x14ac:dyDescent="0.25">
      <c r="A27" s="1" t="s">
        <v>177</v>
      </c>
      <c r="B27" s="1" t="s">
        <v>184</v>
      </c>
      <c r="C27" s="1" t="s">
        <v>185</v>
      </c>
      <c r="D27" s="3">
        <v>981020033095231</v>
      </c>
      <c r="E27" s="1" t="s">
        <v>95</v>
      </c>
    </row>
    <row r="28" spans="1:6" x14ac:dyDescent="0.25">
      <c r="A28" s="1" t="s">
        <v>186</v>
      </c>
      <c r="B28" s="1" t="s">
        <v>187</v>
      </c>
      <c r="C28" s="1" t="s">
        <v>188</v>
      </c>
      <c r="D28" s="3">
        <v>981020027766947</v>
      </c>
      <c r="E28" s="1" t="s">
        <v>189</v>
      </c>
    </row>
    <row r="29" spans="1:6" x14ac:dyDescent="0.25">
      <c r="A29" s="1" t="s">
        <v>190</v>
      </c>
      <c r="B29" s="1" t="s">
        <v>191</v>
      </c>
      <c r="C29" s="1" t="s">
        <v>192</v>
      </c>
      <c r="D29" s="3">
        <v>981020033142559</v>
      </c>
      <c r="E29" s="1" t="s">
        <v>193</v>
      </c>
    </row>
    <row r="30" spans="1:6" x14ac:dyDescent="0.25">
      <c r="A30" s="7" t="s">
        <v>194</v>
      </c>
      <c r="B30" s="7" t="s">
        <v>195</v>
      </c>
      <c r="C30" s="7" t="s">
        <v>196</v>
      </c>
      <c r="D30" s="8">
        <v>981020031364199</v>
      </c>
      <c r="E30" s="7" t="s">
        <v>197</v>
      </c>
      <c r="F30" s="14"/>
    </row>
    <row r="31" spans="1:6" x14ac:dyDescent="0.25">
      <c r="A31" s="7" t="s">
        <v>200</v>
      </c>
      <c r="B31" s="7" t="s">
        <v>201</v>
      </c>
      <c r="C31" s="7" t="s">
        <v>202</v>
      </c>
      <c r="D31" s="8">
        <v>981020023488884</v>
      </c>
      <c r="E31" s="7" t="s">
        <v>203</v>
      </c>
      <c r="F31" s="14"/>
    </row>
    <row r="32" spans="1:6" x14ac:dyDescent="0.25">
      <c r="A32" s="1" t="s">
        <v>204</v>
      </c>
      <c r="B32" s="1" t="s">
        <v>205</v>
      </c>
      <c r="C32" s="1" t="s">
        <v>206</v>
      </c>
      <c r="D32" s="3" t="s">
        <v>207</v>
      </c>
      <c r="E32" s="1" t="s">
        <v>208</v>
      </c>
    </row>
    <row r="33" spans="1:5" x14ac:dyDescent="0.25">
      <c r="A33" s="1" t="s">
        <v>204</v>
      </c>
      <c r="B33" s="1" t="s">
        <v>209</v>
      </c>
      <c r="C33" s="1" t="s">
        <v>210</v>
      </c>
      <c r="D33" s="3">
        <v>981020033612721</v>
      </c>
      <c r="E33" s="1" t="s">
        <v>211</v>
      </c>
    </row>
    <row r="34" spans="1:5" x14ac:dyDescent="0.25">
      <c r="A34" s="1" t="s">
        <v>212</v>
      </c>
      <c r="B34" s="1" t="s">
        <v>52</v>
      </c>
      <c r="C34" s="1" t="s">
        <v>213</v>
      </c>
      <c r="D34" s="3">
        <v>981020023252791</v>
      </c>
      <c r="E34" s="1" t="s">
        <v>114</v>
      </c>
    </row>
    <row r="35" spans="1:5" x14ac:dyDescent="0.25">
      <c r="A35" s="1" t="s">
        <v>198</v>
      </c>
      <c r="B35" s="1" t="s">
        <v>63</v>
      </c>
      <c r="C35" s="1" t="s">
        <v>199</v>
      </c>
      <c r="D35" s="3">
        <v>981020023271767</v>
      </c>
      <c r="E35" s="1" t="s">
        <v>171</v>
      </c>
    </row>
    <row r="36" spans="1:5" x14ac:dyDescent="0.25">
      <c r="A36" s="1" t="s">
        <v>214</v>
      </c>
      <c r="B36" s="1" t="s">
        <v>215</v>
      </c>
      <c r="C36" s="1" t="s">
        <v>216</v>
      </c>
      <c r="D36" s="3">
        <v>981020039665310</v>
      </c>
      <c r="E36" s="1" t="s">
        <v>14</v>
      </c>
    </row>
    <row r="37" spans="1:5" x14ac:dyDescent="0.25">
      <c r="A37" s="1" t="s">
        <v>217</v>
      </c>
      <c r="B37" s="1" t="s">
        <v>218</v>
      </c>
      <c r="C37" s="1" t="s">
        <v>219</v>
      </c>
      <c r="D37" s="3">
        <v>981020045089585</v>
      </c>
      <c r="E37" s="1" t="s">
        <v>19</v>
      </c>
    </row>
    <row r="38" spans="1:5" x14ac:dyDescent="0.25">
      <c r="A38" s="1" t="s">
        <v>217</v>
      </c>
      <c r="B38" s="1" t="s">
        <v>220</v>
      </c>
      <c r="C38" s="1" t="s">
        <v>221</v>
      </c>
      <c r="D38" s="3">
        <v>981020033105565</v>
      </c>
      <c r="E38" s="1" t="s">
        <v>222</v>
      </c>
    </row>
    <row r="39" spans="1:5" x14ac:dyDescent="0.25">
      <c r="A39" s="1" t="s">
        <v>217</v>
      </c>
      <c r="B39" s="1" t="s">
        <v>45</v>
      </c>
      <c r="C39" s="1" t="s">
        <v>223</v>
      </c>
      <c r="D39" s="3">
        <v>981020037644126</v>
      </c>
      <c r="E39" s="1" t="s">
        <v>224</v>
      </c>
    </row>
    <row r="40" spans="1:5" x14ac:dyDescent="0.25">
      <c r="A40" s="1" t="s">
        <v>217</v>
      </c>
      <c r="B40" s="1" t="s">
        <v>62</v>
      </c>
      <c r="C40" s="1" t="s">
        <v>225</v>
      </c>
      <c r="D40" s="3">
        <v>981020031381064</v>
      </c>
      <c r="E40" s="1" t="s">
        <v>14</v>
      </c>
    </row>
    <row r="41" spans="1:5" x14ac:dyDescent="0.25">
      <c r="A41" s="1" t="s">
        <v>226</v>
      </c>
      <c r="B41" s="1" t="s">
        <v>80</v>
      </c>
      <c r="C41" s="1" t="s">
        <v>227</v>
      </c>
      <c r="D41" s="3">
        <v>981020033097903</v>
      </c>
      <c r="E41" s="1" t="s">
        <v>228</v>
      </c>
    </row>
    <row r="42" spans="1:5" x14ac:dyDescent="0.25">
      <c r="A42" s="1" t="s">
        <v>229</v>
      </c>
      <c r="B42" s="1" t="s">
        <v>21</v>
      </c>
      <c r="C42" s="1" t="s">
        <v>230</v>
      </c>
      <c r="D42" s="3">
        <v>981020033755530</v>
      </c>
      <c r="E42" s="1" t="s">
        <v>23</v>
      </c>
    </row>
    <row r="43" spans="1:5" x14ac:dyDescent="0.25">
      <c r="A43" s="1" t="s">
        <v>229</v>
      </c>
      <c r="B43" s="1" t="s">
        <v>35</v>
      </c>
      <c r="C43" s="1" t="s">
        <v>232</v>
      </c>
      <c r="D43" s="3">
        <v>981020037817398</v>
      </c>
      <c r="E43" s="1" t="s">
        <v>231</v>
      </c>
    </row>
    <row r="44" spans="1:5" x14ac:dyDescent="0.25">
      <c r="A44" s="1" t="s">
        <v>233</v>
      </c>
      <c r="B44" s="1" t="s">
        <v>40</v>
      </c>
      <c r="C44" s="1" t="s">
        <v>236</v>
      </c>
      <c r="D44" s="3">
        <v>981020037782540</v>
      </c>
      <c r="E44" s="1" t="s">
        <v>237</v>
      </c>
    </row>
    <row r="45" spans="1:5" x14ac:dyDescent="0.25">
      <c r="A45" s="1" t="s">
        <v>233</v>
      </c>
      <c r="B45" s="1" t="s">
        <v>42</v>
      </c>
      <c r="C45" s="1" t="s">
        <v>234</v>
      </c>
      <c r="D45" s="3">
        <v>981020033090206</v>
      </c>
      <c r="E45" s="1" t="s">
        <v>235</v>
      </c>
    </row>
    <row r="46" spans="1:5" x14ac:dyDescent="0.25">
      <c r="A46" s="1" t="s">
        <v>238</v>
      </c>
      <c r="B46" s="1" t="s">
        <v>239</v>
      </c>
      <c r="C46" s="1" t="s">
        <v>240</v>
      </c>
      <c r="D46" s="3">
        <v>981020037319971</v>
      </c>
      <c r="E46" s="1" t="s">
        <v>235</v>
      </c>
    </row>
    <row r="47" spans="1:5" x14ac:dyDescent="0.25">
      <c r="A47" s="1" t="s">
        <v>241</v>
      </c>
      <c r="B47" s="1" t="s">
        <v>20</v>
      </c>
      <c r="C47" s="1" t="s">
        <v>242</v>
      </c>
      <c r="D47" s="3">
        <v>981020031377982</v>
      </c>
      <c r="E47" s="1" t="s">
        <v>243</v>
      </c>
    </row>
    <row r="48" spans="1:5" x14ac:dyDescent="0.25">
      <c r="A48" s="1" t="s">
        <v>244</v>
      </c>
      <c r="B48" s="1" t="s">
        <v>83</v>
      </c>
      <c r="C48" s="1" t="s">
        <v>245</v>
      </c>
      <c r="D48" s="3">
        <v>981020033099396</v>
      </c>
      <c r="E48" s="1" t="s">
        <v>87</v>
      </c>
    </row>
    <row r="49" spans="1:5" x14ac:dyDescent="0.25">
      <c r="A49" s="1" t="s">
        <v>249</v>
      </c>
      <c r="B49" s="1" t="s">
        <v>248</v>
      </c>
      <c r="C49" s="1" t="s">
        <v>247</v>
      </c>
      <c r="D49" s="3">
        <v>981020037371319</v>
      </c>
      <c r="E49" s="1" t="s">
        <v>246</v>
      </c>
    </row>
    <row r="50" spans="1:5" x14ac:dyDescent="0.25">
      <c r="A50" s="1" t="s">
        <v>249</v>
      </c>
      <c r="B50" s="1" t="s">
        <v>7</v>
      </c>
      <c r="C50" s="1" t="s">
        <v>250</v>
      </c>
      <c r="D50" s="3">
        <v>981020037321734</v>
      </c>
      <c r="E50" s="1" t="s">
        <v>251</v>
      </c>
    </row>
    <row r="51" spans="1:5" x14ac:dyDescent="0.25">
      <c r="A51" s="1" t="s">
        <v>256</v>
      </c>
      <c r="B51" s="1" t="s">
        <v>76</v>
      </c>
      <c r="C51" s="1" t="s">
        <v>257</v>
      </c>
      <c r="D51" s="3">
        <v>981020039154648</v>
      </c>
      <c r="E51" s="1" t="s">
        <v>258</v>
      </c>
    </row>
    <row r="52" spans="1:5" x14ac:dyDescent="0.25">
      <c r="A52" s="1" t="s">
        <v>252</v>
      </c>
      <c r="B52" s="1" t="s">
        <v>253</v>
      </c>
      <c r="C52" s="1" t="s">
        <v>254</v>
      </c>
      <c r="D52" s="3">
        <v>981020031371747</v>
      </c>
      <c r="E52" s="1" t="s">
        <v>255</v>
      </c>
    </row>
    <row r="53" spans="1:5" x14ac:dyDescent="0.25">
      <c r="A53" s="1" t="s">
        <v>259</v>
      </c>
      <c r="B53" s="1" t="s">
        <v>261</v>
      </c>
      <c r="C53" s="1" t="s">
        <v>262</v>
      </c>
      <c r="D53" s="3">
        <v>981020037637389</v>
      </c>
      <c r="E53" s="1" t="s">
        <v>263</v>
      </c>
    </row>
    <row r="54" spans="1:5" x14ac:dyDescent="0.25">
      <c r="A54" s="1" t="s">
        <v>259</v>
      </c>
      <c r="B54" s="1" t="s">
        <v>11</v>
      </c>
      <c r="C54" s="1" t="s">
        <v>265</v>
      </c>
      <c r="D54" s="3">
        <v>981020033564089</v>
      </c>
      <c r="E54" s="1" t="s">
        <v>264</v>
      </c>
    </row>
    <row r="55" spans="1:5" x14ac:dyDescent="0.25">
      <c r="A55" s="1" t="s">
        <v>260</v>
      </c>
      <c r="B55" s="1" t="s">
        <v>86</v>
      </c>
      <c r="C55" s="1" t="s">
        <v>266</v>
      </c>
      <c r="D55" s="3">
        <v>985170002177875</v>
      </c>
      <c r="E55" s="1" t="s">
        <v>267</v>
      </c>
    </row>
    <row r="56" spans="1:5" x14ac:dyDescent="0.25">
      <c r="A56" s="1" t="s">
        <v>268</v>
      </c>
      <c r="B56" s="1" t="s">
        <v>269</v>
      </c>
      <c r="C56" s="1" t="s">
        <v>270</v>
      </c>
      <c r="D56" s="3">
        <v>981020033603795</v>
      </c>
      <c r="E56" s="1" t="s">
        <v>271</v>
      </c>
    </row>
    <row r="57" spans="1:5" x14ac:dyDescent="0.25">
      <c r="A57" s="1" t="s">
        <v>272</v>
      </c>
      <c r="B57" s="1" t="s">
        <v>273</v>
      </c>
      <c r="C57" s="1" t="s">
        <v>274</v>
      </c>
      <c r="D57" s="3">
        <v>981020035776608</v>
      </c>
      <c r="E57" s="1" t="s">
        <v>275</v>
      </c>
    </row>
    <row r="58" spans="1:5" x14ac:dyDescent="0.25">
      <c r="A58" s="1" t="s">
        <v>272</v>
      </c>
      <c r="B58" s="1" t="s">
        <v>278</v>
      </c>
      <c r="C58" s="1" t="s">
        <v>277</v>
      </c>
      <c r="D58" s="3">
        <v>990000004659984</v>
      </c>
      <c r="E58" s="1" t="s">
        <v>276</v>
      </c>
    </row>
    <row r="59" spans="1:5" x14ac:dyDescent="0.25">
      <c r="A59" s="1" t="s">
        <v>272</v>
      </c>
      <c r="B59" s="1" t="s">
        <v>10</v>
      </c>
      <c r="C59" s="1" t="s">
        <v>279</v>
      </c>
      <c r="D59" s="3">
        <v>981020045109075</v>
      </c>
      <c r="E59" s="1" t="s">
        <v>280</v>
      </c>
    </row>
    <row r="60" spans="1:5" x14ac:dyDescent="0.25">
      <c r="A60" s="1" t="s">
        <v>281</v>
      </c>
      <c r="B60" s="1" t="s">
        <v>99</v>
      </c>
      <c r="C60" s="1" t="s">
        <v>282</v>
      </c>
      <c r="D60" s="3">
        <v>981020023659518</v>
      </c>
      <c r="E60" s="1" t="s">
        <v>283</v>
      </c>
    </row>
    <row r="61" spans="1:5" x14ac:dyDescent="0.25">
      <c r="A61" s="1" t="s">
        <v>284</v>
      </c>
      <c r="B61" s="1" t="s">
        <v>36</v>
      </c>
      <c r="C61" s="1" t="s">
        <v>285</v>
      </c>
      <c r="D61" s="3">
        <v>981020035158874</v>
      </c>
      <c r="E61" s="1" t="s">
        <v>286</v>
      </c>
    </row>
    <row r="62" spans="1:5" x14ac:dyDescent="0.25">
      <c r="A62" s="1" t="s">
        <v>287</v>
      </c>
      <c r="B62" s="1" t="s">
        <v>97</v>
      </c>
      <c r="C62" s="1" t="s">
        <v>288</v>
      </c>
      <c r="D62" s="3">
        <v>981020037631376</v>
      </c>
      <c r="E62" s="1" t="s">
        <v>289</v>
      </c>
    </row>
    <row r="63" spans="1:5" x14ac:dyDescent="0.25">
      <c r="A63" s="1" t="s">
        <v>290</v>
      </c>
      <c r="B63" s="1" t="s">
        <v>99</v>
      </c>
      <c r="C63" s="1" t="s">
        <v>291</v>
      </c>
      <c r="D63" s="3">
        <v>981020025176900</v>
      </c>
      <c r="E63" s="1" t="s">
        <v>292</v>
      </c>
    </row>
    <row r="64" spans="1:5" x14ac:dyDescent="0.25">
      <c r="A64" s="1" t="s">
        <v>293</v>
      </c>
      <c r="B64" s="1" t="s">
        <v>294</v>
      </c>
      <c r="C64" s="1" t="s">
        <v>295</v>
      </c>
      <c r="D64" s="3">
        <v>981020037328543</v>
      </c>
      <c r="E64" s="1" t="s">
        <v>87</v>
      </c>
    </row>
    <row r="65" spans="1:5" x14ac:dyDescent="0.25">
      <c r="A65" s="1" t="s">
        <v>296</v>
      </c>
      <c r="B65" s="1" t="s">
        <v>73</v>
      </c>
      <c r="C65" s="1" t="s">
        <v>297</v>
      </c>
      <c r="D65" s="3">
        <v>990000004659997</v>
      </c>
      <c r="E65" s="1" t="s">
        <v>298</v>
      </c>
    </row>
    <row r="66" spans="1:5" x14ac:dyDescent="0.25">
      <c r="A66" s="1" t="s">
        <v>299</v>
      </c>
      <c r="B66" s="1" t="s">
        <v>300</v>
      </c>
      <c r="C66" s="1" t="s">
        <v>301</v>
      </c>
      <c r="D66" s="3">
        <v>981020033562439</v>
      </c>
      <c r="E66" s="1" t="s">
        <v>101</v>
      </c>
    </row>
    <row r="67" spans="1:5" x14ac:dyDescent="0.25">
      <c r="A67" s="1" t="s">
        <v>302</v>
      </c>
      <c r="B67" s="1" t="s">
        <v>88</v>
      </c>
      <c r="C67" s="1" t="s">
        <v>303</v>
      </c>
      <c r="D67" s="3">
        <v>981020031341117</v>
      </c>
      <c r="E67" s="1" t="s">
        <v>304</v>
      </c>
    </row>
    <row r="68" spans="1:5" x14ac:dyDescent="0.25">
      <c r="A68" s="1" t="s">
        <v>305</v>
      </c>
      <c r="B68" s="1" t="s">
        <v>306</v>
      </c>
      <c r="C68" s="1" t="s">
        <v>307</v>
      </c>
      <c r="D68" s="3">
        <v>981020033109049</v>
      </c>
      <c r="E68" s="1" t="s">
        <v>308</v>
      </c>
    </row>
    <row r="69" spans="1:5" x14ac:dyDescent="0.25">
      <c r="A69" s="1" t="s">
        <v>309</v>
      </c>
      <c r="B69" s="1" t="s">
        <v>318</v>
      </c>
      <c r="C69" s="1" t="s">
        <v>319</v>
      </c>
      <c r="D69" s="3">
        <v>981020019192837</v>
      </c>
      <c r="E69" s="1" t="s">
        <v>320</v>
      </c>
    </row>
    <row r="70" spans="1:5" x14ac:dyDescent="0.25">
      <c r="A70" s="1" t="s">
        <v>309</v>
      </c>
      <c r="B70" s="1" t="s">
        <v>315</v>
      </c>
      <c r="C70" s="1" t="s">
        <v>316</v>
      </c>
      <c r="D70" s="3">
        <v>981020049700096</v>
      </c>
      <c r="E70" s="1" t="s">
        <v>317</v>
      </c>
    </row>
    <row r="71" spans="1:5" x14ac:dyDescent="0.25">
      <c r="A71" s="1" t="s">
        <v>309</v>
      </c>
      <c r="B71" s="1" t="s">
        <v>310</v>
      </c>
      <c r="C71" s="1" t="s">
        <v>311</v>
      </c>
      <c r="D71" s="3" t="s">
        <v>312</v>
      </c>
      <c r="E71" s="1" t="s">
        <v>313</v>
      </c>
    </row>
    <row r="72" spans="1:5" x14ac:dyDescent="0.25">
      <c r="A72" s="1" t="s">
        <v>309</v>
      </c>
      <c r="B72" s="1" t="s">
        <v>96</v>
      </c>
      <c r="C72" s="1" t="s">
        <v>314</v>
      </c>
      <c r="D72" s="3">
        <v>981020035717994</v>
      </c>
      <c r="E72" s="1" t="s">
        <v>78</v>
      </c>
    </row>
    <row r="73" spans="1:5" x14ac:dyDescent="0.25">
      <c r="A73" s="1" t="s">
        <v>309</v>
      </c>
      <c r="B73" s="1" t="s">
        <v>116</v>
      </c>
      <c r="C73" s="1" t="s">
        <v>322</v>
      </c>
      <c r="D73" s="3">
        <v>981020039152243</v>
      </c>
      <c r="E73" s="1" t="s">
        <v>321</v>
      </c>
    </row>
    <row r="74" spans="1:5" x14ac:dyDescent="0.25">
      <c r="A74" s="1" t="s">
        <v>323</v>
      </c>
      <c r="B74" s="1" t="s">
        <v>71</v>
      </c>
      <c r="C74" s="1" t="s">
        <v>324</v>
      </c>
      <c r="D74" s="3">
        <v>981020033079238</v>
      </c>
      <c r="E74" s="1" t="s">
        <v>325</v>
      </c>
    </row>
    <row r="75" spans="1:5" x14ac:dyDescent="0.25">
      <c r="A75" s="1" t="s">
        <v>382</v>
      </c>
      <c r="B75" s="1" t="s">
        <v>383</v>
      </c>
      <c r="C75" s="1" t="s">
        <v>384</v>
      </c>
      <c r="D75" s="3">
        <v>981020037642845</v>
      </c>
      <c r="E75" s="1" t="s">
        <v>385</v>
      </c>
    </row>
    <row r="76" spans="1:5" x14ac:dyDescent="0.25">
      <c r="A76" s="1" t="s">
        <v>326</v>
      </c>
      <c r="B76" s="1" t="s">
        <v>10</v>
      </c>
      <c r="C76" s="1" t="s">
        <v>327</v>
      </c>
      <c r="D76" s="3">
        <v>981020033592892</v>
      </c>
      <c r="E76" s="1" t="s">
        <v>78</v>
      </c>
    </row>
    <row r="77" spans="1:5" x14ac:dyDescent="0.25">
      <c r="A77" s="1" t="s">
        <v>328</v>
      </c>
      <c r="B77" s="1" t="s">
        <v>329</v>
      </c>
      <c r="C77" s="1" t="s">
        <v>330</v>
      </c>
      <c r="D77" s="3">
        <v>981020033085383</v>
      </c>
      <c r="E77" s="1" t="s">
        <v>60</v>
      </c>
    </row>
    <row r="78" spans="1:5" x14ac:dyDescent="0.25">
      <c r="A78" s="1" t="s">
        <v>331</v>
      </c>
      <c r="B78" s="1" t="s">
        <v>332</v>
      </c>
      <c r="C78" s="1" t="s">
        <v>333</v>
      </c>
      <c r="D78" s="3">
        <v>981020023276031</v>
      </c>
      <c r="E78" s="1" t="s">
        <v>334</v>
      </c>
    </row>
    <row r="79" spans="1:5" x14ac:dyDescent="0.25">
      <c r="A79" s="1" t="s">
        <v>335</v>
      </c>
      <c r="B79" s="1" t="s">
        <v>6</v>
      </c>
      <c r="C79" s="1" t="s">
        <v>336</v>
      </c>
      <c r="D79" s="3">
        <v>981020033154143</v>
      </c>
      <c r="E79" s="1" t="s">
        <v>337</v>
      </c>
    </row>
    <row r="80" spans="1:5" x14ac:dyDescent="0.25">
      <c r="A80" s="1" t="s">
        <v>338</v>
      </c>
      <c r="B80" s="1" t="s">
        <v>31</v>
      </c>
      <c r="C80" s="1" t="s">
        <v>339</v>
      </c>
      <c r="D80" s="3">
        <v>981020037646963</v>
      </c>
      <c r="E80" s="1" t="s">
        <v>340</v>
      </c>
    </row>
    <row r="81" spans="1:5" x14ac:dyDescent="0.25">
      <c r="A81" s="1" t="s">
        <v>343</v>
      </c>
      <c r="B81" s="1" t="s">
        <v>98</v>
      </c>
      <c r="C81" s="1" t="s">
        <v>344</v>
      </c>
      <c r="D81" s="3">
        <v>981020033579091</v>
      </c>
      <c r="E81" s="1" t="s">
        <v>345</v>
      </c>
    </row>
    <row r="82" spans="1:5" x14ac:dyDescent="0.25">
      <c r="A82" s="1" t="s">
        <v>341</v>
      </c>
      <c r="B82" s="1" t="s">
        <v>53</v>
      </c>
      <c r="C82" s="1" t="s">
        <v>342</v>
      </c>
      <c r="D82" s="3">
        <v>981020019327855</v>
      </c>
      <c r="E82" s="1" t="s">
        <v>78</v>
      </c>
    </row>
    <row r="83" spans="1:5" x14ac:dyDescent="0.25">
      <c r="A83" s="1" t="s">
        <v>346</v>
      </c>
      <c r="B83" s="1" t="s">
        <v>11</v>
      </c>
      <c r="C83" s="1" t="s">
        <v>347</v>
      </c>
      <c r="D83" s="3">
        <v>981020031368873</v>
      </c>
      <c r="E83" s="1" t="s">
        <v>348</v>
      </c>
    </row>
    <row r="84" spans="1:5" x14ac:dyDescent="0.25">
      <c r="A84" s="1" t="s">
        <v>346</v>
      </c>
      <c r="B84" s="1" t="s">
        <v>349</v>
      </c>
      <c r="C84" s="1" t="s">
        <v>350</v>
      </c>
      <c r="D84" s="3">
        <v>981020033114663</v>
      </c>
      <c r="E84" s="1" t="s">
        <v>351</v>
      </c>
    </row>
    <row r="85" spans="1:5" x14ac:dyDescent="0.25">
      <c r="A85" s="1" t="s">
        <v>346</v>
      </c>
      <c r="B85" s="1" t="s">
        <v>353</v>
      </c>
      <c r="C85" s="1" t="s">
        <v>352</v>
      </c>
      <c r="D85" s="3">
        <v>981020031389637</v>
      </c>
      <c r="E85" s="1" t="s">
        <v>354</v>
      </c>
    </row>
    <row r="86" spans="1:5" x14ac:dyDescent="0.25">
      <c r="A86" s="1" t="s">
        <v>355</v>
      </c>
      <c r="B86" s="1" t="s">
        <v>356</v>
      </c>
      <c r="C86" s="1" t="s">
        <v>357</v>
      </c>
      <c r="D86" s="3">
        <v>981020033604320</v>
      </c>
      <c r="E86" s="1" t="s">
        <v>358</v>
      </c>
    </row>
    <row r="87" spans="1:5" x14ac:dyDescent="0.25">
      <c r="A87" s="1" t="s">
        <v>359</v>
      </c>
      <c r="B87" s="1" t="s">
        <v>360</v>
      </c>
      <c r="C87" s="1" t="s">
        <v>361</v>
      </c>
      <c r="D87" s="3">
        <v>981020033106504</v>
      </c>
      <c r="E87" s="1" t="s">
        <v>362</v>
      </c>
    </row>
    <row r="88" spans="1:5" x14ac:dyDescent="0.25">
      <c r="A88" s="1" t="s">
        <v>363</v>
      </c>
      <c r="B88" s="1" t="s">
        <v>155</v>
      </c>
      <c r="C88" s="1" t="s">
        <v>364</v>
      </c>
      <c r="D88" s="3">
        <v>981020049649215</v>
      </c>
      <c r="E88" s="1" t="s">
        <v>365</v>
      </c>
    </row>
    <row r="89" spans="1:5" x14ac:dyDescent="0.25">
      <c r="A89" s="1" t="s">
        <v>363</v>
      </c>
      <c r="B89" s="1" t="s">
        <v>124</v>
      </c>
      <c r="C89" s="1" t="s">
        <v>366</v>
      </c>
      <c r="D89" s="3">
        <v>981020029191922</v>
      </c>
      <c r="E89" s="1" t="s">
        <v>367</v>
      </c>
    </row>
    <row r="90" spans="1:5" x14ac:dyDescent="0.25">
      <c r="A90" s="1" t="s">
        <v>371</v>
      </c>
      <c r="B90" s="1" t="s">
        <v>368</v>
      </c>
      <c r="C90" s="1" t="s">
        <v>369</v>
      </c>
      <c r="D90" s="3">
        <v>981020033749133</v>
      </c>
      <c r="E90" s="1" t="s">
        <v>370</v>
      </c>
    </row>
    <row r="91" spans="1:5" x14ac:dyDescent="0.25">
      <c r="A91" s="1" t="s">
        <v>371</v>
      </c>
      <c r="B91" s="1" t="s">
        <v>43</v>
      </c>
      <c r="C91" s="1" t="s">
        <v>372</v>
      </c>
      <c r="D91" s="3">
        <v>981020037565576</v>
      </c>
      <c r="E91" s="1" t="s">
        <v>373</v>
      </c>
    </row>
    <row r="92" spans="1:5" x14ac:dyDescent="0.25">
      <c r="A92" s="1" t="s">
        <v>371</v>
      </c>
      <c r="B92" s="1" t="s">
        <v>110</v>
      </c>
      <c r="C92" s="1" t="s">
        <v>375</v>
      </c>
      <c r="D92" s="3">
        <v>981020033774598</v>
      </c>
      <c r="E92" s="1" t="s">
        <v>374</v>
      </c>
    </row>
    <row r="93" spans="1:5" x14ac:dyDescent="0.25">
      <c r="A93" s="1" t="s">
        <v>376</v>
      </c>
      <c r="B93" s="1" t="s">
        <v>377</v>
      </c>
      <c r="C93" s="1" t="s">
        <v>378</v>
      </c>
      <c r="D93" s="3">
        <v>981020035767513</v>
      </c>
      <c r="E93" s="1" t="s">
        <v>379</v>
      </c>
    </row>
    <row r="94" spans="1:5" x14ac:dyDescent="0.25">
      <c r="A94" s="1" t="s">
        <v>376</v>
      </c>
      <c r="B94" s="1" t="s">
        <v>89</v>
      </c>
      <c r="C94" s="1" t="s">
        <v>380</v>
      </c>
      <c r="D94" s="3">
        <v>981020033780056</v>
      </c>
      <c r="E94" s="1" t="s">
        <v>381</v>
      </c>
    </row>
    <row r="95" spans="1:5" x14ac:dyDescent="0.25">
      <c r="A95" s="1" t="s">
        <v>386</v>
      </c>
      <c r="B95" s="1" t="s">
        <v>387</v>
      </c>
      <c r="C95" s="1" t="s">
        <v>388</v>
      </c>
      <c r="D95" s="3">
        <v>981020031374924</v>
      </c>
      <c r="E95" s="1" t="s">
        <v>78</v>
      </c>
    </row>
    <row r="96" spans="1:5" x14ac:dyDescent="0.25">
      <c r="A96" s="1" t="s">
        <v>386</v>
      </c>
      <c r="B96" s="1" t="s">
        <v>389</v>
      </c>
      <c r="C96" s="1" t="s">
        <v>390</v>
      </c>
      <c r="D96" s="3">
        <v>981020037324817</v>
      </c>
      <c r="E96" s="1" t="s">
        <v>391</v>
      </c>
    </row>
    <row r="97" spans="1:5" x14ac:dyDescent="0.25">
      <c r="A97" s="1" t="s">
        <v>386</v>
      </c>
      <c r="B97" s="1" t="s">
        <v>392</v>
      </c>
      <c r="C97" s="1" t="s">
        <v>393</v>
      </c>
      <c r="D97" s="3">
        <v>981020025195183</v>
      </c>
      <c r="E97" s="1" t="s">
        <v>394</v>
      </c>
    </row>
    <row r="98" spans="1:5" x14ac:dyDescent="0.25">
      <c r="A98" s="1" t="s">
        <v>395</v>
      </c>
      <c r="B98" s="1" t="s">
        <v>396</v>
      </c>
      <c r="C98" s="1" t="s">
        <v>397</v>
      </c>
      <c r="D98" s="3">
        <v>981020037642751</v>
      </c>
      <c r="E98" s="1" t="s">
        <v>78</v>
      </c>
    </row>
    <row r="99" spans="1:5" x14ac:dyDescent="0.25">
      <c r="A99" s="1" t="s">
        <v>395</v>
      </c>
      <c r="B99" s="1" t="s">
        <v>51</v>
      </c>
      <c r="C99" s="1" t="s">
        <v>399</v>
      </c>
      <c r="D99" s="3">
        <v>981020031364394</v>
      </c>
      <c r="E99" s="1" t="s">
        <v>398</v>
      </c>
    </row>
    <row r="100" spans="1:5" x14ac:dyDescent="0.25">
      <c r="A100" s="1" t="s">
        <v>400</v>
      </c>
      <c r="B100" s="1" t="s">
        <v>31</v>
      </c>
      <c r="C100" s="1" t="s">
        <v>401</v>
      </c>
      <c r="D100" s="3">
        <v>981020023584894</v>
      </c>
      <c r="E100" s="1" t="s">
        <v>402</v>
      </c>
    </row>
    <row r="101" spans="1:5" x14ac:dyDescent="0.25">
      <c r="A101" s="1" t="s">
        <v>400</v>
      </c>
      <c r="B101" s="1" t="s">
        <v>62</v>
      </c>
      <c r="C101" s="1" t="s">
        <v>403</v>
      </c>
      <c r="D101" s="3">
        <v>981020023653292</v>
      </c>
      <c r="E101" s="1" t="s">
        <v>78</v>
      </c>
    </row>
    <row r="102" spans="1:5" x14ac:dyDescent="0.25">
      <c r="A102" s="1" t="s">
        <v>400</v>
      </c>
      <c r="B102" s="1" t="s">
        <v>5</v>
      </c>
      <c r="C102" s="1" t="s">
        <v>404</v>
      </c>
      <c r="D102" s="3">
        <v>981020045139078</v>
      </c>
      <c r="E102" s="1" t="s">
        <v>405</v>
      </c>
    </row>
    <row r="103" spans="1:5" x14ac:dyDescent="0.25">
      <c r="A103" s="1" t="s">
        <v>400</v>
      </c>
      <c r="B103" s="1" t="s">
        <v>155</v>
      </c>
      <c r="C103" s="1" t="s">
        <v>412</v>
      </c>
      <c r="D103" s="3">
        <v>981020023557056</v>
      </c>
      <c r="E103" s="1" t="s">
        <v>413</v>
      </c>
    </row>
    <row r="104" spans="1:5" x14ac:dyDescent="0.25">
      <c r="A104" s="1" t="s">
        <v>406</v>
      </c>
      <c r="B104" s="1" t="s">
        <v>407</v>
      </c>
      <c r="C104" s="1" t="s">
        <v>408</v>
      </c>
      <c r="D104" s="3">
        <v>981020031351442</v>
      </c>
      <c r="E104" s="1" t="s">
        <v>409</v>
      </c>
    </row>
    <row r="105" spans="1:5" x14ac:dyDescent="0.25">
      <c r="A105" s="1" t="s">
        <v>406</v>
      </c>
      <c r="B105" s="1" t="s">
        <v>11</v>
      </c>
      <c r="C105" s="1" t="s">
        <v>410</v>
      </c>
      <c r="D105" s="3">
        <v>900182001156517</v>
      </c>
      <c r="E105" s="1" t="s">
        <v>411</v>
      </c>
    </row>
    <row r="106" spans="1:5" x14ac:dyDescent="0.25">
      <c r="A106" s="1" t="s">
        <v>422</v>
      </c>
      <c r="B106" s="1" t="s">
        <v>423</v>
      </c>
      <c r="C106" s="1" t="s">
        <v>424</v>
      </c>
      <c r="D106" s="3">
        <v>985141002976840</v>
      </c>
      <c r="E106" s="1" t="s">
        <v>425</v>
      </c>
    </row>
    <row r="107" spans="1:5" x14ac:dyDescent="0.25">
      <c r="A107" s="1" t="s">
        <v>414</v>
      </c>
      <c r="B107" s="1" t="s">
        <v>415</v>
      </c>
      <c r="C107" s="1" t="s">
        <v>416</v>
      </c>
      <c r="D107" s="3">
        <v>981020035714076</v>
      </c>
      <c r="E107" s="1" t="s">
        <v>417</v>
      </c>
    </row>
    <row r="108" spans="1:5" x14ac:dyDescent="0.25">
      <c r="A108" s="1" t="s">
        <v>414</v>
      </c>
      <c r="B108" s="1" t="s">
        <v>31</v>
      </c>
      <c r="C108" s="1" t="s">
        <v>418</v>
      </c>
      <c r="D108" s="3">
        <v>981020033596344</v>
      </c>
      <c r="E108" s="1" t="s">
        <v>419</v>
      </c>
    </row>
    <row r="109" spans="1:5" x14ac:dyDescent="0.25">
      <c r="A109" s="1" t="s">
        <v>414</v>
      </c>
      <c r="B109" s="1" t="s">
        <v>159</v>
      </c>
      <c r="C109" s="1" t="s">
        <v>420</v>
      </c>
      <c r="D109" s="3">
        <v>981020037337104</v>
      </c>
      <c r="E109" s="1" t="s">
        <v>421</v>
      </c>
    </row>
    <row r="110" spans="1:5" x14ac:dyDescent="0.25">
      <c r="A110" s="1" t="s">
        <v>426</v>
      </c>
      <c r="B110" s="1" t="s">
        <v>52</v>
      </c>
      <c r="C110" s="1" t="s">
        <v>427</v>
      </c>
      <c r="D110" s="3">
        <v>981020027743532</v>
      </c>
      <c r="E110" s="1" t="s">
        <v>428</v>
      </c>
    </row>
    <row r="111" spans="1:5" x14ac:dyDescent="0.25">
      <c r="A111" s="1" t="s">
        <v>426</v>
      </c>
      <c r="B111" s="1" t="s">
        <v>31</v>
      </c>
      <c r="C111" s="1" t="s">
        <v>429</v>
      </c>
      <c r="D111" s="3">
        <v>981020033602042</v>
      </c>
      <c r="E111" s="1" t="s">
        <v>430</v>
      </c>
    </row>
    <row r="112" spans="1:5" x14ac:dyDescent="0.25">
      <c r="A112" s="1" t="s">
        <v>426</v>
      </c>
      <c r="B112" s="1" t="s">
        <v>431</v>
      </c>
      <c r="C112" s="1" t="s">
        <v>432</v>
      </c>
      <c r="D112" s="3">
        <v>981020037381356</v>
      </c>
      <c r="E112" s="1" t="s">
        <v>433</v>
      </c>
    </row>
    <row r="113" spans="1:5" x14ac:dyDescent="0.25">
      <c r="A113" s="1" t="s">
        <v>434</v>
      </c>
      <c r="B113" s="1" t="s">
        <v>436</v>
      </c>
      <c r="C113" s="1" t="s">
        <v>437</v>
      </c>
      <c r="D113" s="3">
        <v>981020041818701</v>
      </c>
      <c r="E113" s="1" t="s">
        <v>438</v>
      </c>
    </row>
    <row r="114" spans="1:5" x14ac:dyDescent="0.25">
      <c r="A114" s="1" t="s">
        <v>434</v>
      </c>
      <c r="B114" s="1" t="s">
        <v>423</v>
      </c>
      <c r="C114" s="1" t="s">
        <v>435</v>
      </c>
      <c r="D114" s="3">
        <v>981020029186492</v>
      </c>
      <c r="E114" s="1" t="s">
        <v>439</v>
      </c>
    </row>
    <row r="115" spans="1:5" x14ac:dyDescent="0.25">
      <c r="A115" s="1" t="s">
        <v>440</v>
      </c>
      <c r="B115" s="1" t="s">
        <v>184</v>
      </c>
      <c r="C115" s="1" t="s">
        <v>441</v>
      </c>
      <c r="D115" s="3">
        <v>985141003458268</v>
      </c>
      <c r="E115" s="1" t="s">
        <v>255</v>
      </c>
    </row>
    <row r="116" spans="1:5" x14ac:dyDescent="0.25">
      <c r="A116" s="1" t="s">
        <v>442</v>
      </c>
      <c r="B116" s="1" t="s">
        <v>155</v>
      </c>
      <c r="C116" s="1" t="s">
        <v>443</v>
      </c>
      <c r="D116" s="3">
        <v>981020037316198</v>
      </c>
      <c r="E116" s="1" t="s">
        <v>444</v>
      </c>
    </row>
    <row r="117" spans="1:5" x14ac:dyDescent="0.25">
      <c r="A117" s="1" t="s">
        <v>445</v>
      </c>
      <c r="B117" s="1" t="s">
        <v>29</v>
      </c>
      <c r="C117" s="1" t="s">
        <v>446</v>
      </c>
      <c r="D117" s="3">
        <v>981020037362435</v>
      </c>
      <c r="E117" s="1" t="s">
        <v>447</v>
      </c>
    </row>
    <row r="118" spans="1:5" x14ac:dyDescent="0.25">
      <c r="A118" s="1" t="s">
        <v>448</v>
      </c>
      <c r="B118" s="1" t="s">
        <v>104</v>
      </c>
      <c r="C118" s="1" t="s">
        <v>449</v>
      </c>
      <c r="D118" s="3">
        <v>981020035162358</v>
      </c>
      <c r="E118" s="1" t="s">
        <v>450</v>
      </c>
    </row>
    <row r="119" spans="1:5" x14ac:dyDescent="0.25">
      <c r="A119" s="1" t="s">
        <v>448</v>
      </c>
      <c r="B119" s="1" t="s">
        <v>98</v>
      </c>
      <c r="C119" s="1" t="s">
        <v>452</v>
      </c>
      <c r="D119" s="3">
        <v>981020033583955</v>
      </c>
      <c r="E119" s="1" t="s">
        <v>451</v>
      </c>
    </row>
    <row r="120" spans="1:5" x14ac:dyDescent="0.25">
      <c r="A120" s="1" t="s">
        <v>453</v>
      </c>
      <c r="B120" s="1" t="s">
        <v>356</v>
      </c>
      <c r="C120" s="1" t="s">
        <v>454</v>
      </c>
      <c r="D120" s="3">
        <v>981020037635310</v>
      </c>
      <c r="E120" s="1" t="s">
        <v>455</v>
      </c>
    </row>
    <row r="121" spans="1:5" x14ac:dyDescent="0.25">
      <c r="A121" s="1" t="s">
        <v>456</v>
      </c>
      <c r="B121" s="1" t="s">
        <v>457</v>
      </c>
      <c r="C121" s="1" t="s">
        <v>458</v>
      </c>
      <c r="D121" s="3">
        <v>981020037313780</v>
      </c>
      <c r="E121" s="1" t="s">
        <v>459</v>
      </c>
    </row>
    <row r="122" spans="1:5" x14ac:dyDescent="0.25">
      <c r="A122" s="1" t="s">
        <v>456</v>
      </c>
      <c r="B122" s="1" t="s">
        <v>93</v>
      </c>
      <c r="C122" s="1" t="s">
        <v>460</v>
      </c>
      <c r="D122" s="3">
        <v>981020037340823</v>
      </c>
      <c r="E122" s="1" t="s">
        <v>461</v>
      </c>
    </row>
    <row r="123" spans="1:5" x14ac:dyDescent="0.25">
      <c r="A123" s="1" t="s">
        <v>462</v>
      </c>
      <c r="B123" s="1" t="s">
        <v>11</v>
      </c>
      <c r="C123" s="1" t="s">
        <v>463</v>
      </c>
      <c r="D123" s="3">
        <v>981020033130585</v>
      </c>
      <c r="E123" s="1" t="s">
        <v>57</v>
      </c>
    </row>
    <row r="124" spans="1:5" x14ac:dyDescent="0.25">
      <c r="A124" s="1" t="s">
        <v>464</v>
      </c>
      <c r="B124" s="1" t="s">
        <v>107</v>
      </c>
      <c r="C124" s="1" t="s">
        <v>465</v>
      </c>
      <c r="D124" s="3">
        <v>981020031338830</v>
      </c>
      <c r="E124" s="1" t="s">
        <v>255</v>
      </c>
    </row>
    <row r="125" spans="1:5" x14ac:dyDescent="0.25">
      <c r="A125" s="1" t="s">
        <v>466</v>
      </c>
      <c r="B125" s="1" t="s">
        <v>423</v>
      </c>
      <c r="C125" s="1" t="s">
        <v>467</v>
      </c>
      <c r="D125" s="3">
        <v>981020033086954</v>
      </c>
      <c r="E125" s="1" t="s">
        <v>468</v>
      </c>
    </row>
    <row r="126" spans="1:5" x14ac:dyDescent="0.25">
      <c r="A126" s="1" t="s">
        <v>469</v>
      </c>
      <c r="B126" s="1" t="s">
        <v>470</v>
      </c>
      <c r="C126" s="1" t="s">
        <v>471</v>
      </c>
      <c r="D126" s="3">
        <v>981020033558087</v>
      </c>
      <c r="E126" s="1" t="s">
        <v>472</v>
      </c>
    </row>
    <row r="127" spans="1:5" x14ac:dyDescent="0.25">
      <c r="A127" s="1" t="s">
        <v>469</v>
      </c>
      <c r="B127" s="1" t="s">
        <v>473</v>
      </c>
      <c r="C127" s="1" t="s">
        <v>474</v>
      </c>
      <c r="D127" s="3">
        <v>981020039631356</v>
      </c>
      <c r="E127" s="1" t="s">
        <v>475</v>
      </c>
    </row>
    <row r="128" spans="1:5" x14ac:dyDescent="0.25">
      <c r="A128" s="1" t="s">
        <v>476</v>
      </c>
      <c r="B128" s="1" t="s">
        <v>77</v>
      </c>
      <c r="C128" s="1" t="s">
        <v>477</v>
      </c>
      <c r="D128" s="3">
        <v>981020019364541</v>
      </c>
      <c r="E128" s="1" t="s">
        <v>478</v>
      </c>
    </row>
    <row r="129" spans="1:5" x14ac:dyDescent="0.25">
      <c r="A129" s="1" t="s">
        <v>479</v>
      </c>
      <c r="B129" s="1" t="s">
        <v>480</v>
      </c>
      <c r="C129" s="1" t="s">
        <v>481</v>
      </c>
      <c r="D129" s="3">
        <v>981020031344621</v>
      </c>
      <c r="E129" s="1" t="s">
        <v>78</v>
      </c>
    </row>
    <row r="130" spans="1:5" x14ac:dyDescent="0.25">
      <c r="A130" s="1" t="s">
        <v>485</v>
      </c>
      <c r="B130" s="1" t="s">
        <v>484</v>
      </c>
      <c r="C130" s="1" t="s">
        <v>483</v>
      </c>
      <c r="D130" s="3">
        <v>981020023574040</v>
      </c>
      <c r="E130" s="1" t="s">
        <v>482</v>
      </c>
    </row>
    <row r="131" spans="1:5" x14ac:dyDescent="0.25">
      <c r="A131" s="1" t="s">
        <v>486</v>
      </c>
      <c r="B131" s="1" t="s">
        <v>329</v>
      </c>
      <c r="C131" s="1" t="s">
        <v>487</v>
      </c>
      <c r="D131" s="3">
        <v>981020019167414</v>
      </c>
      <c r="E131" s="1" t="s">
        <v>488</v>
      </c>
    </row>
    <row r="132" spans="1:5" ht="30" x14ac:dyDescent="0.25">
      <c r="A132" s="1" t="s">
        <v>489</v>
      </c>
      <c r="B132" s="1" t="s">
        <v>4</v>
      </c>
      <c r="C132" s="1" t="s">
        <v>492</v>
      </c>
      <c r="D132" s="15" t="s">
        <v>490</v>
      </c>
      <c r="E132" s="1" t="s">
        <v>491</v>
      </c>
    </row>
    <row r="133" spans="1:5" x14ac:dyDescent="0.25">
      <c r="A133" s="1" t="s">
        <v>493</v>
      </c>
      <c r="B133" s="1" t="s">
        <v>294</v>
      </c>
      <c r="C133" s="1" t="s">
        <v>494</v>
      </c>
      <c r="D133" s="3">
        <v>981020043530118</v>
      </c>
      <c r="E133" s="1" t="s">
        <v>495</v>
      </c>
    </row>
    <row r="134" spans="1:5" x14ac:dyDescent="0.25">
      <c r="A134" s="1" t="s">
        <v>496</v>
      </c>
      <c r="B134" s="1" t="s">
        <v>218</v>
      </c>
      <c r="C134" s="1" t="s">
        <v>497</v>
      </c>
      <c r="D134" s="3">
        <v>981020033620570</v>
      </c>
      <c r="E134" s="1" t="s">
        <v>498</v>
      </c>
    </row>
    <row r="135" spans="1:5" x14ac:dyDescent="0.25">
      <c r="A135" s="1" t="s">
        <v>496</v>
      </c>
      <c r="B135" s="1" t="s">
        <v>499</v>
      </c>
      <c r="C135" s="1" t="s">
        <v>500</v>
      </c>
      <c r="D135" s="3">
        <v>981020051008914</v>
      </c>
      <c r="E135" s="1" t="s">
        <v>501</v>
      </c>
    </row>
    <row r="136" spans="1:5" x14ac:dyDescent="0.25">
      <c r="A136" s="7" t="s">
        <v>505</v>
      </c>
      <c r="B136" s="7" t="s">
        <v>504</v>
      </c>
      <c r="C136" s="7" t="s">
        <v>503</v>
      </c>
      <c r="D136" s="8">
        <v>981020027312372</v>
      </c>
      <c r="E136" s="7" t="s">
        <v>502</v>
      </c>
    </row>
    <row r="137" spans="1:5" x14ac:dyDescent="0.25">
      <c r="A137" s="7" t="s">
        <v>506</v>
      </c>
      <c r="B137" s="7" t="s">
        <v>5</v>
      </c>
      <c r="C137" s="7" t="s">
        <v>507</v>
      </c>
      <c r="D137" s="8">
        <v>981020037651754</v>
      </c>
      <c r="E137" s="7" t="s">
        <v>255</v>
      </c>
    </row>
    <row r="138" spans="1:5" x14ac:dyDescent="0.25">
      <c r="A138" s="7" t="s">
        <v>536</v>
      </c>
      <c r="B138" s="7" t="s">
        <v>537</v>
      </c>
      <c r="C138" s="7" t="s">
        <v>538</v>
      </c>
      <c r="D138" s="8">
        <v>981020031346704</v>
      </c>
      <c r="E138" s="7" t="s">
        <v>539</v>
      </c>
    </row>
    <row r="139" spans="1:5" x14ac:dyDescent="0.25">
      <c r="A139" s="7" t="s">
        <v>540</v>
      </c>
      <c r="B139" s="7" t="s">
        <v>541</v>
      </c>
      <c r="C139" s="7" t="s">
        <v>542</v>
      </c>
      <c r="D139" s="8">
        <v>981020023241072</v>
      </c>
      <c r="E139" s="7" t="s">
        <v>543</v>
      </c>
    </row>
    <row r="140" spans="1:5" x14ac:dyDescent="0.25">
      <c r="A140" s="1" t="s">
        <v>508</v>
      </c>
      <c r="B140" s="1" t="s">
        <v>31</v>
      </c>
      <c r="C140" s="1" t="s">
        <v>509</v>
      </c>
      <c r="D140" s="3">
        <v>981020033595543</v>
      </c>
      <c r="E140" s="1" t="s">
        <v>101</v>
      </c>
    </row>
    <row r="141" spans="1:5" x14ac:dyDescent="0.25">
      <c r="A141" s="1" t="s">
        <v>508</v>
      </c>
      <c r="B141" s="1" t="s">
        <v>53</v>
      </c>
      <c r="C141" s="1" t="s">
        <v>510</v>
      </c>
      <c r="D141" s="3">
        <v>981020023652398</v>
      </c>
      <c r="E141" s="1" t="s">
        <v>511</v>
      </c>
    </row>
    <row r="142" spans="1:5" x14ac:dyDescent="0.25">
      <c r="A142" s="1" t="s">
        <v>512</v>
      </c>
      <c r="B142" s="1" t="s">
        <v>109</v>
      </c>
      <c r="C142" s="1" t="s">
        <v>513</v>
      </c>
      <c r="D142" s="3">
        <v>981020031356081</v>
      </c>
      <c r="E142" s="1" t="s">
        <v>514</v>
      </c>
    </row>
    <row r="143" spans="1:5" x14ac:dyDescent="0.25">
      <c r="A143" s="1" t="s">
        <v>515</v>
      </c>
      <c r="B143" s="1" t="s">
        <v>516</v>
      </c>
      <c r="C143" s="1" t="s">
        <v>517</v>
      </c>
      <c r="D143" s="3">
        <v>981020045148224</v>
      </c>
      <c r="E143" s="1" t="s">
        <v>518</v>
      </c>
    </row>
    <row r="144" spans="1:5" x14ac:dyDescent="0.25">
      <c r="A144" s="1" t="s">
        <v>515</v>
      </c>
      <c r="B144" s="1" t="s">
        <v>74</v>
      </c>
      <c r="C144" s="1" t="s">
        <v>520</v>
      </c>
      <c r="D144" s="3">
        <v>900182001156556</v>
      </c>
      <c r="E144" s="1" t="s">
        <v>519</v>
      </c>
    </row>
    <row r="145" spans="1:5" x14ac:dyDescent="0.25">
      <c r="A145" s="1" t="s">
        <v>521</v>
      </c>
      <c r="B145" s="1" t="s">
        <v>129</v>
      </c>
      <c r="C145" s="1" t="s">
        <v>522</v>
      </c>
      <c r="D145" s="3">
        <v>981020041822291</v>
      </c>
      <c r="E145" s="1" t="s">
        <v>523</v>
      </c>
    </row>
    <row r="146" spans="1:5" x14ac:dyDescent="0.25">
      <c r="A146" s="1" t="s">
        <v>525</v>
      </c>
      <c r="B146" s="1" t="s">
        <v>99</v>
      </c>
      <c r="C146" s="1" t="s">
        <v>524</v>
      </c>
      <c r="D146" s="3">
        <v>981020039347576</v>
      </c>
      <c r="E146" s="1" t="s">
        <v>526</v>
      </c>
    </row>
    <row r="147" spans="1:5" x14ac:dyDescent="0.25">
      <c r="A147" s="1" t="s">
        <v>525</v>
      </c>
      <c r="B147" s="1" t="s">
        <v>529</v>
      </c>
      <c r="C147" s="1" t="s">
        <v>528</v>
      </c>
      <c r="D147" s="3">
        <v>991001003850260</v>
      </c>
      <c r="E147" s="1" t="s">
        <v>527</v>
      </c>
    </row>
    <row r="148" spans="1:5" ht="30" x14ac:dyDescent="0.25">
      <c r="A148" s="1" t="s">
        <v>530</v>
      </c>
      <c r="B148" s="1" t="s">
        <v>294</v>
      </c>
      <c r="C148" s="1" t="s">
        <v>531</v>
      </c>
      <c r="D148" s="3">
        <v>981020037349108</v>
      </c>
      <c r="E148" s="2" t="s">
        <v>532</v>
      </c>
    </row>
    <row r="149" spans="1:5" x14ac:dyDescent="0.25">
      <c r="A149" s="1" t="s">
        <v>533</v>
      </c>
      <c r="B149" s="1" t="s">
        <v>155</v>
      </c>
      <c r="C149" s="1" t="s">
        <v>534</v>
      </c>
      <c r="D149" s="3">
        <v>981020033556124</v>
      </c>
      <c r="E149" s="1" t="s">
        <v>535</v>
      </c>
    </row>
    <row r="150" spans="1:5" x14ac:dyDescent="0.25">
      <c r="A150" s="1" t="s">
        <v>584</v>
      </c>
      <c r="B150" s="1" t="s">
        <v>44</v>
      </c>
      <c r="C150" s="1" t="s">
        <v>587</v>
      </c>
      <c r="D150" s="3">
        <v>981020039652815</v>
      </c>
      <c r="E150" s="1" t="s">
        <v>588</v>
      </c>
    </row>
    <row r="151" spans="1:5" x14ac:dyDescent="0.25">
      <c r="A151" s="1" t="s">
        <v>584</v>
      </c>
      <c r="B151" s="1" t="s">
        <v>93</v>
      </c>
      <c r="C151" s="1" t="s">
        <v>585</v>
      </c>
      <c r="D151" s="3">
        <v>981020033564689</v>
      </c>
      <c r="E151" s="1" t="s">
        <v>586</v>
      </c>
    </row>
    <row r="152" spans="1:5" x14ac:dyDescent="0.25">
      <c r="A152" s="1" t="s">
        <v>544</v>
      </c>
      <c r="B152" s="1" t="s">
        <v>96</v>
      </c>
      <c r="C152" s="1" t="s">
        <v>545</v>
      </c>
      <c r="D152" s="3">
        <v>981020031351963</v>
      </c>
      <c r="E152" s="1" t="s">
        <v>546</v>
      </c>
    </row>
    <row r="153" spans="1:5" x14ac:dyDescent="0.25">
      <c r="A153" s="1" t="s">
        <v>547</v>
      </c>
      <c r="B153" s="1" t="s">
        <v>549</v>
      </c>
      <c r="C153" s="1" t="s">
        <v>550</v>
      </c>
      <c r="D153" s="3">
        <v>981020021514034</v>
      </c>
      <c r="E153" s="1" t="s">
        <v>551</v>
      </c>
    </row>
    <row r="154" spans="1:5" x14ac:dyDescent="0.25">
      <c r="A154" s="1" t="s">
        <v>547</v>
      </c>
      <c r="B154" s="1" t="s">
        <v>5</v>
      </c>
      <c r="C154" s="1" t="s">
        <v>548</v>
      </c>
      <c r="D154" s="3">
        <v>981020037569501</v>
      </c>
      <c r="E154" s="1" t="s">
        <v>56</v>
      </c>
    </row>
    <row r="155" spans="1:5" x14ac:dyDescent="0.25">
      <c r="A155" s="1" t="s">
        <v>552</v>
      </c>
      <c r="B155" s="1" t="s">
        <v>218</v>
      </c>
      <c r="C155" s="1" t="s">
        <v>553</v>
      </c>
      <c r="D155" s="3">
        <v>981020033555938</v>
      </c>
      <c r="E155" s="1" t="s">
        <v>554</v>
      </c>
    </row>
    <row r="156" spans="1:5" x14ac:dyDescent="0.25">
      <c r="A156" s="1" t="s">
        <v>552</v>
      </c>
      <c r="B156" s="1" t="s">
        <v>18</v>
      </c>
      <c r="C156" s="1" t="s">
        <v>555</v>
      </c>
      <c r="D156" s="3">
        <v>981020033113336</v>
      </c>
      <c r="E156" s="1" t="s">
        <v>556</v>
      </c>
    </row>
    <row r="157" spans="1:5" x14ac:dyDescent="0.25">
      <c r="A157" s="1" t="s">
        <v>557</v>
      </c>
      <c r="B157" s="1" t="s">
        <v>558</v>
      </c>
      <c r="C157" s="1" t="s">
        <v>559</v>
      </c>
      <c r="D157" s="3">
        <v>981020031382741</v>
      </c>
      <c r="E157" s="1" t="s">
        <v>560</v>
      </c>
    </row>
    <row r="158" spans="1:5" x14ac:dyDescent="0.25">
      <c r="A158" s="1" t="s">
        <v>561</v>
      </c>
      <c r="B158" s="1" t="s">
        <v>562</v>
      </c>
      <c r="C158" s="1" t="s">
        <v>563</v>
      </c>
      <c r="D158" s="3">
        <v>981020023281751</v>
      </c>
      <c r="E158" s="1" t="s">
        <v>564</v>
      </c>
    </row>
    <row r="159" spans="1:5" x14ac:dyDescent="0.25">
      <c r="A159" s="1" t="s">
        <v>561</v>
      </c>
      <c r="B159" s="1" t="s">
        <v>387</v>
      </c>
      <c r="C159" s="1" t="s">
        <v>565</v>
      </c>
      <c r="D159" s="3">
        <v>981020033576611</v>
      </c>
      <c r="E159" s="1" t="s">
        <v>101</v>
      </c>
    </row>
    <row r="160" spans="1:5" x14ac:dyDescent="0.25">
      <c r="A160" s="1" t="s">
        <v>561</v>
      </c>
      <c r="B160" s="1" t="s">
        <v>62</v>
      </c>
      <c r="C160" s="1" t="s">
        <v>567</v>
      </c>
      <c r="D160" s="3">
        <v>981020031330107</v>
      </c>
      <c r="E160" s="1" t="s">
        <v>566</v>
      </c>
    </row>
    <row r="161" spans="1:5" x14ac:dyDescent="0.25">
      <c r="A161" s="1" t="s">
        <v>568</v>
      </c>
      <c r="B161" s="1" t="s">
        <v>21</v>
      </c>
      <c r="C161" s="1" t="s">
        <v>569</v>
      </c>
      <c r="D161" s="3">
        <v>981020033620970</v>
      </c>
      <c r="E161" s="1" t="s">
        <v>570</v>
      </c>
    </row>
    <row r="162" spans="1:5" x14ac:dyDescent="0.25">
      <c r="A162" s="1" t="s">
        <v>571</v>
      </c>
      <c r="B162" s="1" t="s">
        <v>572</v>
      </c>
      <c r="C162" s="1" t="s">
        <v>573</v>
      </c>
      <c r="D162" s="3">
        <v>981020037337722</v>
      </c>
      <c r="E162" s="1" t="s">
        <v>78</v>
      </c>
    </row>
    <row r="163" spans="1:5" x14ac:dyDescent="0.25">
      <c r="A163" s="1" t="s">
        <v>571</v>
      </c>
      <c r="B163" s="1" t="s">
        <v>576</v>
      </c>
      <c r="C163" s="1" t="s">
        <v>575</v>
      </c>
      <c r="D163" s="3">
        <v>981020023475469</v>
      </c>
      <c r="E163" s="1" t="s">
        <v>574</v>
      </c>
    </row>
    <row r="164" spans="1:5" x14ac:dyDescent="0.25">
      <c r="A164" s="1" t="s">
        <v>571</v>
      </c>
      <c r="B164" s="1" t="s">
        <v>577</v>
      </c>
      <c r="C164" s="1" t="s">
        <v>578</v>
      </c>
      <c r="D164" s="3">
        <v>981020049670101</v>
      </c>
      <c r="E164" s="1" t="s">
        <v>579</v>
      </c>
    </row>
    <row r="165" spans="1:5" x14ac:dyDescent="0.25">
      <c r="A165" s="1" t="s">
        <v>580</v>
      </c>
      <c r="B165" s="1" t="s">
        <v>581</v>
      </c>
      <c r="C165" s="1" t="s">
        <v>582</v>
      </c>
      <c r="D165" s="3">
        <v>981020023676700</v>
      </c>
      <c r="E165" s="1" t="s">
        <v>583</v>
      </c>
    </row>
    <row r="166" spans="1:5" x14ac:dyDescent="0.25">
      <c r="A166" s="1" t="s">
        <v>580</v>
      </c>
      <c r="B166" s="1" t="s">
        <v>589</v>
      </c>
      <c r="C166" s="1" t="s">
        <v>590</v>
      </c>
      <c r="D166" s="3">
        <v>981020035755611</v>
      </c>
      <c r="E166" s="1" t="s">
        <v>591</v>
      </c>
    </row>
    <row r="167" spans="1:5" x14ac:dyDescent="0.25">
      <c r="A167" s="1" t="s">
        <v>592</v>
      </c>
      <c r="B167" s="1" t="s">
        <v>593</v>
      </c>
      <c r="C167" s="1" t="s">
        <v>594</v>
      </c>
      <c r="D167" s="3">
        <v>981020037336948</v>
      </c>
      <c r="E167" s="1" t="s">
        <v>595</v>
      </c>
    </row>
    <row r="168" spans="1:5" x14ac:dyDescent="0.25">
      <c r="A168" s="1" t="s">
        <v>592</v>
      </c>
      <c r="B168" s="1" t="s">
        <v>600</v>
      </c>
      <c r="C168" s="1" t="s">
        <v>601</v>
      </c>
      <c r="D168" s="3">
        <v>981020045080488</v>
      </c>
      <c r="E168" s="1" t="s">
        <v>523</v>
      </c>
    </row>
    <row r="169" spans="1:5" x14ac:dyDescent="0.25">
      <c r="A169" s="1" t="s">
        <v>596</v>
      </c>
      <c r="B169" s="1" t="s">
        <v>597</v>
      </c>
      <c r="C169" s="1" t="s">
        <v>598</v>
      </c>
      <c r="D169" s="3">
        <v>981020025172882</v>
      </c>
      <c r="E169" s="1" t="s">
        <v>599</v>
      </c>
    </row>
    <row r="170" spans="1:5" x14ac:dyDescent="0.25">
      <c r="A170" s="1" t="s">
        <v>602</v>
      </c>
      <c r="B170" s="1" t="s">
        <v>603</v>
      </c>
      <c r="C170" s="1" t="s">
        <v>604</v>
      </c>
      <c r="D170" s="3">
        <v>981020033564048</v>
      </c>
      <c r="E170" s="1" t="s">
        <v>605</v>
      </c>
    </row>
    <row r="171" spans="1:5" x14ac:dyDescent="0.25">
      <c r="A171" s="1" t="s">
        <v>608</v>
      </c>
      <c r="B171" s="1" t="s">
        <v>607</v>
      </c>
      <c r="C171" s="1" t="s">
        <v>606</v>
      </c>
      <c r="D171" s="3">
        <v>981020037650117</v>
      </c>
      <c r="E171" s="1" t="s">
        <v>54</v>
      </c>
    </row>
    <row r="172" spans="1:5" x14ac:dyDescent="0.25">
      <c r="A172" s="1" t="s">
        <v>609</v>
      </c>
      <c r="B172" s="1" t="s">
        <v>610</v>
      </c>
      <c r="C172" s="1" t="s">
        <v>611</v>
      </c>
      <c r="D172" s="3">
        <v>981020033730177</v>
      </c>
      <c r="E172" s="1" t="s">
        <v>612</v>
      </c>
    </row>
    <row r="173" spans="1:5" x14ac:dyDescent="0.25">
      <c r="A173" s="1" t="s">
        <v>613</v>
      </c>
      <c r="B173" s="1" t="s">
        <v>107</v>
      </c>
      <c r="C173" s="1" t="s">
        <v>614</v>
      </c>
      <c r="D173" s="3">
        <v>981020023301424</v>
      </c>
      <c r="E173" s="1" t="s">
        <v>91</v>
      </c>
    </row>
    <row r="174" spans="1:5" x14ac:dyDescent="0.25">
      <c r="A174" s="1" t="s">
        <v>613</v>
      </c>
      <c r="B174" s="1" t="s">
        <v>618</v>
      </c>
      <c r="C174" s="1" t="s">
        <v>617</v>
      </c>
      <c r="D174" s="3">
        <v>981020031358241</v>
      </c>
      <c r="E174" s="1" t="s">
        <v>615</v>
      </c>
    </row>
    <row r="175" spans="1:5" x14ac:dyDescent="0.25">
      <c r="A175" s="1" t="s">
        <v>613</v>
      </c>
      <c r="B175" s="1" t="s">
        <v>81</v>
      </c>
      <c r="C175" s="1" t="s">
        <v>619</v>
      </c>
      <c r="D175" s="3">
        <v>981020033749657</v>
      </c>
      <c r="E175" s="1" t="s">
        <v>616</v>
      </c>
    </row>
    <row r="176" spans="1:5" x14ac:dyDescent="0.25">
      <c r="A176" s="1" t="s">
        <v>613</v>
      </c>
      <c r="B176" s="1" t="s">
        <v>74</v>
      </c>
      <c r="C176" s="1" t="s">
        <v>620</v>
      </c>
      <c r="D176" s="3">
        <v>981020037328988</v>
      </c>
      <c r="E176" s="1" t="s">
        <v>621</v>
      </c>
    </row>
    <row r="177" spans="1:5" x14ac:dyDescent="0.25">
      <c r="A177" s="1" t="s">
        <v>624</v>
      </c>
      <c r="B177" s="1" t="s">
        <v>597</v>
      </c>
      <c r="C177" s="1" t="s">
        <v>623</v>
      </c>
      <c r="D177" s="3">
        <v>981020039649971</v>
      </c>
      <c r="E177" s="1" t="s">
        <v>622</v>
      </c>
    </row>
    <row r="178" spans="1:5" x14ac:dyDescent="0.25">
      <c r="A178" s="1" t="s">
        <v>625</v>
      </c>
      <c r="B178" s="1" t="s">
        <v>626</v>
      </c>
      <c r="C178" s="1" t="s">
        <v>627</v>
      </c>
      <c r="D178" s="3">
        <v>981020037315504</v>
      </c>
      <c r="E178" s="1" t="s">
        <v>628</v>
      </c>
    </row>
    <row r="179" spans="1:5" x14ac:dyDescent="0.25">
      <c r="A179" s="1" t="s">
        <v>625</v>
      </c>
      <c r="B179" s="1" t="s">
        <v>58</v>
      </c>
      <c r="C179" s="1" t="s">
        <v>630</v>
      </c>
      <c r="D179" s="3">
        <v>981020023301799</v>
      </c>
      <c r="E179" s="1" t="s">
        <v>629</v>
      </c>
    </row>
    <row r="180" spans="1:5" x14ac:dyDescent="0.25">
      <c r="A180" s="1" t="s">
        <v>631</v>
      </c>
      <c r="B180" s="1" t="s">
        <v>632</v>
      </c>
      <c r="C180" s="1" t="s">
        <v>633</v>
      </c>
      <c r="D180" s="3">
        <v>900182001156560</v>
      </c>
      <c r="E180" s="1" t="s">
        <v>634</v>
      </c>
    </row>
    <row r="181" spans="1:5" x14ac:dyDescent="0.25">
      <c r="A181" s="1" t="s">
        <v>635</v>
      </c>
      <c r="B181" s="1" t="s">
        <v>35</v>
      </c>
      <c r="C181" s="1" t="s">
        <v>636</v>
      </c>
      <c r="D181" s="3">
        <v>981020039144255</v>
      </c>
      <c r="E181" s="1" t="s">
        <v>101</v>
      </c>
    </row>
    <row r="182" spans="1:5" x14ac:dyDescent="0.25">
      <c r="A182" s="1" t="s">
        <v>637</v>
      </c>
      <c r="B182" s="1" t="s">
        <v>108</v>
      </c>
      <c r="C182" s="1" t="s">
        <v>638</v>
      </c>
      <c r="D182" s="3">
        <v>981020021040136</v>
      </c>
      <c r="E182" s="1" t="s">
        <v>639</v>
      </c>
    </row>
    <row r="183" spans="1:5" x14ac:dyDescent="0.25">
      <c r="A183" s="1" t="s">
        <v>637</v>
      </c>
      <c r="B183" s="1" t="s">
        <v>640</v>
      </c>
      <c r="C183" s="1" t="s">
        <v>641</v>
      </c>
      <c r="D183" s="3">
        <v>981020023635513</v>
      </c>
      <c r="E183" s="1" t="s">
        <v>642</v>
      </c>
    </row>
    <row r="184" spans="1:5" x14ac:dyDescent="0.25">
      <c r="A184" s="1" t="s">
        <v>646</v>
      </c>
      <c r="B184" s="1" t="s">
        <v>645</v>
      </c>
      <c r="C184" s="1" t="s">
        <v>644</v>
      </c>
      <c r="D184" s="3">
        <v>981020027282688</v>
      </c>
      <c r="E184" s="1" t="s">
        <v>643</v>
      </c>
    </row>
    <row r="185" spans="1:5" x14ac:dyDescent="0.25">
      <c r="A185" s="1" t="s">
        <v>646</v>
      </c>
      <c r="B185" s="1" t="s">
        <v>104</v>
      </c>
      <c r="C185" s="1" t="s">
        <v>647</v>
      </c>
      <c r="D185" s="3">
        <v>981020039639184</v>
      </c>
      <c r="E185" s="1" t="s">
        <v>648</v>
      </c>
    </row>
    <row r="186" spans="1:5" x14ac:dyDescent="0.25">
      <c r="A186" s="1" t="s">
        <v>649</v>
      </c>
      <c r="B186" s="1" t="s">
        <v>6</v>
      </c>
      <c r="C186" s="1" t="s">
        <v>650</v>
      </c>
      <c r="D186" s="3">
        <v>981020031356383</v>
      </c>
      <c r="E186" s="1" t="s">
        <v>87</v>
      </c>
    </row>
    <row r="187" spans="1:5" x14ac:dyDescent="0.25">
      <c r="A187" s="1" t="s">
        <v>651</v>
      </c>
      <c r="B187" s="1" t="s">
        <v>11</v>
      </c>
      <c r="C187" s="1" t="s">
        <v>652</v>
      </c>
      <c r="D187" s="3">
        <v>981020037801393</v>
      </c>
      <c r="E187" s="1" t="s">
        <v>653</v>
      </c>
    </row>
    <row r="188" spans="1:5" x14ac:dyDescent="0.25">
      <c r="A188" s="1" t="s">
        <v>654</v>
      </c>
      <c r="B188" s="1" t="s">
        <v>36</v>
      </c>
      <c r="C188" s="1" t="s">
        <v>655</v>
      </c>
      <c r="D188" s="3">
        <v>981020039353630</v>
      </c>
      <c r="E188" s="1" t="s">
        <v>656</v>
      </c>
    </row>
    <row r="189" spans="1:5" x14ac:dyDescent="0.25">
      <c r="A189" s="1" t="s">
        <v>654</v>
      </c>
      <c r="B189" s="1" t="s">
        <v>659</v>
      </c>
      <c r="C189" s="1" t="s">
        <v>658</v>
      </c>
      <c r="D189" s="3">
        <v>981020023639695</v>
      </c>
      <c r="E189" s="1" t="s">
        <v>657</v>
      </c>
    </row>
    <row r="190" spans="1:5" x14ac:dyDescent="0.25">
      <c r="A190" s="1" t="s">
        <v>654</v>
      </c>
      <c r="B190" s="1" t="s">
        <v>85</v>
      </c>
      <c r="C190" s="1" t="s">
        <v>660</v>
      </c>
      <c r="D190" s="3">
        <v>981020033577236</v>
      </c>
      <c r="E190" s="1" t="s">
        <v>661</v>
      </c>
    </row>
    <row r="191" spans="1:5" x14ac:dyDescent="0.25">
      <c r="A191" s="1" t="s">
        <v>662</v>
      </c>
      <c r="B191" s="1" t="s">
        <v>389</v>
      </c>
      <c r="C191" s="1" t="s">
        <v>663</v>
      </c>
      <c r="D191" s="3">
        <v>981020041930507</v>
      </c>
      <c r="E191" s="1" t="s">
        <v>664</v>
      </c>
    </row>
    <row r="192" spans="1:5" x14ac:dyDescent="0.25">
      <c r="A192" s="1" t="s">
        <v>691</v>
      </c>
      <c r="B192" s="1" t="s">
        <v>665</v>
      </c>
      <c r="C192" s="1" t="s">
        <v>666</v>
      </c>
      <c r="D192" s="3">
        <v>981020033769002</v>
      </c>
      <c r="E192" s="1" t="s">
        <v>667</v>
      </c>
    </row>
    <row r="193" spans="1:5" x14ac:dyDescent="0.25">
      <c r="A193" s="1" t="s">
        <v>669</v>
      </c>
      <c r="B193" s="1" t="s">
        <v>83</v>
      </c>
      <c r="C193" s="1" t="s">
        <v>668</v>
      </c>
      <c r="D193" s="3">
        <v>981020035776676</v>
      </c>
      <c r="E193" s="1" t="s">
        <v>78</v>
      </c>
    </row>
    <row r="194" spans="1:5" x14ac:dyDescent="0.25">
      <c r="A194" s="1" t="s">
        <v>669</v>
      </c>
      <c r="B194" s="1" t="s">
        <v>62</v>
      </c>
      <c r="C194" s="1" t="s">
        <v>670</v>
      </c>
      <c r="D194" s="3">
        <v>981020033605589</v>
      </c>
      <c r="E194" s="1" t="s">
        <v>671</v>
      </c>
    </row>
    <row r="195" spans="1:5" x14ac:dyDescent="0.25">
      <c r="A195" s="1" t="s">
        <v>669</v>
      </c>
      <c r="B195" s="1" t="s">
        <v>674</v>
      </c>
      <c r="C195" s="1" t="s">
        <v>673</v>
      </c>
      <c r="D195" s="3">
        <v>981020037323484</v>
      </c>
      <c r="E195" s="1" t="s">
        <v>672</v>
      </c>
    </row>
    <row r="196" spans="1:5" x14ac:dyDescent="0.25">
      <c r="A196" s="1" t="s">
        <v>669</v>
      </c>
      <c r="B196" s="1" t="s">
        <v>68</v>
      </c>
      <c r="C196" s="1" t="s">
        <v>675</v>
      </c>
      <c r="D196" s="3" t="s">
        <v>676</v>
      </c>
      <c r="E196" s="1" t="s">
        <v>677</v>
      </c>
    </row>
    <row r="197" spans="1:5" x14ac:dyDescent="0.25">
      <c r="A197" s="1" t="s">
        <v>669</v>
      </c>
      <c r="B197" s="1" t="s">
        <v>215</v>
      </c>
      <c r="C197" s="1" t="s">
        <v>679</v>
      </c>
      <c r="D197" s="3">
        <v>981020035173053</v>
      </c>
      <c r="E197" s="1" t="s">
        <v>678</v>
      </c>
    </row>
    <row r="198" spans="1:5" x14ac:dyDescent="0.25">
      <c r="A198" s="1" t="s">
        <v>680</v>
      </c>
      <c r="B198" s="1" t="s">
        <v>11</v>
      </c>
      <c r="C198" s="1" t="s">
        <v>681</v>
      </c>
      <c r="D198" s="3">
        <v>981020021462781</v>
      </c>
      <c r="E198" s="1" t="s">
        <v>682</v>
      </c>
    </row>
    <row r="199" spans="1:5" x14ac:dyDescent="0.25">
      <c r="A199" s="1" t="s">
        <v>684</v>
      </c>
      <c r="B199" s="1" t="s">
        <v>42</v>
      </c>
      <c r="C199" s="1" t="s">
        <v>685</v>
      </c>
      <c r="D199" s="3">
        <v>981020023586014</v>
      </c>
      <c r="E199" s="1" t="s">
        <v>57</v>
      </c>
    </row>
    <row r="200" spans="1:5" x14ac:dyDescent="0.25">
      <c r="A200" s="1" t="s">
        <v>684</v>
      </c>
      <c r="B200" s="1" t="s">
        <v>688</v>
      </c>
      <c r="C200" s="1" t="s">
        <v>687</v>
      </c>
      <c r="D200" s="3">
        <v>981020033084361</v>
      </c>
      <c r="E200" s="1" t="s">
        <v>686</v>
      </c>
    </row>
    <row r="201" spans="1:5" x14ac:dyDescent="0.25">
      <c r="A201" s="1" t="s">
        <v>683</v>
      </c>
      <c r="B201" s="1" t="s">
        <v>75</v>
      </c>
      <c r="C201" s="1" t="s">
        <v>689</v>
      </c>
      <c r="D201" s="3">
        <v>981020023684540</v>
      </c>
      <c r="E201" s="1" t="s">
        <v>690</v>
      </c>
    </row>
    <row r="202" spans="1:5" x14ac:dyDescent="0.25">
      <c r="A202" s="1" t="s">
        <v>692</v>
      </c>
      <c r="B202" s="1" t="s">
        <v>105</v>
      </c>
      <c r="C202" s="1" t="s">
        <v>693</v>
      </c>
      <c r="D202" s="3">
        <v>981020033601973</v>
      </c>
      <c r="E202" s="1" t="s">
        <v>694</v>
      </c>
    </row>
    <row r="203" spans="1:5" x14ac:dyDescent="0.25">
      <c r="A203" s="1" t="s">
        <v>692</v>
      </c>
      <c r="B203" s="1" t="s">
        <v>697</v>
      </c>
      <c r="C203" s="1" t="s">
        <v>696</v>
      </c>
      <c r="D203" s="3">
        <v>981020037317644</v>
      </c>
      <c r="E203" s="1" t="s">
        <v>695</v>
      </c>
    </row>
    <row r="204" spans="1:5" x14ac:dyDescent="0.25">
      <c r="A204" s="1" t="s">
        <v>719</v>
      </c>
      <c r="B204" s="1" t="s">
        <v>17</v>
      </c>
      <c r="C204" s="1" t="s">
        <v>720</v>
      </c>
      <c r="D204" s="3">
        <v>981020033732667</v>
      </c>
      <c r="E204" s="1" t="s">
        <v>721</v>
      </c>
    </row>
    <row r="205" spans="1:5" x14ac:dyDescent="0.25">
      <c r="A205" s="1" t="s">
        <v>719</v>
      </c>
      <c r="B205" s="1" t="s">
        <v>722</v>
      </c>
      <c r="C205" s="1" t="s">
        <v>723</v>
      </c>
      <c r="D205" s="3">
        <v>981020045119030</v>
      </c>
      <c r="E205" s="1" t="s">
        <v>724</v>
      </c>
    </row>
    <row r="206" spans="1:5" x14ac:dyDescent="0.25">
      <c r="A206" s="1" t="s">
        <v>698</v>
      </c>
      <c r="B206" s="1" t="s">
        <v>7</v>
      </c>
      <c r="C206" s="1" t="s">
        <v>699</v>
      </c>
      <c r="D206" s="3">
        <v>981020019489831</v>
      </c>
      <c r="E206" s="1" t="s">
        <v>700</v>
      </c>
    </row>
    <row r="207" spans="1:5" x14ac:dyDescent="0.25">
      <c r="A207" s="1" t="s">
        <v>701</v>
      </c>
      <c r="B207" s="1" t="s">
        <v>294</v>
      </c>
      <c r="C207" s="1" t="s">
        <v>702</v>
      </c>
      <c r="D207" s="3">
        <v>981020037352330</v>
      </c>
      <c r="E207" s="1" t="s">
        <v>703</v>
      </c>
    </row>
    <row r="208" spans="1:5" x14ac:dyDescent="0.25">
      <c r="A208" s="1" t="s">
        <v>725</v>
      </c>
      <c r="B208" s="1" t="s">
        <v>64</v>
      </c>
      <c r="C208" s="1" t="s">
        <v>726</v>
      </c>
      <c r="D208" s="3">
        <v>981020019354353</v>
      </c>
      <c r="E208" s="1" t="s">
        <v>727</v>
      </c>
    </row>
    <row r="209" spans="1:5" x14ac:dyDescent="0.25">
      <c r="A209" s="1" t="s">
        <v>704</v>
      </c>
      <c r="B209" s="1" t="s">
        <v>111</v>
      </c>
      <c r="C209" s="1" t="s">
        <v>705</v>
      </c>
      <c r="D209" s="3">
        <v>933000220007529</v>
      </c>
      <c r="E209" s="1" t="s">
        <v>706</v>
      </c>
    </row>
    <row r="210" spans="1:5" x14ac:dyDescent="0.25">
      <c r="A210" s="1" t="s">
        <v>707</v>
      </c>
      <c r="B210" s="1" t="s">
        <v>28</v>
      </c>
      <c r="C210" s="1" t="s">
        <v>708</v>
      </c>
      <c r="D210" s="3">
        <v>981020037589324</v>
      </c>
      <c r="E210" s="1" t="s">
        <v>695</v>
      </c>
    </row>
    <row r="211" spans="1:5" x14ac:dyDescent="0.25">
      <c r="A211" s="1" t="s">
        <v>709</v>
      </c>
      <c r="B211" s="1" t="s">
        <v>423</v>
      </c>
      <c r="C211" s="1" t="s">
        <v>710</v>
      </c>
      <c r="D211" s="3">
        <v>981020033596144</v>
      </c>
      <c r="E211" s="1" t="s">
        <v>711</v>
      </c>
    </row>
    <row r="212" spans="1:5" x14ac:dyDescent="0.25">
      <c r="A212" s="1" t="s">
        <v>709</v>
      </c>
      <c r="B212" s="1" t="s">
        <v>712</v>
      </c>
      <c r="C212" s="1" t="s">
        <v>713</v>
      </c>
      <c r="D212" s="3">
        <v>981020037575310</v>
      </c>
      <c r="E212" s="1" t="s">
        <v>714</v>
      </c>
    </row>
    <row r="213" spans="1:5" ht="30" x14ac:dyDescent="0.25">
      <c r="A213" s="1" t="s">
        <v>715</v>
      </c>
      <c r="B213" s="1" t="s">
        <v>389</v>
      </c>
      <c r="C213" s="1" t="s">
        <v>716</v>
      </c>
      <c r="D213" s="15" t="s">
        <v>717</v>
      </c>
      <c r="E213" s="1" t="s">
        <v>718</v>
      </c>
    </row>
    <row r="214" spans="1:5" x14ac:dyDescent="0.25">
      <c r="A214" s="1" t="s">
        <v>728</v>
      </c>
      <c r="B214" s="1" t="s">
        <v>729</v>
      </c>
      <c r="C214" s="1" t="s">
        <v>730</v>
      </c>
      <c r="D214" s="3" t="s">
        <v>731</v>
      </c>
      <c r="E214" s="1" t="s">
        <v>275</v>
      </c>
    </row>
    <row r="215" spans="1:5" x14ac:dyDescent="0.25">
      <c r="A215" s="1" t="s">
        <v>732</v>
      </c>
      <c r="B215" s="1" t="s">
        <v>44</v>
      </c>
      <c r="C215" s="1" t="s">
        <v>733</v>
      </c>
      <c r="D215" s="3">
        <v>981020041789646</v>
      </c>
      <c r="E215" s="1" t="s">
        <v>734</v>
      </c>
    </row>
    <row r="216" spans="1:5" x14ac:dyDescent="0.25">
      <c r="A216" s="1" t="s">
        <v>735</v>
      </c>
      <c r="B216" s="1" t="s">
        <v>48</v>
      </c>
      <c r="C216" s="1" t="s">
        <v>736</v>
      </c>
      <c r="D216" s="3">
        <v>981020037786701</v>
      </c>
      <c r="E216" s="1" t="s">
        <v>737</v>
      </c>
    </row>
    <row r="217" spans="1:5" x14ac:dyDescent="0.25">
      <c r="A217" s="1" t="s">
        <v>738</v>
      </c>
      <c r="B217" s="1" t="s">
        <v>632</v>
      </c>
      <c r="C217" s="1" t="s">
        <v>739</v>
      </c>
      <c r="D217" s="3">
        <v>981020037816860</v>
      </c>
      <c r="E217" s="1" t="s">
        <v>740</v>
      </c>
    </row>
    <row r="218" spans="1:5" x14ac:dyDescent="0.25">
      <c r="A218" s="1" t="s">
        <v>741</v>
      </c>
      <c r="B218" s="1" t="s">
        <v>85</v>
      </c>
      <c r="C218" s="1" t="s">
        <v>742</v>
      </c>
      <c r="D218" s="3">
        <v>981020019156880</v>
      </c>
      <c r="E218" s="1" t="s">
        <v>743</v>
      </c>
    </row>
    <row r="219" spans="1:5" x14ac:dyDescent="0.25">
      <c r="A219" s="1" t="s">
        <v>744</v>
      </c>
      <c r="B219" s="1" t="s">
        <v>745</v>
      </c>
      <c r="C219" s="1" t="s">
        <v>746</v>
      </c>
      <c r="D219" s="3">
        <v>981020021540884</v>
      </c>
      <c r="E219" s="1" t="s">
        <v>748</v>
      </c>
    </row>
    <row r="220" spans="1:5" x14ac:dyDescent="0.25">
      <c r="A220" s="1" t="s">
        <v>744</v>
      </c>
      <c r="B220" s="1" t="s">
        <v>750</v>
      </c>
      <c r="C220" s="1" t="s">
        <v>749</v>
      </c>
      <c r="D220" s="3">
        <v>981020035164928</v>
      </c>
      <c r="E220" s="1" t="s">
        <v>747</v>
      </c>
    </row>
    <row r="221" spans="1:5" x14ac:dyDescent="0.25">
      <c r="A221" s="1" t="s">
        <v>744</v>
      </c>
      <c r="B221" s="1" t="s">
        <v>187</v>
      </c>
      <c r="C221" s="1" t="s">
        <v>751</v>
      </c>
      <c r="D221" s="3">
        <v>981020035774749</v>
      </c>
      <c r="E221" s="1" t="s">
        <v>752</v>
      </c>
    </row>
    <row r="222" spans="1:5" x14ac:dyDescent="0.25">
      <c r="A222" s="1" t="s">
        <v>753</v>
      </c>
      <c r="B222" s="1" t="s">
        <v>607</v>
      </c>
      <c r="C222" s="1" t="s">
        <v>754</v>
      </c>
      <c r="D222" s="3">
        <v>981020037794237</v>
      </c>
      <c r="E222" s="1" t="s">
        <v>755</v>
      </c>
    </row>
    <row r="223" spans="1:5" x14ac:dyDescent="0.25">
      <c r="A223" s="1" t="s">
        <v>762</v>
      </c>
      <c r="B223" s="1" t="s">
        <v>45</v>
      </c>
      <c r="C223" s="1" t="s">
        <v>763</v>
      </c>
      <c r="D223" s="3">
        <v>981020037352313</v>
      </c>
      <c r="E223" s="1" t="s">
        <v>766</v>
      </c>
    </row>
    <row r="224" spans="1:5" x14ac:dyDescent="0.25">
      <c r="A224" s="1" t="s">
        <v>764</v>
      </c>
      <c r="B224" s="1" t="s">
        <v>11</v>
      </c>
      <c r="C224" s="1" t="s">
        <v>765</v>
      </c>
      <c r="D224" s="3">
        <v>985141001086610</v>
      </c>
      <c r="E224" s="1" t="s">
        <v>767</v>
      </c>
    </row>
    <row r="225" spans="1:5" x14ac:dyDescent="0.25">
      <c r="A225" s="1" t="s">
        <v>756</v>
      </c>
      <c r="B225" s="1" t="s">
        <v>66</v>
      </c>
      <c r="C225" s="1" t="s">
        <v>760</v>
      </c>
      <c r="D225" s="3">
        <v>981020037328569</v>
      </c>
      <c r="E225" s="1" t="s">
        <v>761</v>
      </c>
    </row>
    <row r="226" spans="1:5" x14ac:dyDescent="0.25">
      <c r="A226" s="1" t="s">
        <v>756</v>
      </c>
      <c r="B226" s="1" t="s">
        <v>757</v>
      </c>
      <c r="C226" s="1" t="s">
        <v>758</v>
      </c>
      <c r="D226" s="3">
        <v>985111001763426</v>
      </c>
      <c r="E226" s="1" t="s">
        <v>759</v>
      </c>
    </row>
    <row r="227" spans="1:5" x14ac:dyDescent="0.25">
      <c r="A227" s="1" t="s">
        <v>756</v>
      </c>
      <c r="B227" s="1" t="s">
        <v>769</v>
      </c>
      <c r="C227" s="1" t="s">
        <v>770</v>
      </c>
      <c r="D227" s="3">
        <v>981020041804115</v>
      </c>
      <c r="E227" s="1" t="s">
        <v>771</v>
      </c>
    </row>
    <row r="228" spans="1:5" x14ac:dyDescent="0.25">
      <c r="A228" s="1" t="s">
        <v>768</v>
      </c>
      <c r="B228" s="1" t="s">
        <v>7</v>
      </c>
      <c r="C228" s="1" t="s">
        <v>772</v>
      </c>
      <c r="D228" s="3">
        <v>990000004659987</v>
      </c>
      <c r="E228" s="1" t="s">
        <v>773</v>
      </c>
    </row>
    <row r="229" spans="1:5" x14ac:dyDescent="0.25">
      <c r="A229" s="1" t="s">
        <v>774</v>
      </c>
      <c r="B229" s="1" t="s">
        <v>92</v>
      </c>
      <c r="C229" s="1" t="s">
        <v>775</v>
      </c>
      <c r="D229" s="3">
        <v>981020049626260</v>
      </c>
      <c r="E229" s="1" t="s">
        <v>776</v>
      </c>
    </row>
    <row r="230" spans="1:5" x14ac:dyDescent="0.25">
      <c r="A230" s="1" t="s">
        <v>774</v>
      </c>
      <c r="B230" s="1" t="s">
        <v>74</v>
      </c>
      <c r="C230" s="1" t="s">
        <v>777</v>
      </c>
      <c r="D230" s="3">
        <v>981020045133703</v>
      </c>
      <c r="E230" s="1" t="s">
        <v>78</v>
      </c>
    </row>
    <row r="231" spans="1:5" x14ac:dyDescent="0.25">
      <c r="A231" s="1" t="s">
        <v>774</v>
      </c>
      <c r="B231" s="1" t="s">
        <v>778</v>
      </c>
      <c r="C231" s="1" t="s">
        <v>779</v>
      </c>
      <c r="D231" s="3">
        <v>981020033116628</v>
      </c>
      <c r="E231" s="1" t="s">
        <v>780</v>
      </c>
    </row>
    <row r="232" spans="1:5" x14ac:dyDescent="0.25">
      <c r="A232" s="1" t="s">
        <v>783</v>
      </c>
      <c r="B232" s="1" t="s">
        <v>318</v>
      </c>
      <c r="C232" s="1" t="s">
        <v>782</v>
      </c>
      <c r="D232" s="3">
        <v>900182001156503</v>
      </c>
      <c r="E232" s="1" t="s">
        <v>781</v>
      </c>
    </row>
    <row r="233" spans="1:5" x14ac:dyDescent="0.25">
      <c r="A233" s="1" t="s">
        <v>794</v>
      </c>
      <c r="B233" s="1" t="s">
        <v>31</v>
      </c>
      <c r="C233" s="1" t="s">
        <v>795</v>
      </c>
      <c r="D233" s="3">
        <v>981020039337369</v>
      </c>
      <c r="E233" s="1" t="s">
        <v>796</v>
      </c>
    </row>
    <row r="234" spans="1:5" x14ac:dyDescent="0.25">
      <c r="A234" s="1" t="s">
        <v>797</v>
      </c>
      <c r="B234" s="1" t="s">
        <v>15</v>
      </c>
      <c r="C234" s="1" t="s">
        <v>798</v>
      </c>
      <c r="D234" s="3">
        <v>981020037818757</v>
      </c>
      <c r="E234" s="1" t="s">
        <v>799</v>
      </c>
    </row>
    <row r="235" spans="1:5" x14ac:dyDescent="0.25">
      <c r="A235" s="1" t="s">
        <v>802</v>
      </c>
      <c r="B235" s="1" t="s">
        <v>45</v>
      </c>
      <c r="C235" s="1" t="s">
        <v>801</v>
      </c>
      <c r="D235" s="3">
        <v>981020049671062</v>
      </c>
      <c r="E235" s="1" t="s">
        <v>800</v>
      </c>
    </row>
    <row r="236" spans="1:5" x14ac:dyDescent="0.25">
      <c r="A236" s="1" t="s">
        <v>803</v>
      </c>
      <c r="B236" s="1" t="s">
        <v>43</v>
      </c>
      <c r="C236" s="1" t="s">
        <v>804</v>
      </c>
      <c r="D236" s="3">
        <v>981020041804096</v>
      </c>
      <c r="E236" s="1" t="s">
        <v>54</v>
      </c>
    </row>
    <row r="237" spans="1:5" x14ac:dyDescent="0.25">
      <c r="A237" s="1"/>
      <c r="B237" s="1" t="s">
        <v>11</v>
      </c>
      <c r="C237" s="1" t="s">
        <v>806</v>
      </c>
      <c r="D237" s="3">
        <v>981020037357859</v>
      </c>
      <c r="E237" s="1" t="s">
        <v>805</v>
      </c>
    </row>
    <row r="238" spans="1:5" x14ac:dyDescent="0.25">
      <c r="A238" s="1" t="s">
        <v>807</v>
      </c>
      <c r="B238" s="1" t="s">
        <v>43</v>
      </c>
      <c r="C238" s="1" t="s">
        <v>808</v>
      </c>
      <c r="D238" s="3">
        <v>981020045101678</v>
      </c>
      <c r="E238" s="1" t="s">
        <v>809</v>
      </c>
    </row>
    <row r="239" spans="1:5" x14ac:dyDescent="0.25">
      <c r="A239" s="1" t="s">
        <v>807</v>
      </c>
      <c r="B239" s="1" t="s">
        <v>812</v>
      </c>
      <c r="C239" s="1" t="s">
        <v>811</v>
      </c>
      <c r="D239" s="3">
        <v>981020037327746</v>
      </c>
      <c r="E239" s="1" t="s">
        <v>810</v>
      </c>
    </row>
    <row r="240" spans="1:5" x14ac:dyDescent="0.25">
      <c r="A240" s="1" t="s">
        <v>807</v>
      </c>
      <c r="B240" s="1" t="s">
        <v>52</v>
      </c>
      <c r="C240" s="1" t="s">
        <v>813</v>
      </c>
      <c r="D240" s="3">
        <v>981020037361725</v>
      </c>
      <c r="E240" s="1" t="s">
        <v>87</v>
      </c>
    </row>
    <row r="241" spans="1:5" x14ac:dyDescent="0.25">
      <c r="A241" s="1" t="s">
        <v>816</v>
      </c>
      <c r="B241" s="1" t="s">
        <v>815</v>
      </c>
      <c r="C241" s="1" t="s">
        <v>814</v>
      </c>
      <c r="D241" s="3">
        <v>981020033764614</v>
      </c>
      <c r="E241" s="1" t="s">
        <v>91</v>
      </c>
    </row>
    <row r="242" spans="1:5" x14ac:dyDescent="0.25">
      <c r="A242" s="1" t="s">
        <v>817</v>
      </c>
      <c r="B242" s="1" t="s">
        <v>389</v>
      </c>
      <c r="C242" s="1" t="s">
        <v>818</v>
      </c>
      <c r="D242" s="3">
        <v>981020039658774</v>
      </c>
      <c r="E242" s="1" t="s">
        <v>819</v>
      </c>
    </row>
    <row r="243" spans="1:5" x14ac:dyDescent="0.25">
      <c r="A243" s="1" t="s">
        <v>821</v>
      </c>
      <c r="B243" s="1" t="s">
        <v>85</v>
      </c>
      <c r="C243" s="1" t="s">
        <v>820</v>
      </c>
      <c r="D243" s="3">
        <v>981020023559171</v>
      </c>
      <c r="E243" s="1" t="s">
        <v>228</v>
      </c>
    </row>
    <row r="244" spans="1:5" x14ac:dyDescent="0.25">
      <c r="A244" s="1" t="s">
        <v>822</v>
      </c>
      <c r="B244" s="1" t="s">
        <v>98</v>
      </c>
      <c r="C244" s="1" t="s">
        <v>823</v>
      </c>
      <c r="D244" s="3">
        <v>981020033583869</v>
      </c>
      <c r="E244" s="1" t="s">
        <v>653</v>
      </c>
    </row>
    <row r="245" spans="1:5" x14ac:dyDescent="0.25">
      <c r="A245" s="1" t="s">
        <v>826</v>
      </c>
      <c r="B245" s="1" t="s">
        <v>66</v>
      </c>
      <c r="C245" s="1" t="s">
        <v>825</v>
      </c>
      <c r="D245" s="3">
        <v>981020045097395</v>
      </c>
      <c r="E245" s="1" t="s">
        <v>824</v>
      </c>
    </row>
    <row r="246" spans="1:5" x14ac:dyDescent="0.25">
      <c r="A246" s="1" t="s">
        <v>827</v>
      </c>
      <c r="B246" s="1" t="s">
        <v>589</v>
      </c>
      <c r="C246" s="1" t="s">
        <v>828</v>
      </c>
      <c r="D246" s="3">
        <v>981020039336371</v>
      </c>
      <c r="E246" s="1" t="s">
        <v>829</v>
      </c>
    </row>
    <row r="247" spans="1:5" x14ac:dyDescent="0.25">
      <c r="A247" s="1" t="s">
        <v>827</v>
      </c>
      <c r="B247" s="1" t="s">
        <v>597</v>
      </c>
      <c r="C247" s="1" t="s">
        <v>831</v>
      </c>
      <c r="D247" s="3">
        <v>981020039151699</v>
      </c>
      <c r="E247" s="1" t="s">
        <v>830</v>
      </c>
    </row>
    <row r="248" spans="1:5" x14ac:dyDescent="0.25">
      <c r="A248" s="1" t="s">
        <v>827</v>
      </c>
      <c r="B248" s="1" t="s">
        <v>832</v>
      </c>
      <c r="C248" s="1" t="s">
        <v>833</v>
      </c>
      <c r="D248" s="3">
        <v>981020037317314</v>
      </c>
      <c r="E248" s="1" t="s">
        <v>834</v>
      </c>
    </row>
    <row r="249" spans="1:5" x14ac:dyDescent="0.25">
      <c r="A249" s="1" t="s">
        <v>838</v>
      </c>
      <c r="B249" s="1" t="s">
        <v>837</v>
      </c>
      <c r="C249" s="1" t="s">
        <v>836</v>
      </c>
      <c r="D249" s="3">
        <v>981020037654774</v>
      </c>
      <c r="E249" s="1" t="s">
        <v>835</v>
      </c>
    </row>
    <row r="250" spans="1:5" x14ac:dyDescent="0.25">
      <c r="A250" s="1" t="s">
        <v>839</v>
      </c>
      <c r="B250" s="1" t="s">
        <v>840</v>
      </c>
      <c r="C250" s="1" t="s">
        <v>841</v>
      </c>
      <c r="D250" s="3">
        <v>981020045155928</v>
      </c>
      <c r="E250" s="1" t="s">
        <v>842</v>
      </c>
    </row>
    <row r="251" spans="1:5" x14ac:dyDescent="0.25">
      <c r="A251" s="1" t="s">
        <v>844</v>
      </c>
      <c r="B251" s="1" t="s">
        <v>812</v>
      </c>
      <c r="C251" s="1" t="s">
        <v>843</v>
      </c>
      <c r="D251" s="3">
        <v>981020045108192</v>
      </c>
      <c r="E251" s="1" t="s">
        <v>54</v>
      </c>
    </row>
    <row r="252" spans="1:5" x14ac:dyDescent="0.25">
      <c r="A252" s="9" t="s">
        <v>844</v>
      </c>
      <c r="B252" s="1" t="s">
        <v>105</v>
      </c>
      <c r="C252" s="1" t="s">
        <v>845</v>
      </c>
      <c r="D252" s="3">
        <v>981020035704298</v>
      </c>
      <c r="E252" s="1" t="s">
        <v>846</v>
      </c>
    </row>
    <row r="253" spans="1:5" x14ac:dyDescent="0.25">
      <c r="A253" s="1" t="s">
        <v>849</v>
      </c>
      <c r="B253" s="1" t="s">
        <v>10</v>
      </c>
      <c r="C253" s="1" t="s">
        <v>848</v>
      </c>
      <c r="D253" s="3">
        <v>981020041792036</v>
      </c>
      <c r="E253" s="1" t="s">
        <v>847</v>
      </c>
    </row>
    <row r="254" spans="1:5" x14ac:dyDescent="0.25">
      <c r="A254" s="1"/>
      <c r="B254" s="1"/>
      <c r="C254" s="1"/>
      <c r="D254" s="3"/>
      <c r="E254" s="1"/>
    </row>
    <row r="255" spans="1:5" x14ac:dyDescent="0.25">
      <c r="A255" s="1"/>
      <c r="B255" s="1"/>
      <c r="C255" s="1"/>
      <c r="D255" s="3"/>
      <c r="E255" s="1"/>
    </row>
    <row r="256" spans="1:5" x14ac:dyDescent="0.25">
      <c r="A256" s="1"/>
      <c r="B256" s="1"/>
      <c r="C256" s="1"/>
      <c r="D256" s="3"/>
      <c r="E256" s="1"/>
    </row>
    <row r="257" spans="1:5" x14ac:dyDescent="0.25">
      <c r="A257" s="1"/>
      <c r="B257" s="1"/>
      <c r="C257" s="1"/>
      <c r="D257" s="3"/>
      <c r="E257" s="1"/>
    </row>
    <row r="258" spans="1:5" x14ac:dyDescent="0.25">
      <c r="A258" s="1"/>
      <c r="B258" s="1"/>
      <c r="C258" s="1"/>
      <c r="D258" s="3"/>
      <c r="E258" s="1"/>
    </row>
    <row r="259" spans="1:5" x14ac:dyDescent="0.25">
      <c r="A259" s="1"/>
      <c r="B259" s="1"/>
      <c r="C259" s="1"/>
      <c r="D259" s="3"/>
      <c r="E259" s="1"/>
    </row>
    <row r="260" spans="1:5" x14ac:dyDescent="0.25">
      <c r="A260" s="1"/>
      <c r="B260" s="1"/>
      <c r="C260" s="1"/>
      <c r="D260" s="3"/>
      <c r="E260" s="1"/>
    </row>
    <row r="261" spans="1:5" x14ac:dyDescent="0.25">
      <c r="A261" s="1"/>
      <c r="B261" s="1"/>
      <c r="C261" s="1"/>
      <c r="D261" s="3"/>
      <c r="E261" s="1"/>
    </row>
    <row r="262" spans="1:5" x14ac:dyDescent="0.25">
      <c r="A262" s="1"/>
      <c r="B262" s="1"/>
      <c r="C262" s="1"/>
      <c r="D262" s="3"/>
      <c r="E262" s="1"/>
    </row>
    <row r="263" spans="1:5" x14ac:dyDescent="0.25">
      <c r="A263" s="1"/>
      <c r="B263" s="1"/>
      <c r="C263" s="1"/>
      <c r="D263" s="3"/>
      <c r="E263" s="1"/>
    </row>
    <row r="264" spans="1:5" x14ac:dyDescent="0.25">
      <c r="A264" s="1"/>
      <c r="B264" s="1"/>
      <c r="C264" s="1"/>
      <c r="D264" s="3"/>
      <c r="E264" s="1"/>
    </row>
    <row r="265" spans="1:5" x14ac:dyDescent="0.25">
      <c r="A265" s="1"/>
      <c r="B265" s="1"/>
      <c r="C265" s="1"/>
      <c r="D265" s="3"/>
      <c r="E265" s="1"/>
    </row>
    <row r="266" spans="1:5" x14ac:dyDescent="0.25">
      <c r="A266" s="1"/>
      <c r="B266" s="1"/>
      <c r="C266" s="1"/>
      <c r="D266" s="3"/>
      <c r="E266" s="1"/>
    </row>
    <row r="267" spans="1:5" x14ac:dyDescent="0.25">
      <c r="A267" s="9"/>
      <c r="B267" s="1"/>
      <c r="C267" s="1"/>
      <c r="D267" s="3"/>
      <c r="E267" s="1"/>
    </row>
    <row r="268" spans="1:5" x14ac:dyDescent="0.25">
      <c r="A268" s="1"/>
      <c r="B268" s="1"/>
      <c r="C268" s="1"/>
      <c r="D268" s="3"/>
      <c r="E268" s="1"/>
    </row>
    <row r="269" spans="1:5" x14ac:dyDescent="0.25">
      <c r="A269" s="9"/>
      <c r="B269" s="1"/>
      <c r="C269" s="1"/>
      <c r="D269" s="3"/>
      <c r="E269" s="1"/>
    </row>
    <row r="270" spans="1:5" x14ac:dyDescent="0.25">
      <c r="A270" s="10"/>
      <c r="B270" s="10"/>
      <c r="C270" s="10"/>
      <c r="D270" s="11"/>
      <c r="E270" s="10"/>
    </row>
    <row r="271" spans="1:5" x14ac:dyDescent="0.25">
      <c r="A271" s="1"/>
      <c r="B271" s="1"/>
      <c r="C271" s="1"/>
      <c r="D271" s="3"/>
      <c r="E271" s="1"/>
    </row>
    <row r="272" spans="1:5" x14ac:dyDescent="0.25">
      <c r="A272" s="1"/>
      <c r="B272" s="1"/>
      <c r="C272" s="1"/>
      <c r="D272" s="3"/>
      <c r="E272" s="1"/>
    </row>
    <row r="273" spans="1:5" x14ac:dyDescent="0.25">
      <c r="A273" s="1"/>
      <c r="B273" s="1"/>
      <c r="C273" s="1"/>
      <c r="D273" s="3"/>
      <c r="E273" s="1"/>
    </row>
    <row r="274" spans="1:5" x14ac:dyDescent="0.25">
      <c r="A274" s="1"/>
      <c r="B274" s="1"/>
      <c r="C274" s="1"/>
      <c r="D274" s="3"/>
      <c r="E274" s="1"/>
    </row>
    <row r="275" spans="1:5" x14ac:dyDescent="0.25">
      <c r="A275" s="1"/>
      <c r="B275" s="1"/>
      <c r="C275" s="1"/>
      <c r="D275" s="3"/>
      <c r="E275" s="1"/>
    </row>
    <row r="276" spans="1:5" x14ac:dyDescent="0.25">
      <c r="A276" s="1"/>
      <c r="B276" s="1"/>
      <c r="C276" s="1"/>
      <c r="D276" s="3"/>
      <c r="E276" s="1"/>
    </row>
    <row r="277" spans="1:5" x14ac:dyDescent="0.25">
      <c r="A277" s="1"/>
      <c r="B277" s="1"/>
      <c r="C277" s="1"/>
      <c r="D277" s="3"/>
      <c r="E277" s="1"/>
    </row>
    <row r="278" spans="1:5" x14ac:dyDescent="0.25">
      <c r="A278" s="1"/>
      <c r="B278" s="1"/>
      <c r="C278" s="1"/>
      <c r="D278" s="3"/>
      <c r="E278" s="1"/>
    </row>
    <row r="279" spans="1:5" x14ac:dyDescent="0.25">
      <c r="A279" s="1"/>
      <c r="B279" s="1"/>
      <c r="C279" s="1"/>
      <c r="D279" s="3"/>
      <c r="E279" s="1"/>
    </row>
    <row r="280" spans="1:5" x14ac:dyDescent="0.25">
      <c r="A280" s="1"/>
      <c r="B280" s="1"/>
      <c r="C280" s="1"/>
      <c r="D280" s="3"/>
      <c r="E280" s="1"/>
    </row>
    <row r="281" spans="1:5" x14ac:dyDescent="0.25">
      <c r="A281" s="1"/>
      <c r="B281" s="1"/>
      <c r="C281" s="1"/>
      <c r="D281" s="3"/>
      <c r="E281" s="1"/>
    </row>
    <row r="282" spans="1:5" x14ac:dyDescent="0.25">
      <c r="A282" s="1"/>
      <c r="B282" s="1"/>
      <c r="C282" s="1"/>
      <c r="D282" s="3"/>
      <c r="E282" s="1"/>
    </row>
    <row r="283" spans="1:5" x14ac:dyDescent="0.25">
      <c r="A283" s="1"/>
      <c r="B283" s="1"/>
      <c r="C283" s="1"/>
      <c r="D283" s="3"/>
      <c r="E283" s="1"/>
    </row>
    <row r="284" spans="1:5" x14ac:dyDescent="0.25">
      <c r="A284" s="1"/>
      <c r="B284" s="1"/>
      <c r="C284" s="1"/>
      <c r="D284" s="3"/>
      <c r="E284" s="1"/>
    </row>
    <row r="285" spans="1:5" x14ac:dyDescent="0.25">
      <c r="A285" s="1"/>
      <c r="B285" s="1"/>
      <c r="C285" s="1"/>
      <c r="D285" s="3"/>
      <c r="E285" s="1"/>
    </row>
    <row r="286" spans="1:5" x14ac:dyDescent="0.25">
      <c r="A286" s="1"/>
      <c r="B286" s="1"/>
      <c r="C286" s="1"/>
      <c r="D286" s="3"/>
      <c r="E286" s="1"/>
    </row>
    <row r="287" spans="1:5" x14ac:dyDescent="0.25">
      <c r="A287" s="1"/>
      <c r="B287" s="1"/>
      <c r="C287" s="1"/>
      <c r="D287" s="3"/>
      <c r="E287" s="1"/>
    </row>
    <row r="288" spans="1:5" x14ac:dyDescent="0.25">
      <c r="A288" s="1"/>
      <c r="B288" s="1"/>
      <c r="C288" s="1"/>
      <c r="D288" s="3"/>
      <c r="E288" s="1"/>
    </row>
    <row r="289" spans="1:5" x14ac:dyDescent="0.25">
      <c r="A289" s="1"/>
      <c r="B289" s="1"/>
      <c r="C289" s="1"/>
      <c r="D289" s="3"/>
      <c r="E289" s="1"/>
    </row>
    <row r="290" spans="1:5" x14ac:dyDescent="0.25">
      <c r="A290" s="1"/>
      <c r="B290" s="1"/>
      <c r="C290" s="1"/>
      <c r="D290" s="3"/>
      <c r="E290" s="1"/>
    </row>
    <row r="291" spans="1:5" x14ac:dyDescent="0.25">
      <c r="A291" s="1"/>
      <c r="B291" s="1"/>
      <c r="C291" s="1"/>
      <c r="D291" s="3"/>
      <c r="E291" s="1"/>
    </row>
    <row r="292" spans="1:5" x14ac:dyDescent="0.25">
      <c r="A292" s="1"/>
      <c r="B292" s="1"/>
      <c r="C292" s="1"/>
      <c r="D292" s="3"/>
      <c r="E292" s="1"/>
    </row>
    <row r="293" spans="1:5" x14ac:dyDescent="0.25">
      <c r="A293" s="1"/>
      <c r="B293" s="1"/>
      <c r="C293" s="1"/>
      <c r="D293" s="3"/>
      <c r="E293" s="1"/>
    </row>
    <row r="294" spans="1:5" x14ac:dyDescent="0.25">
      <c r="A294" s="1"/>
      <c r="B294" s="1"/>
      <c r="C294" s="1"/>
      <c r="D294" s="3"/>
      <c r="E294" s="1"/>
    </row>
    <row r="295" spans="1:5" x14ac:dyDescent="0.25">
      <c r="A295" s="1"/>
      <c r="B295" s="1"/>
      <c r="C295" s="1"/>
      <c r="D295" s="3"/>
      <c r="E295" s="1"/>
    </row>
    <row r="296" spans="1:5" x14ac:dyDescent="0.25">
      <c r="A296" s="1"/>
      <c r="B296" s="1"/>
      <c r="C296" s="1"/>
      <c r="D296" s="3"/>
      <c r="E296" s="1"/>
    </row>
    <row r="297" spans="1:5" x14ac:dyDescent="0.25">
      <c r="A297" s="1"/>
      <c r="B297" s="1"/>
      <c r="C297" s="1"/>
      <c r="D297" s="3"/>
      <c r="E297" s="1"/>
    </row>
    <row r="298" spans="1:5" x14ac:dyDescent="0.25">
      <c r="A298" s="1"/>
      <c r="B298" s="1"/>
      <c r="C298" s="1"/>
      <c r="D298" s="3"/>
      <c r="E298" s="1"/>
    </row>
    <row r="299" spans="1:5" x14ac:dyDescent="0.25">
      <c r="A299" s="1"/>
      <c r="B299" s="1"/>
      <c r="C299" s="1"/>
      <c r="D299" s="3"/>
      <c r="E299" s="1"/>
    </row>
    <row r="300" spans="1:5" x14ac:dyDescent="0.25">
      <c r="A300" s="1"/>
      <c r="B300" s="1"/>
      <c r="C300" s="1"/>
      <c r="D300" s="3"/>
      <c r="E300" s="1"/>
    </row>
    <row r="301" spans="1:5" x14ac:dyDescent="0.25">
      <c r="A301" s="1"/>
      <c r="B301" s="1"/>
      <c r="C301" s="1"/>
      <c r="D301" s="3"/>
      <c r="E301" s="1"/>
    </row>
    <row r="302" spans="1:5" x14ac:dyDescent="0.25">
      <c r="A302" s="1"/>
      <c r="B302" s="1"/>
      <c r="C302" s="1"/>
      <c r="D302" s="3"/>
      <c r="E302" s="1"/>
    </row>
    <row r="303" spans="1:5" x14ac:dyDescent="0.25">
      <c r="A303" s="1"/>
      <c r="B303" s="1"/>
      <c r="C303" s="1"/>
      <c r="D303" s="3"/>
      <c r="E303" s="1"/>
    </row>
    <row r="304" spans="1:5" x14ac:dyDescent="0.25">
      <c r="A304" s="1"/>
      <c r="B304" s="1"/>
      <c r="C304" s="1"/>
      <c r="D304" s="3"/>
      <c r="E304" s="1"/>
    </row>
    <row r="305" spans="1:5" x14ac:dyDescent="0.25">
      <c r="B305" s="12"/>
      <c r="C305" s="12"/>
      <c r="D305" s="13"/>
      <c r="E305" s="12"/>
    </row>
    <row r="306" spans="1:5" x14ac:dyDescent="0.25">
      <c r="A306" s="1"/>
      <c r="B306" s="1"/>
      <c r="C306" s="1"/>
      <c r="D306" s="3"/>
      <c r="E306" s="1"/>
    </row>
    <row r="307" spans="1:5" x14ac:dyDescent="0.25">
      <c r="A307" s="1"/>
      <c r="B307" s="1"/>
      <c r="C307" s="1"/>
      <c r="D307" s="3"/>
      <c r="E307" s="1"/>
    </row>
    <row r="308" spans="1:5" x14ac:dyDescent="0.25">
      <c r="A308" s="1"/>
      <c r="B308" s="1"/>
      <c r="C308" s="1"/>
      <c r="D308" s="3"/>
      <c r="E308" s="1"/>
    </row>
    <row r="309" spans="1:5" x14ac:dyDescent="0.25">
      <c r="A309" s="1"/>
      <c r="B309" s="1"/>
      <c r="C309" s="1"/>
      <c r="D309" s="3"/>
      <c r="E309" s="1"/>
    </row>
    <row r="310" spans="1:5" x14ac:dyDescent="0.25">
      <c r="A310" s="1"/>
      <c r="B310" s="1"/>
      <c r="C310" s="1"/>
      <c r="D310" s="3"/>
      <c r="E310" s="1"/>
    </row>
    <row r="311" spans="1:5" x14ac:dyDescent="0.25">
      <c r="A311" s="1"/>
      <c r="B311" s="1"/>
      <c r="C311" s="1"/>
      <c r="D311" s="3"/>
      <c r="E311" s="1"/>
    </row>
    <row r="312" spans="1:5" x14ac:dyDescent="0.25">
      <c r="A312" s="1"/>
      <c r="B312" s="1"/>
      <c r="C312" s="1"/>
      <c r="D312" s="3"/>
      <c r="E312" s="1"/>
    </row>
    <row r="313" spans="1:5" x14ac:dyDescent="0.25">
      <c r="A313" s="1"/>
      <c r="B313" s="1"/>
      <c r="C313" s="1"/>
      <c r="D313" s="3"/>
      <c r="E313" s="1"/>
    </row>
    <row r="314" spans="1:5" x14ac:dyDescent="0.25">
      <c r="A314" s="1"/>
      <c r="B314" s="1"/>
      <c r="C314" s="1"/>
      <c r="D314" s="3"/>
      <c r="E314" s="1"/>
    </row>
    <row r="315" spans="1:5" x14ac:dyDescent="0.25">
      <c r="A315" s="1"/>
      <c r="B315" s="1"/>
      <c r="C315" s="1"/>
      <c r="D315" s="3"/>
      <c r="E315" s="1"/>
    </row>
    <row r="316" spans="1:5" x14ac:dyDescent="0.25">
      <c r="A316" s="1"/>
      <c r="B316" s="1"/>
      <c r="C316" s="1"/>
      <c r="D316" s="3"/>
      <c r="E316" s="1"/>
    </row>
    <row r="317" spans="1:5" x14ac:dyDescent="0.25">
      <c r="A317" s="1"/>
      <c r="B317" s="1"/>
      <c r="C317" s="1"/>
      <c r="D317" s="3"/>
      <c r="E317" s="1"/>
    </row>
    <row r="318" spans="1:5" x14ac:dyDescent="0.25">
      <c r="A318" s="1"/>
      <c r="B318" s="1"/>
      <c r="C318" s="1"/>
      <c r="D318" s="3"/>
      <c r="E318" s="1"/>
    </row>
    <row r="319" spans="1:5" x14ac:dyDescent="0.25">
      <c r="A319" s="1"/>
      <c r="B319" s="1"/>
      <c r="C319" s="1"/>
      <c r="D319" s="3"/>
      <c r="E319" s="1"/>
    </row>
    <row r="320" spans="1:5" x14ac:dyDescent="0.25">
      <c r="A320" s="1"/>
      <c r="B320" s="1"/>
      <c r="C320" s="1"/>
      <c r="D320" s="3"/>
      <c r="E320" s="1"/>
    </row>
    <row r="321" spans="1:5" x14ac:dyDescent="0.25">
      <c r="A321" s="1"/>
      <c r="B321" s="1"/>
      <c r="C321" s="1"/>
      <c r="D321" s="3"/>
      <c r="E321" s="1"/>
    </row>
    <row r="322" spans="1:5" x14ac:dyDescent="0.25">
      <c r="A322" s="1"/>
      <c r="B322" s="1"/>
      <c r="C322" s="1"/>
      <c r="D322" s="3"/>
      <c r="E322" s="1"/>
    </row>
    <row r="323" spans="1:5" x14ac:dyDescent="0.25">
      <c r="A323" s="1"/>
      <c r="B323" s="1"/>
      <c r="C323" s="1"/>
      <c r="D323" s="3"/>
      <c r="E323" s="1"/>
    </row>
    <row r="324" spans="1:5" x14ac:dyDescent="0.25">
      <c r="A324" s="1"/>
      <c r="B324" s="1"/>
      <c r="C324" s="1"/>
      <c r="D324" s="3"/>
      <c r="E324" s="1"/>
    </row>
    <row r="325" spans="1:5" x14ac:dyDescent="0.25">
      <c r="A325" s="1"/>
      <c r="B325" s="1"/>
      <c r="C325" s="1"/>
      <c r="D325" s="3"/>
      <c r="E325" s="1"/>
    </row>
    <row r="326" spans="1:5" x14ac:dyDescent="0.25">
      <c r="A326" s="1"/>
      <c r="B326" s="1"/>
      <c r="C326" s="1"/>
      <c r="D326" s="3"/>
      <c r="E326" s="1"/>
    </row>
    <row r="327" spans="1:5" x14ac:dyDescent="0.25">
      <c r="A327" s="1"/>
      <c r="B327" s="1"/>
      <c r="C327" s="1"/>
      <c r="D327" s="3"/>
      <c r="E327" s="1"/>
    </row>
    <row r="328" spans="1:5" x14ac:dyDescent="0.25">
      <c r="A328" s="1"/>
      <c r="B328" s="1"/>
      <c r="C328" s="1"/>
      <c r="D328" s="3"/>
      <c r="E328" s="1"/>
    </row>
    <row r="329" spans="1:5" x14ac:dyDescent="0.25">
      <c r="A329" s="1"/>
      <c r="B329" s="1"/>
      <c r="C329" s="1"/>
      <c r="D329" s="3"/>
      <c r="E329" s="1"/>
    </row>
    <row r="330" spans="1:5" x14ac:dyDescent="0.25">
      <c r="A330" s="1"/>
      <c r="B330" s="1"/>
      <c r="C330" s="1"/>
      <c r="D330" s="3"/>
      <c r="E330" s="1"/>
    </row>
    <row r="331" spans="1:5" x14ac:dyDescent="0.25">
      <c r="A331" s="1"/>
      <c r="B331" s="1"/>
      <c r="C331" s="1"/>
      <c r="D331" s="3"/>
      <c r="E331" s="1"/>
    </row>
    <row r="332" spans="1:5" x14ac:dyDescent="0.25">
      <c r="A332" s="1"/>
      <c r="B332" s="1"/>
      <c r="C332" s="1"/>
      <c r="D332" s="3"/>
      <c r="E332" s="1"/>
    </row>
    <row r="333" spans="1:5" x14ac:dyDescent="0.25">
      <c r="A333" s="1"/>
      <c r="B333" s="1"/>
      <c r="C333" s="1"/>
      <c r="D333" s="3"/>
      <c r="E333" s="1"/>
    </row>
    <row r="334" spans="1:5" x14ac:dyDescent="0.25">
      <c r="A334" s="1"/>
      <c r="B334" s="1"/>
      <c r="C334" s="1"/>
      <c r="D334" s="3"/>
      <c r="E334" s="1"/>
    </row>
    <row r="335" spans="1:5" x14ac:dyDescent="0.25">
      <c r="A335" s="1"/>
      <c r="B335" s="1"/>
      <c r="C335" s="1"/>
      <c r="D335" s="3"/>
      <c r="E335" s="1"/>
    </row>
    <row r="336" spans="1:5" x14ac:dyDescent="0.25">
      <c r="A336" s="1"/>
      <c r="B336" s="1"/>
      <c r="C336" s="1"/>
      <c r="D336" s="3"/>
      <c r="E336" s="1"/>
    </row>
    <row r="337" spans="1:5" x14ac:dyDescent="0.25">
      <c r="A337" s="1"/>
      <c r="B337" s="1"/>
      <c r="C337" s="1"/>
      <c r="D337" s="3"/>
      <c r="E337" s="1"/>
    </row>
    <row r="338" spans="1:5" x14ac:dyDescent="0.25">
      <c r="A338" s="1"/>
      <c r="B338" s="1"/>
      <c r="C338" s="1"/>
      <c r="D338" s="3"/>
      <c r="E338" s="1"/>
    </row>
    <row r="339" spans="1:5" x14ac:dyDescent="0.25">
      <c r="A339" s="1"/>
      <c r="B339" s="1"/>
      <c r="C339" s="1"/>
      <c r="D339" s="3"/>
      <c r="E339" s="1"/>
    </row>
    <row r="340" spans="1:5" x14ac:dyDescent="0.25">
      <c r="A340" s="1"/>
      <c r="B340" s="1"/>
      <c r="C340" s="1"/>
      <c r="D340" s="3"/>
      <c r="E340" s="1"/>
    </row>
    <row r="341" spans="1:5" x14ac:dyDescent="0.25">
      <c r="A341" s="1"/>
      <c r="B341" s="1"/>
      <c r="C341" s="1"/>
      <c r="D341" s="3"/>
      <c r="E341" s="1"/>
    </row>
    <row r="342" spans="1:5" x14ac:dyDescent="0.25">
      <c r="A342" s="1"/>
      <c r="B342" s="1"/>
      <c r="C342" s="1"/>
      <c r="D342" s="3"/>
      <c r="E342" s="1"/>
    </row>
    <row r="343" spans="1:5" x14ac:dyDescent="0.25">
      <c r="A343" s="1"/>
      <c r="B343" s="1"/>
      <c r="C343" s="1"/>
      <c r="D343" s="3"/>
      <c r="E343" s="1"/>
    </row>
    <row r="344" spans="1:5" x14ac:dyDescent="0.25">
      <c r="A344" s="1"/>
      <c r="B344" s="1"/>
      <c r="C344" s="1"/>
      <c r="D344" s="3"/>
      <c r="E344" s="1"/>
    </row>
    <row r="345" spans="1:5" x14ac:dyDescent="0.25">
      <c r="A345" s="1"/>
      <c r="B345" s="1"/>
      <c r="C345" s="1"/>
      <c r="D345" s="3"/>
      <c r="E345" s="1"/>
    </row>
    <row r="346" spans="1:5" x14ac:dyDescent="0.25">
      <c r="A346" s="1"/>
      <c r="B346" s="1"/>
      <c r="C346" s="1"/>
      <c r="D346" s="3"/>
      <c r="E346" s="1"/>
    </row>
    <row r="347" spans="1:5" x14ac:dyDescent="0.25">
      <c r="A347" s="1"/>
      <c r="B347" s="1"/>
      <c r="C347" s="1"/>
      <c r="D347" s="3"/>
      <c r="E347" s="1"/>
    </row>
    <row r="348" spans="1:5" x14ac:dyDescent="0.25">
      <c r="A348" s="1"/>
      <c r="B348" s="1"/>
      <c r="C348" s="1"/>
      <c r="D348" s="3"/>
      <c r="E348" s="1"/>
    </row>
    <row r="349" spans="1:5" x14ac:dyDescent="0.25">
      <c r="A349" s="1"/>
      <c r="B349" s="1"/>
      <c r="C349" s="1"/>
      <c r="D349" s="3"/>
      <c r="E349" s="1"/>
    </row>
    <row r="350" spans="1:5" x14ac:dyDescent="0.25">
      <c r="A350" s="1"/>
      <c r="B350" s="1"/>
      <c r="C350" s="1"/>
      <c r="D350" s="3"/>
      <c r="E350" s="1"/>
    </row>
    <row r="351" spans="1:5" x14ac:dyDescent="0.25">
      <c r="A351" s="1"/>
      <c r="B351" s="1"/>
      <c r="C351" s="1"/>
      <c r="D351" s="3"/>
      <c r="E351" s="1"/>
    </row>
    <row r="352" spans="1:5" x14ac:dyDescent="0.25">
      <c r="A352" s="1"/>
      <c r="B352" s="1"/>
      <c r="C352" s="1"/>
      <c r="D352" s="3"/>
      <c r="E352" s="1"/>
    </row>
    <row r="353" spans="1:5" x14ac:dyDescent="0.25">
      <c r="A353" s="1"/>
      <c r="B353" s="1"/>
      <c r="C353" s="1"/>
      <c r="D353" s="3"/>
      <c r="E353" s="1"/>
    </row>
    <row r="354" spans="1:5" x14ac:dyDescent="0.25">
      <c r="A354" s="1"/>
      <c r="B354" s="1"/>
      <c r="C354" s="1"/>
      <c r="D354" s="3"/>
      <c r="E354" s="1"/>
    </row>
    <row r="355" spans="1:5" x14ac:dyDescent="0.25">
      <c r="A355" s="1"/>
      <c r="B355" s="1"/>
      <c r="C355" s="1"/>
      <c r="D355" s="3"/>
      <c r="E355" s="1"/>
    </row>
    <row r="356" spans="1:5" x14ac:dyDescent="0.25">
      <c r="A356" s="1"/>
      <c r="B356" s="1"/>
      <c r="C356" s="1"/>
      <c r="D356" s="3"/>
      <c r="E356" s="1"/>
    </row>
    <row r="357" spans="1:5" x14ac:dyDescent="0.25">
      <c r="A357" s="1"/>
      <c r="B357" s="1"/>
      <c r="C357" s="1"/>
      <c r="D357" s="3"/>
      <c r="E357" s="1"/>
    </row>
    <row r="358" spans="1:5" x14ac:dyDescent="0.25">
      <c r="A358" s="1"/>
      <c r="B358" s="1"/>
      <c r="C358" s="1"/>
      <c r="D358" s="3"/>
      <c r="E358" s="1"/>
    </row>
    <row r="359" spans="1:5" x14ac:dyDescent="0.25">
      <c r="A359" s="1"/>
      <c r="B359" s="1"/>
      <c r="C359" s="1"/>
      <c r="D359" s="3"/>
      <c r="E359" s="1"/>
    </row>
    <row r="360" spans="1:5" x14ac:dyDescent="0.25">
      <c r="A360" s="1"/>
      <c r="B360" s="1"/>
      <c r="C360" s="1"/>
      <c r="D360" s="3"/>
      <c r="E360" s="1"/>
    </row>
    <row r="361" spans="1:5" x14ac:dyDescent="0.25">
      <c r="A361" s="1"/>
      <c r="B361" s="1"/>
      <c r="C361" s="1"/>
      <c r="D361" s="3"/>
      <c r="E361" s="1"/>
    </row>
    <row r="362" spans="1:5" x14ac:dyDescent="0.25">
      <c r="A362" s="1"/>
      <c r="B362" s="1"/>
      <c r="C362" s="1"/>
      <c r="D362" s="3"/>
      <c r="E362" s="1"/>
    </row>
    <row r="363" spans="1:5" x14ac:dyDescent="0.25">
      <c r="A363" s="1"/>
      <c r="B363" s="1"/>
      <c r="C363" s="1"/>
      <c r="D363" s="3"/>
      <c r="E363" s="1"/>
    </row>
    <row r="364" spans="1:5" x14ac:dyDescent="0.25">
      <c r="A364" s="1"/>
      <c r="B364" s="1"/>
      <c r="C364" s="1"/>
      <c r="D364" s="3"/>
      <c r="E364" s="1"/>
    </row>
    <row r="365" spans="1:5" x14ac:dyDescent="0.25">
      <c r="A365" s="1"/>
      <c r="B365" s="1"/>
      <c r="C365" s="1"/>
      <c r="D365" s="3"/>
      <c r="E365" s="1"/>
    </row>
    <row r="366" spans="1:5" x14ac:dyDescent="0.25">
      <c r="A366" s="1"/>
      <c r="B366" s="1"/>
      <c r="C366" s="1"/>
      <c r="D366" s="3"/>
      <c r="E366" s="1"/>
    </row>
    <row r="367" spans="1:5" x14ac:dyDescent="0.25">
      <c r="A367" s="1"/>
      <c r="B367" s="1"/>
      <c r="C367" s="1"/>
      <c r="D367" s="3"/>
      <c r="E367" s="1"/>
    </row>
    <row r="368" spans="1:5" x14ac:dyDescent="0.25">
      <c r="A368" s="1"/>
      <c r="B368" s="1"/>
      <c r="C368" s="1"/>
      <c r="D368" s="3"/>
      <c r="E368" s="1"/>
    </row>
    <row r="369" spans="1:5" x14ac:dyDescent="0.25">
      <c r="A369" s="1"/>
      <c r="B369" s="1"/>
      <c r="C369" s="1"/>
      <c r="D369" s="3"/>
      <c r="E369" s="1"/>
    </row>
    <row r="370" spans="1:5" x14ac:dyDescent="0.25">
      <c r="A370" s="1"/>
      <c r="B370" s="1"/>
      <c r="C370" s="1"/>
      <c r="D370" s="3"/>
      <c r="E370" s="1"/>
    </row>
    <row r="371" spans="1:5" x14ac:dyDescent="0.25">
      <c r="A371" s="1"/>
      <c r="B371" s="1"/>
      <c r="C371" s="1"/>
      <c r="D371" s="3"/>
      <c r="E371" s="1"/>
    </row>
    <row r="372" spans="1:5" x14ac:dyDescent="0.25">
      <c r="A372" s="1"/>
      <c r="B372" s="1"/>
      <c r="C372" s="1"/>
      <c r="D372" s="3"/>
      <c r="E372" s="1"/>
    </row>
    <row r="373" spans="1:5" x14ac:dyDescent="0.25">
      <c r="A373" s="1"/>
      <c r="B373" s="1"/>
      <c r="C373" s="1"/>
      <c r="D373" s="3"/>
      <c r="E373" s="1"/>
    </row>
    <row r="374" spans="1:5" x14ac:dyDescent="0.25">
      <c r="A374" s="1"/>
      <c r="B374" s="1"/>
      <c r="C374" s="1"/>
      <c r="D374" s="3"/>
      <c r="E374" s="1"/>
    </row>
    <row r="375" spans="1:5" x14ac:dyDescent="0.25">
      <c r="A375" s="1"/>
      <c r="B375" s="1"/>
      <c r="C375" s="1"/>
      <c r="D375" s="3"/>
      <c r="E375" s="1"/>
    </row>
    <row r="376" spans="1:5" x14ac:dyDescent="0.25">
      <c r="A376" s="1"/>
      <c r="B376" s="1"/>
      <c r="C376" s="1"/>
      <c r="D376" s="3"/>
      <c r="E376" s="1"/>
    </row>
    <row r="377" spans="1:5" x14ac:dyDescent="0.25">
      <c r="A377" s="1"/>
      <c r="B377" s="1"/>
      <c r="C377" s="1"/>
      <c r="D377" s="3"/>
      <c r="E377" s="1"/>
    </row>
    <row r="378" spans="1:5" x14ac:dyDescent="0.25">
      <c r="A378" s="1"/>
      <c r="B378" s="1"/>
      <c r="C378" s="1"/>
      <c r="D378" s="3"/>
      <c r="E378" s="1"/>
    </row>
    <row r="379" spans="1:5" x14ac:dyDescent="0.25">
      <c r="A379" s="1"/>
      <c r="B379" s="1"/>
      <c r="C379" s="1"/>
      <c r="D379" s="3"/>
      <c r="E379" s="1"/>
    </row>
    <row r="380" spans="1:5" x14ac:dyDescent="0.25">
      <c r="A380" s="1"/>
      <c r="B380" s="1"/>
      <c r="C380" s="1"/>
      <c r="D380" s="3"/>
      <c r="E380" s="1"/>
    </row>
    <row r="381" spans="1:5" x14ac:dyDescent="0.25">
      <c r="A381" s="1"/>
      <c r="B381" s="1"/>
      <c r="C381" s="1"/>
      <c r="D381" s="3"/>
      <c r="E381" s="1"/>
    </row>
    <row r="382" spans="1:5" x14ac:dyDescent="0.25">
      <c r="A382" s="1"/>
      <c r="B382" s="1"/>
      <c r="C382" s="1"/>
      <c r="D382" s="3"/>
      <c r="E382" s="1"/>
    </row>
    <row r="383" spans="1:5" x14ac:dyDescent="0.25">
      <c r="A383" s="1"/>
      <c r="B383" s="1"/>
      <c r="C383" s="1"/>
      <c r="D383" s="3"/>
      <c r="E383" s="1"/>
    </row>
    <row r="384" spans="1:5" x14ac:dyDescent="0.25">
      <c r="A384" s="1"/>
      <c r="B384" s="1"/>
      <c r="C384" s="1"/>
      <c r="D384" s="3"/>
      <c r="E384" s="1"/>
    </row>
    <row r="385" spans="1:5" x14ac:dyDescent="0.25">
      <c r="A385" s="1"/>
      <c r="B385" s="1"/>
      <c r="C385" s="1"/>
      <c r="D385" s="3"/>
      <c r="E385" s="1"/>
    </row>
    <row r="386" spans="1:5" x14ac:dyDescent="0.25">
      <c r="A386" s="1"/>
      <c r="B386" s="1"/>
      <c r="C386" s="1"/>
      <c r="D386" s="3"/>
      <c r="E386" s="1"/>
    </row>
    <row r="387" spans="1:5" x14ac:dyDescent="0.25">
      <c r="A387" s="1"/>
      <c r="B387" s="1"/>
      <c r="C387" s="1"/>
      <c r="D387" s="3"/>
      <c r="E387" s="1"/>
    </row>
    <row r="388" spans="1:5" x14ac:dyDescent="0.25">
      <c r="A388" s="1"/>
      <c r="B388" s="1"/>
      <c r="C388" s="1"/>
      <c r="D388" s="3"/>
      <c r="E388" s="1"/>
    </row>
    <row r="389" spans="1:5" x14ac:dyDescent="0.25">
      <c r="A389" s="1"/>
      <c r="B389" s="1"/>
      <c r="C389" s="1"/>
      <c r="D389" s="3"/>
      <c r="E389" s="1"/>
    </row>
    <row r="390" spans="1:5" x14ac:dyDescent="0.25">
      <c r="A390" s="1"/>
      <c r="B390" s="1"/>
      <c r="C390" s="1"/>
      <c r="D390" s="3"/>
      <c r="E390" s="1"/>
    </row>
    <row r="391" spans="1:5" x14ac:dyDescent="0.25">
      <c r="A391" s="1"/>
      <c r="B391" s="1"/>
      <c r="C391" s="1"/>
      <c r="D391" s="3"/>
      <c r="E391" s="1"/>
    </row>
    <row r="392" spans="1:5" x14ac:dyDescent="0.25">
      <c r="A392" s="1"/>
      <c r="B392" s="1"/>
      <c r="C392" s="1"/>
      <c r="D392" s="3"/>
      <c r="E392" s="1"/>
    </row>
    <row r="393" spans="1:5" x14ac:dyDescent="0.25">
      <c r="A393" s="1"/>
      <c r="B393" s="1"/>
      <c r="C393" s="1"/>
      <c r="D393" s="3"/>
      <c r="E393" s="1"/>
    </row>
    <row r="394" spans="1:5" x14ac:dyDescent="0.25">
      <c r="A394" s="1"/>
      <c r="B394" s="1"/>
      <c r="C394" s="1"/>
      <c r="D394" s="3"/>
      <c r="E394" s="1"/>
    </row>
    <row r="395" spans="1:5" x14ac:dyDescent="0.25">
      <c r="A395" s="1"/>
      <c r="B395" s="1"/>
      <c r="C395" s="1"/>
      <c r="D395" s="3"/>
      <c r="E395" s="1"/>
    </row>
    <row r="396" spans="1:5" x14ac:dyDescent="0.25">
      <c r="A396" s="1"/>
      <c r="B396" s="1"/>
      <c r="C396" s="1"/>
      <c r="D396" s="3"/>
      <c r="E396" s="1"/>
    </row>
    <row r="397" spans="1:5" x14ac:dyDescent="0.25">
      <c r="A397" s="1"/>
      <c r="B397" s="1"/>
      <c r="C397" s="1"/>
      <c r="D397" s="3"/>
      <c r="E397" s="1"/>
    </row>
    <row r="398" spans="1:5" x14ac:dyDescent="0.25">
      <c r="A398" s="1"/>
      <c r="B398" s="1"/>
      <c r="C398" s="1"/>
      <c r="D398" s="3"/>
      <c r="E398" s="1"/>
    </row>
    <row r="399" spans="1:5" x14ac:dyDescent="0.25">
      <c r="A399" s="1"/>
      <c r="B399" s="1"/>
      <c r="C399" s="1"/>
      <c r="D399" s="3"/>
      <c r="E399" s="1"/>
    </row>
    <row r="400" spans="1:5" x14ac:dyDescent="0.25">
      <c r="A400" s="1"/>
      <c r="B400" s="1"/>
      <c r="C400" s="1"/>
      <c r="D400" s="3"/>
      <c r="E400" s="1"/>
    </row>
    <row r="401" spans="1:5" x14ac:dyDescent="0.25">
      <c r="A401" s="1"/>
      <c r="B401" s="1"/>
      <c r="C401" s="1"/>
      <c r="D401" s="3"/>
      <c r="E401" s="1"/>
    </row>
    <row r="402" spans="1:5" x14ac:dyDescent="0.25">
      <c r="A402" s="1"/>
      <c r="B402" s="1"/>
      <c r="C402" s="1"/>
      <c r="D402" s="3"/>
      <c r="E402" s="1"/>
    </row>
    <row r="403" spans="1:5" x14ac:dyDescent="0.25">
      <c r="A403" s="1"/>
      <c r="B403" s="1"/>
      <c r="C403" s="1"/>
      <c r="D403" s="3"/>
      <c r="E403" s="1"/>
    </row>
    <row r="404" spans="1:5" x14ac:dyDescent="0.25">
      <c r="A404" s="1"/>
      <c r="B404" s="1"/>
      <c r="C404" s="1"/>
      <c r="D404" s="3"/>
      <c r="E404" s="1"/>
    </row>
    <row r="405" spans="1:5" x14ac:dyDescent="0.25">
      <c r="A405" s="1"/>
      <c r="B405" s="1"/>
      <c r="C405" s="1"/>
      <c r="D405" s="3"/>
      <c r="E405" s="1"/>
    </row>
    <row r="406" spans="1:5" x14ac:dyDescent="0.25">
      <c r="A406" s="1"/>
      <c r="B406" s="1"/>
      <c r="C406" s="1"/>
      <c r="D406" s="3"/>
      <c r="E406" s="1"/>
    </row>
    <row r="407" spans="1:5" x14ac:dyDescent="0.25">
      <c r="A407" s="1"/>
      <c r="B407" s="1"/>
      <c r="C407" s="1"/>
      <c r="D407" s="3"/>
      <c r="E407" s="1"/>
    </row>
    <row r="408" spans="1:5" x14ac:dyDescent="0.25">
      <c r="A408" s="1"/>
      <c r="B408" s="1"/>
      <c r="C408" s="1"/>
      <c r="D408" s="3"/>
      <c r="E408" s="1"/>
    </row>
    <row r="409" spans="1:5" x14ac:dyDescent="0.25">
      <c r="A409" s="1"/>
      <c r="B409" s="1"/>
      <c r="C409" s="1"/>
      <c r="D409" s="3"/>
      <c r="E409" s="1"/>
    </row>
    <row r="410" spans="1:5" x14ac:dyDescent="0.25">
      <c r="A410" s="1"/>
      <c r="B410" s="1"/>
      <c r="C410" s="1"/>
      <c r="D410" s="3"/>
      <c r="E410" s="1"/>
    </row>
    <row r="411" spans="1:5" x14ac:dyDescent="0.25">
      <c r="A411" s="1"/>
      <c r="B411" s="1"/>
      <c r="C411" s="1"/>
      <c r="D411" s="3"/>
      <c r="E411" s="1"/>
    </row>
    <row r="412" spans="1:5" x14ac:dyDescent="0.25">
      <c r="A412" s="1"/>
      <c r="B412" s="1"/>
      <c r="C412" s="1"/>
      <c r="D412" s="3"/>
      <c r="E412" s="1"/>
    </row>
    <row r="413" spans="1:5" x14ac:dyDescent="0.25">
      <c r="A413" s="1"/>
      <c r="B413" s="1"/>
      <c r="C413" s="1"/>
      <c r="D413" s="3"/>
      <c r="E413" s="1"/>
    </row>
    <row r="414" spans="1:5" x14ac:dyDescent="0.25">
      <c r="A414" s="1"/>
      <c r="B414" s="1"/>
      <c r="C414" s="1"/>
      <c r="D414" s="3"/>
      <c r="E414" s="1"/>
    </row>
    <row r="415" spans="1:5" x14ac:dyDescent="0.25">
      <c r="A415" s="1"/>
      <c r="B415" s="1"/>
      <c r="C415" s="1"/>
      <c r="D415" s="3"/>
      <c r="E415" s="1"/>
    </row>
    <row r="416" spans="1:5" x14ac:dyDescent="0.25">
      <c r="A416" s="1"/>
      <c r="B416" s="1"/>
      <c r="C416" s="1"/>
      <c r="D416" s="3"/>
      <c r="E416" s="1"/>
    </row>
    <row r="417" spans="1:5" x14ac:dyDescent="0.25">
      <c r="A417" s="1"/>
      <c r="B417" s="1"/>
      <c r="C417" s="1"/>
      <c r="D417" s="3"/>
      <c r="E417" s="1"/>
    </row>
    <row r="418" spans="1:5" x14ac:dyDescent="0.25">
      <c r="A418" s="1"/>
      <c r="B418" s="1"/>
      <c r="C418" s="1"/>
      <c r="D418" s="3"/>
      <c r="E418" s="1"/>
    </row>
    <row r="419" spans="1:5" x14ac:dyDescent="0.25">
      <c r="A419" s="1"/>
      <c r="B419" s="1"/>
      <c r="C419" s="1"/>
      <c r="D419" s="3"/>
      <c r="E419" s="1"/>
    </row>
    <row r="420" spans="1:5" x14ac:dyDescent="0.25">
      <c r="A420" s="1"/>
      <c r="B420" s="1"/>
      <c r="C420" s="1"/>
      <c r="D420" s="3"/>
      <c r="E420" s="1"/>
    </row>
    <row r="421" spans="1:5" x14ac:dyDescent="0.25">
      <c r="A421" s="1"/>
      <c r="B421" s="1"/>
      <c r="C421" s="1"/>
      <c r="D421" s="3"/>
      <c r="E421" s="1"/>
    </row>
    <row r="422" spans="1:5" x14ac:dyDescent="0.25">
      <c r="A422" s="1"/>
      <c r="B422" s="1"/>
      <c r="C422" s="1"/>
      <c r="D422" s="3"/>
      <c r="E422" s="1"/>
    </row>
    <row r="423" spans="1:5" x14ac:dyDescent="0.25">
      <c r="A423" s="1"/>
      <c r="B423" s="1"/>
      <c r="C423" s="1"/>
      <c r="D423" s="3"/>
      <c r="E423" s="1"/>
    </row>
    <row r="424" spans="1:5" x14ac:dyDescent="0.25">
      <c r="A424" s="1"/>
      <c r="B424" s="1"/>
      <c r="C424" s="1"/>
      <c r="D424" s="3"/>
      <c r="E424" s="1"/>
    </row>
    <row r="425" spans="1:5" x14ac:dyDescent="0.25">
      <c r="A425" s="1"/>
      <c r="B425" s="1"/>
      <c r="C425" s="1"/>
      <c r="D425" s="3"/>
      <c r="E425" s="1"/>
    </row>
    <row r="426" spans="1:5" x14ac:dyDescent="0.25">
      <c r="A426" s="1"/>
      <c r="B426" s="1"/>
      <c r="C426" s="1"/>
      <c r="D426" s="3"/>
      <c r="E426" s="1"/>
    </row>
    <row r="427" spans="1:5" x14ac:dyDescent="0.25">
      <c r="A427" s="1"/>
      <c r="B427" s="1"/>
      <c r="C427" s="1"/>
      <c r="D427" s="3"/>
      <c r="E427" s="1"/>
    </row>
    <row r="428" spans="1:5" x14ac:dyDescent="0.25">
      <c r="A428" s="1"/>
      <c r="B428" s="1"/>
      <c r="C428" s="1"/>
      <c r="D428" s="3"/>
      <c r="E428" s="1"/>
    </row>
    <row r="429" spans="1:5" x14ac:dyDescent="0.25">
      <c r="A429" s="1"/>
      <c r="B429" s="1"/>
      <c r="C429" s="1"/>
      <c r="D429" s="3"/>
      <c r="E429" s="1"/>
    </row>
    <row r="430" spans="1:5" x14ac:dyDescent="0.25">
      <c r="A430" s="1"/>
      <c r="B430" s="1"/>
      <c r="C430" s="1"/>
      <c r="D430" s="3"/>
      <c r="E430" s="1"/>
    </row>
    <row r="431" spans="1:5" x14ac:dyDescent="0.25">
      <c r="A431" s="1"/>
      <c r="B431" s="1"/>
      <c r="C431" s="1"/>
      <c r="D431" s="3"/>
      <c r="E431" s="1"/>
    </row>
    <row r="432" spans="1:5" x14ac:dyDescent="0.25">
      <c r="A432" s="1"/>
      <c r="B432" s="1"/>
      <c r="C432" s="1"/>
      <c r="D432" s="3"/>
      <c r="E432" s="1"/>
    </row>
    <row r="433" spans="1:5" x14ac:dyDescent="0.25">
      <c r="A433" s="1"/>
      <c r="B433" s="1"/>
      <c r="C433" s="1"/>
      <c r="D433" s="3"/>
      <c r="E433" s="1"/>
    </row>
    <row r="434" spans="1:5" x14ac:dyDescent="0.25">
      <c r="A434" s="1"/>
      <c r="B434" s="1"/>
      <c r="C434" s="1"/>
      <c r="D434" s="3"/>
      <c r="E434" s="1"/>
    </row>
    <row r="435" spans="1:5" x14ac:dyDescent="0.25">
      <c r="A435" s="1"/>
      <c r="B435" s="1"/>
      <c r="C435" s="1"/>
      <c r="D435" s="3"/>
      <c r="E435" s="1"/>
    </row>
    <row r="436" spans="1:5" x14ac:dyDescent="0.25">
      <c r="A436" s="1"/>
      <c r="B436" s="1"/>
      <c r="C436" s="1"/>
      <c r="D436" s="3"/>
      <c r="E436" s="1"/>
    </row>
    <row r="437" spans="1:5" x14ac:dyDescent="0.25">
      <c r="A437" s="1"/>
      <c r="B437" s="1"/>
      <c r="C437" s="1"/>
      <c r="D437" s="3"/>
      <c r="E437" s="1"/>
    </row>
    <row r="438" spans="1:5" x14ac:dyDescent="0.25">
      <c r="A438" s="1"/>
      <c r="B438" s="1"/>
      <c r="C438" s="1"/>
      <c r="D438" s="3"/>
      <c r="E438" s="1"/>
    </row>
    <row r="439" spans="1:5" x14ac:dyDescent="0.25">
      <c r="A439" s="1"/>
      <c r="B439" s="1"/>
      <c r="C439" s="1"/>
      <c r="D439" s="3"/>
      <c r="E439" s="1"/>
    </row>
    <row r="440" spans="1:5" x14ac:dyDescent="0.25">
      <c r="A440" s="1"/>
      <c r="B440" s="1"/>
      <c r="C440" s="1"/>
      <c r="D440" s="3"/>
      <c r="E440" s="1"/>
    </row>
    <row r="441" spans="1:5" x14ac:dyDescent="0.25">
      <c r="A441" s="1"/>
      <c r="B441" s="1"/>
      <c r="C441" s="1"/>
      <c r="D441" s="3"/>
      <c r="E441" s="1"/>
    </row>
    <row r="442" spans="1:5" x14ac:dyDescent="0.25">
      <c r="A442" s="1"/>
      <c r="B442" s="1"/>
      <c r="C442" s="1"/>
      <c r="D442" s="3"/>
      <c r="E442" s="1"/>
    </row>
    <row r="443" spans="1:5" x14ac:dyDescent="0.25">
      <c r="A443" s="1"/>
      <c r="B443" s="1"/>
      <c r="C443" s="1"/>
      <c r="D443" s="3"/>
      <c r="E443" s="1"/>
    </row>
    <row r="444" spans="1:5" x14ac:dyDescent="0.25">
      <c r="A444" s="1"/>
      <c r="B444" s="1"/>
      <c r="C444" s="1"/>
      <c r="D444" s="3"/>
      <c r="E444" s="1"/>
    </row>
    <row r="445" spans="1:5" x14ac:dyDescent="0.25">
      <c r="A445" s="1"/>
      <c r="B445" s="1"/>
      <c r="C445" s="1"/>
      <c r="D445" s="3"/>
      <c r="E445" s="1"/>
    </row>
    <row r="446" spans="1:5" x14ac:dyDescent="0.25">
      <c r="A446" s="1"/>
      <c r="B446" s="1"/>
      <c r="C446" s="1"/>
      <c r="D446" s="3"/>
      <c r="E446" s="1"/>
    </row>
    <row r="447" spans="1:5" x14ac:dyDescent="0.25">
      <c r="A447" s="1"/>
      <c r="B447" s="1"/>
      <c r="C447" s="1"/>
      <c r="D447" s="3"/>
      <c r="E447" s="1"/>
    </row>
    <row r="448" spans="1:5" x14ac:dyDescent="0.25">
      <c r="A448" s="1"/>
      <c r="B448" s="1"/>
      <c r="C448" s="1"/>
      <c r="D448" s="3"/>
      <c r="E448" s="1"/>
    </row>
    <row r="449" spans="1:5" x14ac:dyDescent="0.25">
      <c r="A449" s="1"/>
      <c r="B449" s="1"/>
      <c r="C449" s="1"/>
      <c r="D449" s="3"/>
      <c r="E449" s="1"/>
    </row>
    <row r="450" spans="1:5" x14ac:dyDescent="0.25">
      <c r="A450" s="1"/>
      <c r="B450" s="1"/>
      <c r="C450" s="1"/>
      <c r="D450" s="3"/>
      <c r="E450" s="1"/>
    </row>
    <row r="451" spans="1:5" x14ac:dyDescent="0.25">
      <c r="A451" s="1"/>
      <c r="B451" s="1"/>
      <c r="C451" s="1"/>
      <c r="D451" s="3"/>
      <c r="E451" s="1"/>
    </row>
    <row r="452" spans="1:5" x14ac:dyDescent="0.25">
      <c r="A452" s="1"/>
      <c r="B452" s="1"/>
      <c r="C452" s="1"/>
      <c r="D452" s="3"/>
      <c r="E452" s="1"/>
    </row>
    <row r="453" spans="1:5" x14ac:dyDescent="0.25">
      <c r="A453" s="1"/>
      <c r="B453" s="1"/>
      <c r="C453" s="1"/>
      <c r="D453" s="3"/>
      <c r="E453" s="1"/>
    </row>
    <row r="454" spans="1:5" x14ac:dyDescent="0.25">
      <c r="A454" s="1"/>
      <c r="B454" s="1"/>
      <c r="C454" s="1"/>
      <c r="D454" s="3"/>
      <c r="E454" s="1"/>
    </row>
    <row r="455" spans="1:5" x14ac:dyDescent="0.25">
      <c r="A455" s="1"/>
      <c r="B455" s="1"/>
      <c r="C455" s="1"/>
      <c r="D455" s="3"/>
      <c r="E455" s="1"/>
    </row>
    <row r="456" spans="1:5" x14ac:dyDescent="0.25">
      <c r="A456" s="1"/>
      <c r="B456" s="1"/>
      <c r="C456" s="1"/>
      <c r="D456" s="3"/>
      <c r="E456" s="1"/>
    </row>
    <row r="457" spans="1:5" x14ac:dyDescent="0.25">
      <c r="A457" s="1"/>
      <c r="B457" s="1"/>
      <c r="C457" s="1"/>
      <c r="D457" s="3"/>
      <c r="E457" s="1"/>
    </row>
    <row r="458" spans="1:5" x14ac:dyDescent="0.25">
      <c r="A458" s="1"/>
      <c r="B458" s="1"/>
      <c r="C458" s="1"/>
      <c r="D458" s="3"/>
      <c r="E458" s="1"/>
    </row>
    <row r="459" spans="1:5" x14ac:dyDescent="0.25">
      <c r="A459" s="1"/>
      <c r="B459" s="1"/>
      <c r="C459" s="1"/>
      <c r="D459" s="3"/>
      <c r="E459" s="1"/>
    </row>
    <row r="460" spans="1:5" x14ac:dyDescent="0.25">
      <c r="A460" s="1"/>
      <c r="B460" s="1"/>
      <c r="C460" s="1"/>
      <c r="D460" s="3"/>
      <c r="E460" s="1"/>
    </row>
    <row r="461" spans="1:5" x14ac:dyDescent="0.25">
      <c r="A461" s="1"/>
      <c r="B461" s="1"/>
      <c r="C461" s="1"/>
      <c r="D461" s="3"/>
      <c r="E461" s="1"/>
    </row>
    <row r="462" spans="1:5" x14ac:dyDescent="0.25">
      <c r="A462" s="1"/>
      <c r="B462" s="1"/>
      <c r="C462" s="1"/>
      <c r="D462" s="3"/>
      <c r="E462" s="1"/>
    </row>
    <row r="463" spans="1:5" x14ac:dyDescent="0.25">
      <c r="A463" s="1"/>
      <c r="B463" s="1"/>
      <c r="C463" s="1"/>
      <c r="D463" s="3"/>
      <c r="E463" s="1"/>
    </row>
    <row r="464" spans="1:5" x14ac:dyDescent="0.25">
      <c r="A464" s="1"/>
      <c r="B464" s="1"/>
      <c r="C464" s="1"/>
      <c r="D464" s="3"/>
      <c r="E464" s="1"/>
    </row>
    <row r="465" spans="1:5" x14ac:dyDescent="0.25">
      <c r="A465" s="1"/>
      <c r="B465" s="1"/>
      <c r="C465" s="1"/>
      <c r="D465" s="3"/>
      <c r="E465" s="1"/>
    </row>
    <row r="466" spans="1:5" x14ac:dyDescent="0.25">
      <c r="A466" s="1"/>
      <c r="B466" s="1"/>
      <c r="C466" s="1"/>
      <c r="D466" s="3"/>
      <c r="E466" s="1"/>
    </row>
    <row r="467" spans="1:5" x14ac:dyDescent="0.25">
      <c r="A467" s="1"/>
      <c r="B467" s="1"/>
      <c r="C467" s="1"/>
      <c r="D467" s="3"/>
      <c r="E467" s="1"/>
    </row>
    <row r="468" spans="1:5" x14ac:dyDescent="0.25">
      <c r="A468" s="1"/>
      <c r="B468" s="1"/>
      <c r="C468" s="1"/>
      <c r="D468" s="3"/>
      <c r="E468" s="1"/>
    </row>
    <row r="469" spans="1:5" x14ac:dyDescent="0.25">
      <c r="A469" s="1"/>
      <c r="B469" s="1"/>
      <c r="C469" s="1"/>
      <c r="D469" s="3"/>
      <c r="E469" s="1"/>
    </row>
    <row r="470" spans="1:5" x14ac:dyDescent="0.25">
      <c r="A470" s="1"/>
      <c r="B470" s="1"/>
      <c r="C470" s="1"/>
      <c r="D470" s="3"/>
      <c r="E470" s="1"/>
    </row>
    <row r="471" spans="1:5" x14ac:dyDescent="0.25">
      <c r="A471" s="1"/>
      <c r="B471" s="1"/>
      <c r="C471" s="1"/>
      <c r="D471" s="3"/>
      <c r="E471" s="1"/>
    </row>
    <row r="472" spans="1:5" x14ac:dyDescent="0.25">
      <c r="A472" s="1"/>
      <c r="B472" s="1"/>
      <c r="C472" s="1"/>
      <c r="D472" s="3"/>
      <c r="E472" s="1"/>
    </row>
    <row r="473" spans="1:5" x14ac:dyDescent="0.25">
      <c r="A473" s="1"/>
      <c r="B473" s="1"/>
      <c r="C473" s="1"/>
      <c r="D473" s="3"/>
      <c r="E473" s="1"/>
    </row>
    <row r="474" spans="1:5" x14ac:dyDescent="0.25">
      <c r="A474" s="1"/>
      <c r="B474" s="1"/>
      <c r="C474" s="1"/>
      <c r="D474" s="3"/>
      <c r="E474" s="1"/>
    </row>
    <row r="475" spans="1:5" x14ac:dyDescent="0.25">
      <c r="A475" s="1"/>
      <c r="B475" s="1"/>
      <c r="C475" s="1"/>
      <c r="D475" s="3"/>
      <c r="E475" s="1"/>
    </row>
    <row r="476" spans="1:5" x14ac:dyDescent="0.25">
      <c r="A476" s="1"/>
      <c r="B476" s="1"/>
      <c r="C476" s="1"/>
      <c r="D476" s="3"/>
      <c r="E476" s="1"/>
    </row>
    <row r="477" spans="1:5" x14ac:dyDescent="0.25">
      <c r="A477" s="1"/>
      <c r="B477" s="1"/>
      <c r="C477" s="1"/>
      <c r="D477" s="3"/>
      <c r="E477" s="1"/>
    </row>
    <row r="478" spans="1:5" x14ac:dyDescent="0.25">
      <c r="A478" s="1"/>
      <c r="B478" s="1"/>
      <c r="C478" s="1"/>
      <c r="D478" s="3"/>
      <c r="E478" s="1"/>
    </row>
    <row r="479" spans="1:5" x14ac:dyDescent="0.25">
      <c r="A479" s="1"/>
      <c r="B479" s="1"/>
      <c r="C479" s="1"/>
      <c r="D479" s="3"/>
      <c r="E479" s="1"/>
    </row>
    <row r="480" spans="1:5" x14ac:dyDescent="0.25">
      <c r="A480" s="1"/>
      <c r="B480" s="1"/>
      <c r="C480" s="1"/>
      <c r="D480" s="3"/>
      <c r="E480" s="1"/>
    </row>
    <row r="481" spans="1:5" x14ac:dyDescent="0.25">
      <c r="A481" s="1"/>
      <c r="B481" s="1"/>
      <c r="C481" s="1"/>
      <c r="D481" s="3"/>
      <c r="E481" s="1"/>
    </row>
    <row r="482" spans="1:5" x14ac:dyDescent="0.25">
      <c r="A482" s="1"/>
      <c r="B482" s="1"/>
      <c r="C482" s="1"/>
      <c r="D482" s="3"/>
      <c r="E482" s="1"/>
    </row>
    <row r="483" spans="1:5" x14ac:dyDescent="0.25">
      <c r="A483" s="1"/>
      <c r="B483" s="1"/>
      <c r="C483" s="1"/>
      <c r="D483" s="3"/>
      <c r="E483" s="1"/>
    </row>
    <row r="484" spans="1:5" x14ac:dyDescent="0.25">
      <c r="A484" s="1"/>
      <c r="B484" s="1"/>
      <c r="C484" s="1"/>
      <c r="D484" s="3"/>
      <c r="E484" s="1"/>
    </row>
    <row r="485" spans="1:5" x14ac:dyDescent="0.25">
      <c r="A485" s="1"/>
      <c r="B485" s="1"/>
      <c r="C485" s="1"/>
      <c r="D485" s="3"/>
      <c r="E485" s="1"/>
    </row>
    <row r="486" spans="1:5" x14ac:dyDescent="0.25">
      <c r="A486" s="1"/>
      <c r="B486" s="1"/>
      <c r="C486" s="1"/>
      <c r="D486" s="3"/>
      <c r="E486" s="1"/>
    </row>
    <row r="487" spans="1:5" x14ac:dyDescent="0.25">
      <c r="A487" s="1"/>
      <c r="B487" s="1"/>
      <c r="C487" s="1"/>
      <c r="D487" s="3"/>
      <c r="E487" s="1"/>
    </row>
    <row r="488" spans="1:5" x14ac:dyDescent="0.25">
      <c r="A488" s="1"/>
      <c r="B488" s="1"/>
      <c r="C488" s="1"/>
      <c r="D488" s="3"/>
      <c r="E488" s="1"/>
    </row>
    <row r="489" spans="1:5" x14ac:dyDescent="0.25">
      <c r="A489" s="1"/>
      <c r="B489" s="1"/>
      <c r="C489" s="1"/>
      <c r="D489" s="3"/>
      <c r="E489" s="1"/>
    </row>
    <row r="490" spans="1:5" x14ac:dyDescent="0.25">
      <c r="A490" s="1"/>
      <c r="B490" s="1"/>
      <c r="C490" s="1"/>
      <c r="D490" s="3"/>
      <c r="E490" s="1"/>
    </row>
    <row r="491" spans="1:5" x14ac:dyDescent="0.25">
      <c r="A491" s="1"/>
      <c r="B491" s="1"/>
      <c r="C491" s="1"/>
      <c r="D491" s="3"/>
      <c r="E491" s="1"/>
    </row>
    <row r="492" spans="1:5" x14ac:dyDescent="0.25">
      <c r="A492" s="1"/>
      <c r="B492" s="1"/>
      <c r="C492" s="1"/>
      <c r="D492" s="3"/>
      <c r="E492" s="1"/>
    </row>
    <row r="493" spans="1:5" x14ac:dyDescent="0.25">
      <c r="A493" s="1"/>
      <c r="B493" s="1"/>
      <c r="C493" s="1"/>
      <c r="D493" s="3"/>
      <c r="E493" s="1"/>
    </row>
    <row r="494" spans="1:5" x14ac:dyDescent="0.25">
      <c r="A494" s="1"/>
      <c r="B494" s="1"/>
      <c r="C494" s="1"/>
      <c r="D494" s="3"/>
      <c r="E494" s="1"/>
    </row>
    <row r="495" spans="1:5" x14ac:dyDescent="0.25">
      <c r="A495" s="1"/>
      <c r="B495" s="1"/>
      <c r="C495" s="1"/>
      <c r="D495" s="3"/>
      <c r="E495" s="1"/>
    </row>
    <row r="496" spans="1:5" x14ac:dyDescent="0.25">
      <c r="A496" s="1"/>
      <c r="B496" s="1"/>
      <c r="C496" s="1"/>
      <c r="D496" s="3"/>
      <c r="E496" s="1"/>
    </row>
    <row r="497" spans="1:5" x14ac:dyDescent="0.25">
      <c r="A497" s="1"/>
      <c r="B497" s="1"/>
      <c r="C497" s="1"/>
      <c r="D497" s="3"/>
      <c r="E497" s="1"/>
    </row>
    <row r="498" spans="1:5" x14ac:dyDescent="0.25">
      <c r="A498" s="1"/>
      <c r="B498" s="1"/>
      <c r="C498" s="1"/>
      <c r="D498" s="3"/>
      <c r="E498" s="1"/>
    </row>
    <row r="499" spans="1:5" x14ac:dyDescent="0.25">
      <c r="A499" s="1"/>
      <c r="B499" s="1"/>
      <c r="C499" s="1"/>
      <c r="D499" s="3"/>
      <c r="E499" s="1"/>
    </row>
    <row r="500" spans="1:5" x14ac:dyDescent="0.25">
      <c r="A500" s="1"/>
      <c r="B500" s="1"/>
      <c r="C500" s="1"/>
      <c r="D500" s="3"/>
      <c r="E500" s="1"/>
    </row>
    <row r="501" spans="1:5" x14ac:dyDescent="0.25">
      <c r="A501" s="1"/>
      <c r="B501" s="1"/>
      <c r="C501" s="1"/>
      <c r="D501" s="3"/>
      <c r="E501" s="1"/>
    </row>
    <row r="502" spans="1:5" x14ac:dyDescent="0.25">
      <c r="A502" s="1"/>
      <c r="B502" s="1"/>
      <c r="C502" s="1"/>
      <c r="D502" s="3"/>
      <c r="E502" s="1"/>
    </row>
    <row r="503" spans="1:5" x14ac:dyDescent="0.25">
      <c r="A503" s="1"/>
      <c r="B503" s="1"/>
      <c r="C503" s="1"/>
      <c r="D503" s="3"/>
      <c r="E503" s="1"/>
    </row>
    <row r="504" spans="1:5" x14ac:dyDescent="0.25">
      <c r="A504" s="1"/>
      <c r="B504" s="1"/>
      <c r="C504" s="1"/>
      <c r="D504" s="3"/>
      <c r="E504" s="1"/>
    </row>
    <row r="505" spans="1:5" x14ac:dyDescent="0.25">
      <c r="A505" s="1"/>
      <c r="B505" s="1"/>
      <c r="C505" s="1"/>
      <c r="D505" s="3"/>
      <c r="E505" s="1"/>
    </row>
    <row r="506" spans="1:5" x14ac:dyDescent="0.25">
      <c r="A506" s="1"/>
      <c r="B506" s="1"/>
      <c r="C506" s="1"/>
      <c r="D506" s="3"/>
      <c r="E506" s="1"/>
    </row>
    <row r="507" spans="1:5" x14ac:dyDescent="0.25">
      <c r="A507" s="1"/>
      <c r="B507" s="1"/>
      <c r="C507" s="1"/>
      <c r="D507" s="3"/>
      <c r="E507" s="1"/>
    </row>
    <row r="508" spans="1:5" x14ac:dyDescent="0.25">
      <c r="A508" s="1"/>
      <c r="B508" s="1"/>
      <c r="C508" s="1"/>
      <c r="D508" s="3"/>
      <c r="E508" s="1"/>
    </row>
    <row r="509" spans="1:5" x14ac:dyDescent="0.25">
      <c r="A509" s="1"/>
      <c r="B509" s="1"/>
      <c r="C509" s="1"/>
      <c r="D509" s="3"/>
      <c r="E509" s="1"/>
    </row>
    <row r="510" spans="1:5" x14ac:dyDescent="0.25">
      <c r="A510" s="1"/>
      <c r="B510" s="1"/>
      <c r="C510" s="1"/>
      <c r="D510" s="3"/>
      <c r="E510" s="1"/>
    </row>
    <row r="511" spans="1:5" x14ac:dyDescent="0.25">
      <c r="A511" s="1"/>
      <c r="B511" s="1"/>
      <c r="C511" s="1"/>
      <c r="D511" s="3"/>
      <c r="E511" s="1"/>
    </row>
    <row r="512" spans="1:5" x14ac:dyDescent="0.25">
      <c r="A512" s="1"/>
      <c r="B512" s="1"/>
      <c r="C512" s="1"/>
      <c r="D512" s="3"/>
      <c r="E512" s="1"/>
    </row>
    <row r="513" spans="1:5" x14ac:dyDescent="0.25">
      <c r="A513" s="1"/>
      <c r="B513" s="1"/>
      <c r="C513" s="1"/>
      <c r="D513" s="3"/>
      <c r="E513" s="1"/>
    </row>
    <row r="514" spans="1:5" x14ac:dyDescent="0.25">
      <c r="A514" s="1"/>
      <c r="B514" s="1"/>
      <c r="C514" s="1"/>
      <c r="D514" s="3"/>
      <c r="E514" s="1"/>
    </row>
    <row r="515" spans="1:5" x14ac:dyDescent="0.25">
      <c r="A515" s="1"/>
      <c r="B515" s="1"/>
      <c r="C515" s="1"/>
      <c r="D515" s="3"/>
      <c r="E515" s="1"/>
    </row>
    <row r="516" spans="1:5" x14ac:dyDescent="0.25">
      <c r="A516" s="1"/>
      <c r="B516" s="1"/>
      <c r="C516" s="1"/>
      <c r="D516" s="3"/>
      <c r="E516" s="1"/>
    </row>
    <row r="517" spans="1:5" x14ac:dyDescent="0.25">
      <c r="A517" s="1"/>
      <c r="B517" s="1"/>
      <c r="C517" s="1"/>
      <c r="D517" s="3"/>
      <c r="E517" s="1"/>
    </row>
    <row r="518" spans="1:5" x14ac:dyDescent="0.25">
      <c r="A518" s="1"/>
      <c r="B518" s="1"/>
      <c r="C518" s="1"/>
      <c r="D518" s="3"/>
      <c r="E518" s="1"/>
    </row>
    <row r="519" spans="1:5" x14ac:dyDescent="0.25">
      <c r="A519" s="1"/>
      <c r="B519" s="1"/>
      <c r="C519" s="1"/>
      <c r="D519" s="3"/>
      <c r="E519" s="1"/>
    </row>
    <row r="520" spans="1:5" x14ac:dyDescent="0.25">
      <c r="A520" s="1"/>
      <c r="B520" s="1"/>
      <c r="C520" s="1"/>
      <c r="D520" s="3"/>
      <c r="E520" s="1"/>
    </row>
    <row r="521" spans="1:5" x14ac:dyDescent="0.25">
      <c r="A521" s="1"/>
      <c r="B521" s="1"/>
      <c r="C521" s="1"/>
      <c r="D521" s="3"/>
      <c r="E521" s="1"/>
    </row>
    <row r="522" spans="1:5" x14ac:dyDescent="0.25">
      <c r="A522" s="1"/>
      <c r="B522" s="1"/>
      <c r="C522" s="1"/>
      <c r="D522" s="3"/>
      <c r="E522" s="1"/>
    </row>
    <row r="523" spans="1:5" x14ac:dyDescent="0.25">
      <c r="A523" s="1"/>
      <c r="B523" s="1"/>
      <c r="C523" s="1"/>
      <c r="D523" s="3"/>
      <c r="E523" s="1"/>
    </row>
    <row r="524" spans="1:5" x14ac:dyDescent="0.25">
      <c r="A524" s="1"/>
      <c r="B524" s="1"/>
      <c r="C524" s="1"/>
      <c r="D524" s="3"/>
      <c r="E524" s="1"/>
    </row>
    <row r="525" spans="1:5" x14ac:dyDescent="0.25">
      <c r="A525" s="1"/>
      <c r="B525" s="1"/>
      <c r="C525" s="1"/>
      <c r="D525" s="3"/>
      <c r="E525" s="1"/>
    </row>
    <row r="526" spans="1:5" x14ac:dyDescent="0.25">
      <c r="A526" s="1"/>
      <c r="B526" s="1"/>
      <c r="C526" s="1"/>
      <c r="D526" s="3"/>
      <c r="E526" s="1"/>
    </row>
    <row r="527" spans="1:5" x14ac:dyDescent="0.25">
      <c r="A527" s="1"/>
      <c r="B527" s="1"/>
      <c r="C527" s="1"/>
      <c r="D527" s="3"/>
      <c r="E527" s="1"/>
    </row>
    <row r="528" spans="1:5" x14ac:dyDescent="0.25">
      <c r="A528" s="1"/>
      <c r="B528" s="1"/>
      <c r="C528" s="1"/>
      <c r="D528" s="3"/>
      <c r="E528" s="1"/>
    </row>
    <row r="529" spans="1:5" x14ac:dyDescent="0.25">
      <c r="A529" s="1"/>
      <c r="B529" s="1"/>
      <c r="C529" s="1"/>
      <c r="D529" s="3"/>
      <c r="E529" s="1"/>
    </row>
    <row r="530" spans="1:5" x14ac:dyDescent="0.25">
      <c r="A530" s="1"/>
      <c r="B530" s="1"/>
      <c r="C530" s="1"/>
      <c r="D530" s="3"/>
      <c r="E530" s="1"/>
    </row>
    <row r="531" spans="1:5" x14ac:dyDescent="0.25">
      <c r="A531" s="1"/>
      <c r="B531" s="1"/>
      <c r="C531" s="1"/>
      <c r="D531" s="3"/>
      <c r="E531" s="1"/>
    </row>
    <row r="532" spans="1:5" x14ac:dyDescent="0.25">
      <c r="A532" s="1"/>
      <c r="B532" s="1"/>
      <c r="C532" s="1"/>
      <c r="D532" s="3"/>
      <c r="E532" s="1"/>
    </row>
    <row r="533" spans="1:5" x14ac:dyDescent="0.25">
      <c r="A533" s="1"/>
      <c r="B533" s="1"/>
      <c r="C533" s="1"/>
      <c r="D533" s="3"/>
      <c r="E533" s="1"/>
    </row>
    <row r="534" spans="1:5" x14ac:dyDescent="0.25">
      <c r="A534" s="1"/>
      <c r="B534" s="1"/>
      <c r="C534" s="1"/>
      <c r="D534" s="3"/>
      <c r="E534" s="1"/>
    </row>
    <row r="535" spans="1:5" x14ac:dyDescent="0.25">
      <c r="A535" s="1"/>
      <c r="B535" s="1"/>
      <c r="C535" s="1"/>
      <c r="D535" s="3"/>
      <c r="E535" s="1"/>
    </row>
    <row r="536" spans="1:5" x14ac:dyDescent="0.25">
      <c r="A536" s="1"/>
      <c r="B536" s="1"/>
      <c r="C536" s="1"/>
      <c r="D536" s="3"/>
      <c r="E536" s="1"/>
    </row>
    <row r="537" spans="1:5" x14ac:dyDescent="0.25">
      <c r="A537" s="1"/>
      <c r="B537" s="1"/>
      <c r="C537" s="1"/>
      <c r="D537" s="3"/>
      <c r="E537" s="1"/>
    </row>
    <row r="538" spans="1:5" x14ac:dyDescent="0.25">
      <c r="A538" s="1"/>
      <c r="B538" s="1"/>
      <c r="C538" s="1"/>
      <c r="D538" s="3"/>
      <c r="E538" s="1"/>
    </row>
    <row r="539" spans="1:5" x14ac:dyDescent="0.25">
      <c r="A539" s="1"/>
      <c r="B539" s="1"/>
      <c r="C539" s="1"/>
      <c r="D539" s="3"/>
      <c r="E539" s="1"/>
    </row>
    <row r="540" spans="1:5" x14ac:dyDescent="0.25">
      <c r="A540" s="1"/>
      <c r="B540" s="1"/>
      <c r="C540" s="1"/>
      <c r="D540" s="3"/>
      <c r="E540" s="1"/>
    </row>
    <row r="541" spans="1:5" x14ac:dyDescent="0.25">
      <c r="A541" s="1"/>
      <c r="B541" s="1"/>
      <c r="C541" s="1"/>
      <c r="D541" s="3"/>
      <c r="E541" s="1"/>
    </row>
    <row r="542" spans="1:5" x14ac:dyDescent="0.25">
      <c r="A542" s="1"/>
      <c r="B542" s="1"/>
      <c r="C542" s="1"/>
      <c r="D542" s="3"/>
      <c r="E542" s="1"/>
    </row>
    <row r="543" spans="1:5" x14ac:dyDescent="0.25">
      <c r="A543" s="1"/>
      <c r="B543" s="1"/>
      <c r="C543" s="1"/>
      <c r="D543" s="3"/>
      <c r="E543" s="1"/>
    </row>
    <row r="544" spans="1:5" x14ac:dyDescent="0.25">
      <c r="A544" s="1"/>
      <c r="B544" s="1"/>
      <c r="C544" s="1"/>
      <c r="D544" s="3"/>
      <c r="E544" s="1"/>
    </row>
    <row r="545" spans="1:5" x14ac:dyDescent="0.25">
      <c r="A545" s="1"/>
      <c r="B545" s="1"/>
      <c r="C545" s="1"/>
      <c r="D545" s="3"/>
      <c r="E545" s="1"/>
    </row>
    <row r="546" spans="1:5" x14ac:dyDescent="0.25">
      <c r="A546" s="1"/>
      <c r="B546" s="1"/>
      <c r="C546" s="1"/>
      <c r="D546" s="3"/>
      <c r="E546" s="1"/>
    </row>
    <row r="547" spans="1:5" x14ac:dyDescent="0.25">
      <c r="A547" s="1"/>
      <c r="B547" s="1"/>
      <c r="C547" s="1"/>
      <c r="D547" s="3"/>
      <c r="E547" s="1"/>
    </row>
    <row r="548" spans="1:5" x14ac:dyDescent="0.25">
      <c r="A548" s="1"/>
      <c r="B548" s="1"/>
      <c r="C548" s="1"/>
      <c r="D548" s="3"/>
      <c r="E548" s="1"/>
    </row>
    <row r="549" spans="1:5" x14ac:dyDescent="0.25">
      <c r="A549" s="1"/>
      <c r="B549" s="1"/>
      <c r="C549" s="1"/>
      <c r="D549" s="3"/>
      <c r="E549" s="1"/>
    </row>
    <row r="550" spans="1:5" x14ac:dyDescent="0.25">
      <c r="A550" s="1"/>
      <c r="B550" s="1"/>
      <c r="C550" s="1"/>
      <c r="D550" s="3"/>
      <c r="E550" s="1"/>
    </row>
    <row r="551" spans="1:5" x14ac:dyDescent="0.25">
      <c r="A551" s="1"/>
      <c r="B551" s="1"/>
      <c r="C551" s="1"/>
      <c r="D551" s="3"/>
      <c r="E551" s="1"/>
    </row>
    <row r="552" spans="1:5" x14ac:dyDescent="0.25">
      <c r="A552" s="1"/>
      <c r="B552" s="1"/>
      <c r="C552" s="1"/>
      <c r="D552" s="3"/>
      <c r="E552" s="1"/>
    </row>
    <row r="553" spans="1:5" x14ac:dyDescent="0.25">
      <c r="A553" s="1"/>
      <c r="B553" s="1"/>
      <c r="C553" s="1"/>
      <c r="D553" s="3"/>
      <c r="E553" s="1"/>
    </row>
    <row r="554" spans="1:5" x14ac:dyDescent="0.25">
      <c r="A554" s="1"/>
      <c r="B554" s="1"/>
      <c r="C554" s="1"/>
      <c r="D554" s="3"/>
      <c r="E554" s="1"/>
    </row>
    <row r="555" spans="1:5" x14ac:dyDescent="0.25">
      <c r="A555" s="1"/>
      <c r="B555" s="1"/>
      <c r="C555" s="1"/>
      <c r="D555" s="3"/>
      <c r="E555" s="1"/>
    </row>
    <row r="556" spans="1:5" x14ac:dyDescent="0.25">
      <c r="A556" s="1"/>
      <c r="B556" s="1"/>
      <c r="C556" s="1"/>
      <c r="D556" s="3"/>
      <c r="E556" s="1"/>
    </row>
    <row r="557" spans="1:5" x14ac:dyDescent="0.25">
      <c r="A557" s="1"/>
      <c r="B557" s="1"/>
      <c r="C557" s="1"/>
      <c r="D557" s="3"/>
      <c r="E557" s="1"/>
    </row>
    <row r="558" spans="1:5" x14ac:dyDescent="0.25">
      <c r="A558" s="1"/>
      <c r="B558" s="1"/>
      <c r="C558" s="1"/>
      <c r="D558" s="3"/>
      <c r="E558" s="1"/>
    </row>
    <row r="559" spans="1:5" x14ac:dyDescent="0.25">
      <c r="A559" s="1"/>
      <c r="B559" s="1"/>
      <c r="C559" s="1"/>
      <c r="D559" s="3"/>
      <c r="E559" s="1"/>
    </row>
    <row r="560" spans="1:5" x14ac:dyDescent="0.25">
      <c r="A560" s="1"/>
      <c r="B560" s="1"/>
      <c r="C560" s="1"/>
      <c r="D560" s="3"/>
      <c r="E560" s="1"/>
    </row>
    <row r="561" spans="1:5" x14ac:dyDescent="0.25">
      <c r="A561" s="1"/>
      <c r="B561" s="1"/>
      <c r="C561" s="1"/>
      <c r="D561" s="3"/>
      <c r="E561" s="1"/>
    </row>
    <row r="562" spans="1:5" x14ac:dyDescent="0.25">
      <c r="A562" s="1"/>
      <c r="B562" s="1"/>
      <c r="C562" s="1"/>
      <c r="D562" s="3"/>
      <c r="E562" s="1"/>
    </row>
    <row r="563" spans="1:5" x14ac:dyDescent="0.25">
      <c r="A563" s="1"/>
      <c r="B563" s="1"/>
      <c r="C563" s="1"/>
      <c r="D563" s="3"/>
      <c r="E563" s="1"/>
    </row>
    <row r="564" spans="1:5" x14ac:dyDescent="0.25">
      <c r="A564" s="1"/>
      <c r="B564" s="1"/>
      <c r="C564" s="1"/>
      <c r="D564" s="3"/>
      <c r="E564" s="1"/>
    </row>
    <row r="565" spans="1:5" x14ac:dyDescent="0.25">
      <c r="A565" s="1"/>
      <c r="B565" s="1"/>
      <c r="C565" s="1"/>
      <c r="D565" s="3"/>
      <c r="E565" s="1"/>
    </row>
    <row r="566" spans="1:5" x14ac:dyDescent="0.25">
      <c r="A566" s="1"/>
      <c r="B566" s="1"/>
      <c r="C566" s="1"/>
      <c r="D566" s="3"/>
      <c r="E566" s="1"/>
    </row>
    <row r="567" spans="1:5" x14ac:dyDescent="0.25">
      <c r="A567" s="1"/>
      <c r="B567" s="1"/>
      <c r="C567" s="1"/>
      <c r="D567" s="3"/>
      <c r="E567" s="1"/>
    </row>
    <row r="568" spans="1:5" x14ac:dyDescent="0.25">
      <c r="A568" s="1"/>
      <c r="B568" s="1"/>
      <c r="C568" s="1"/>
      <c r="D568" s="3"/>
      <c r="E568" s="1"/>
    </row>
    <row r="569" spans="1:5" x14ac:dyDescent="0.25">
      <c r="A569" s="1"/>
      <c r="B569" s="1"/>
      <c r="C569" s="1"/>
      <c r="D569" s="3"/>
      <c r="E569" s="1"/>
    </row>
    <row r="570" spans="1:5" x14ac:dyDescent="0.25">
      <c r="A570" s="1"/>
      <c r="B570" s="1"/>
      <c r="C570" s="1"/>
      <c r="D570" s="3"/>
      <c r="E570" s="1"/>
    </row>
    <row r="571" spans="1:5" x14ac:dyDescent="0.25">
      <c r="A571" s="1"/>
      <c r="B571" s="1"/>
      <c r="C571" s="1"/>
      <c r="D571" s="3"/>
      <c r="E571" s="1"/>
    </row>
    <row r="572" spans="1:5" x14ac:dyDescent="0.25">
      <c r="A572" s="1"/>
      <c r="B572" s="1"/>
      <c r="C572" s="1"/>
      <c r="D572" s="3"/>
      <c r="E572" s="1"/>
    </row>
    <row r="573" spans="1:5" x14ac:dyDescent="0.25">
      <c r="A573" s="1"/>
      <c r="B573" s="1"/>
      <c r="C573" s="1"/>
      <c r="D573" s="3"/>
      <c r="E573" s="1"/>
    </row>
    <row r="574" spans="1:5" x14ac:dyDescent="0.25">
      <c r="A574" s="1"/>
      <c r="B574" s="1"/>
      <c r="C574" s="1"/>
      <c r="D574" s="3"/>
      <c r="E574" s="1"/>
    </row>
    <row r="575" spans="1:5" x14ac:dyDescent="0.25">
      <c r="A575" s="1"/>
      <c r="B575" s="1"/>
      <c r="C575" s="1"/>
      <c r="D575" s="3"/>
      <c r="E575" s="1"/>
    </row>
    <row r="576" spans="1:5" x14ac:dyDescent="0.25">
      <c r="A576" s="1"/>
      <c r="B576" s="1"/>
      <c r="C576" s="1"/>
      <c r="D576" s="3"/>
      <c r="E576" s="1"/>
    </row>
    <row r="577" spans="1:5" x14ac:dyDescent="0.25">
      <c r="A577" s="1"/>
      <c r="B577" s="1"/>
      <c r="C577" s="1"/>
      <c r="D577" s="3"/>
      <c r="E577" s="1"/>
    </row>
    <row r="578" spans="1:5" x14ac:dyDescent="0.25">
      <c r="A578" s="1"/>
      <c r="B578" s="1"/>
      <c r="C578" s="1"/>
      <c r="D578" s="3"/>
      <c r="E578" s="1"/>
    </row>
    <row r="579" spans="1:5" x14ac:dyDescent="0.25">
      <c r="A579" s="1"/>
      <c r="B579" s="1"/>
      <c r="C579" s="1"/>
      <c r="D579" s="3"/>
      <c r="E579" s="1"/>
    </row>
    <row r="580" spans="1:5" x14ac:dyDescent="0.25">
      <c r="A580" s="1"/>
      <c r="B580" s="1"/>
      <c r="C580" s="1"/>
      <c r="D580" s="3"/>
      <c r="E580" s="1"/>
    </row>
    <row r="581" spans="1:5" x14ac:dyDescent="0.25">
      <c r="A581" s="1"/>
      <c r="B581" s="1"/>
      <c r="C581" s="1"/>
      <c r="D581" s="3"/>
      <c r="E581" s="1"/>
    </row>
    <row r="582" spans="1:5" x14ac:dyDescent="0.25">
      <c r="A582" s="1"/>
      <c r="B582" s="1"/>
      <c r="C582" s="1"/>
      <c r="D582" s="3"/>
      <c r="E582" s="1"/>
    </row>
    <row r="583" spans="1:5" x14ac:dyDescent="0.25">
      <c r="A583" s="1"/>
      <c r="B583" s="1"/>
      <c r="C583" s="1"/>
      <c r="D583" s="3"/>
      <c r="E583" s="1"/>
    </row>
    <row r="584" spans="1:5" x14ac:dyDescent="0.25">
      <c r="A584" s="1"/>
      <c r="B584" s="1"/>
      <c r="C584" s="1"/>
      <c r="D584" s="3"/>
      <c r="E584" s="1"/>
    </row>
    <row r="585" spans="1:5" x14ac:dyDescent="0.25">
      <c r="A585" s="1"/>
      <c r="B585" s="1"/>
      <c r="C585" s="1"/>
      <c r="D585" s="3"/>
      <c r="E585" s="1"/>
    </row>
    <row r="586" spans="1:5" x14ac:dyDescent="0.25">
      <c r="A586" s="1"/>
      <c r="B586" s="1"/>
      <c r="C586" s="1"/>
      <c r="D586" s="3"/>
      <c r="E586" s="1"/>
    </row>
    <row r="587" spans="1:5" x14ac:dyDescent="0.25">
      <c r="A587" s="1"/>
      <c r="B587" s="1"/>
      <c r="C587" s="1"/>
      <c r="D587" s="3"/>
      <c r="E587" s="1"/>
    </row>
    <row r="588" spans="1:5" x14ac:dyDescent="0.25">
      <c r="A588" s="1"/>
      <c r="B588" s="1"/>
      <c r="C588" s="1"/>
      <c r="D588" s="3"/>
      <c r="E588" s="1"/>
    </row>
    <row r="589" spans="1:5" x14ac:dyDescent="0.25">
      <c r="A589" s="1"/>
      <c r="B589" s="1"/>
      <c r="C589" s="1"/>
      <c r="D589" s="3"/>
      <c r="E589" s="1"/>
    </row>
    <row r="590" spans="1:5" x14ac:dyDescent="0.25">
      <c r="A590" s="1"/>
      <c r="B590" s="1"/>
      <c r="C590" s="1"/>
      <c r="D590" s="3"/>
      <c r="E590" s="1"/>
    </row>
    <row r="591" spans="1:5" x14ac:dyDescent="0.25">
      <c r="A591" s="1"/>
      <c r="B591" s="1"/>
      <c r="C591" s="1"/>
      <c r="D591" s="3"/>
      <c r="E591" s="1"/>
    </row>
    <row r="592" spans="1:5" x14ac:dyDescent="0.25">
      <c r="A592" s="1"/>
      <c r="B592" s="1"/>
      <c r="C592" s="1"/>
      <c r="D592" s="3"/>
      <c r="E592" s="1"/>
    </row>
    <row r="593" spans="1:5" x14ac:dyDescent="0.25">
      <c r="A593" s="1"/>
      <c r="B593" s="1"/>
      <c r="C593" s="1"/>
      <c r="D593" s="3"/>
      <c r="E593" s="1"/>
    </row>
    <row r="594" spans="1:5" x14ac:dyDescent="0.25">
      <c r="A594" s="1"/>
      <c r="B594" s="1"/>
      <c r="C594" s="1"/>
      <c r="D594" s="3"/>
      <c r="E594" s="1"/>
    </row>
    <row r="595" spans="1:5" x14ac:dyDescent="0.25">
      <c r="A595" s="1"/>
      <c r="B595" s="1"/>
      <c r="C595" s="1"/>
      <c r="D595" s="3"/>
      <c r="E595" s="1"/>
    </row>
    <row r="596" spans="1:5" x14ac:dyDescent="0.25">
      <c r="A596" s="1"/>
      <c r="B596" s="1"/>
      <c r="C596" s="1"/>
      <c r="D596" s="3"/>
      <c r="E596" s="1"/>
    </row>
    <row r="597" spans="1:5" x14ac:dyDescent="0.25">
      <c r="A597" s="1"/>
      <c r="B597" s="1"/>
      <c r="C597" s="1"/>
      <c r="D597" s="3"/>
      <c r="E597" s="1"/>
    </row>
    <row r="598" spans="1:5" x14ac:dyDescent="0.25">
      <c r="A598" s="1"/>
      <c r="B598" s="1"/>
      <c r="C598" s="1"/>
      <c r="D598" s="3"/>
      <c r="E598" s="1"/>
    </row>
    <row r="599" spans="1:5" x14ac:dyDescent="0.25">
      <c r="A599" s="1"/>
      <c r="B599" s="1"/>
      <c r="C599" s="1"/>
      <c r="D599" s="3"/>
      <c r="E599" s="1"/>
    </row>
    <row r="600" spans="1:5" x14ac:dyDescent="0.25">
      <c r="A600" s="1"/>
      <c r="B600" s="1"/>
      <c r="C600" s="1"/>
      <c r="D600" s="3"/>
      <c r="E600" s="1"/>
    </row>
    <row r="601" spans="1:5" x14ac:dyDescent="0.25">
      <c r="A601" s="1"/>
      <c r="B601" s="1"/>
      <c r="C601" s="1"/>
      <c r="D601" s="3"/>
      <c r="E601" s="1"/>
    </row>
    <row r="602" spans="1:5" x14ac:dyDescent="0.25">
      <c r="A602" s="1"/>
      <c r="B602" s="1"/>
      <c r="C602" s="1"/>
      <c r="D602" s="3"/>
      <c r="E602" s="1"/>
    </row>
    <row r="603" spans="1:5" x14ac:dyDescent="0.25">
      <c r="A603" s="1"/>
      <c r="B603" s="1"/>
      <c r="C603" s="1"/>
      <c r="D603" s="3"/>
      <c r="E603" s="1"/>
    </row>
    <row r="604" spans="1:5" x14ac:dyDescent="0.25">
      <c r="A604" s="1"/>
      <c r="B604" s="1"/>
      <c r="C604" s="1"/>
      <c r="D604" s="3"/>
      <c r="E604" s="1"/>
    </row>
    <row r="605" spans="1:5" x14ac:dyDescent="0.25">
      <c r="A605" s="1"/>
      <c r="B605" s="1"/>
      <c r="C605" s="1"/>
      <c r="D605" s="3"/>
      <c r="E605" s="1"/>
    </row>
    <row r="606" spans="1:5" x14ac:dyDescent="0.25">
      <c r="A606" s="1"/>
      <c r="B606" s="1"/>
      <c r="C606" s="1"/>
      <c r="D606" s="3"/>
      <c r="E606" s="1"/>
    </row>
    <row r="607" spans="1:5" x14ac:dyDescent="0.25">
      <c r="A607" s="1"/>
      <c r="B607" s="1"/>
      <c r="C607" s="1"/>
      <c r="D607" s="3"/>
      <c r="E607" s="1"/>
    </row>
    <row r="608" spans="1:5" x14ac:dyDescent="0.25">
      <c r="A608" s="1"/>
      <c r="B608" s="1"/>
      <c r="C608" s="1"/>
      <c r="D608" s="3"/>
      <c r="E608" s="1"/>
    </row>
    <row r="609" spans="1:5" x14ac:dyDescent="0.25">
      <c r="A609" s="1"/>
      <c r="B609" s="1"/>
      <c r="C609" s="1"/>
      <c r="D609" s="3"/>
      <c r="E609" s="1"/>
    </row>
    <row r="610" spans="1:5" x14ac:dyDescent="0.25">
      <c r="A610" s="1"/>
      <c r="B610" s="1"/>
      <c r="C610" s="1"/>
      <c r="D610" s="3"/>
      <c r="E610" s="1"/>
    </row>
    <row r="611" spans="1:5" x14ac:dyDescent="0.25">
      <c r="A611" s="1"/>
      <c r="B611" s="1"/>
      <c r="C611" s="1"/>
      <c r="D611" s="3"/>
      <c r="E611" s="1"/>
    </row>
    <row r="612" spans="1:5" x14ac:dyDescent="0.25">
      <c r="A612" s="1"/>
      <c r="B612" s="1"/>
      <c r="C612" s="1"/>
      <c r="D612" s="3"/>
      <c r="E612" s="1"/>
    </row>
    <row r="613" spans="1:5" x14ac:dyDescent="0.25">
      <c r="A613" s="1"/>
      <c r="B613" s="1"/>
      <c r="C613" s="1"/>
      <c r="D613" s="3"/>
      <c r="E613" s="1"/>
    </row>
    <row r="614" spans="1:5" x14ac:dyDescent="0.25">
      <c r="A614" s="1"/>
      <c r="B614" s="1"/>
      <c r="C614" s="1"/>
      <c r="D614" s="3"/>
      <c r="E614" s="1"/>
    </row>
    <row r="615" spans="1:5" x14ac:dyDescent="0.25">
      <c r="A615" s="1"/>
      <c r="B615" s="1"/>
      <c r="C615" s="1"/>
      <c r="D615" s="3"/>
      <c r="E615" s="1"/>
    </row>
    <row r="616" spans="1:5" x14ac:dyDescent="0.25">
      <c r="A616" s="1"/>
      <c r="B616" s="1"/>
      <c r="C616" s="1"/>
      <c r="D616" s="3"/>
      <c r="E616" s="1"/>
    </row>
    <row r="617" spans="1:5" x14ac:dyDescent="0.25">
      <c r="A617" s="1"/>
      <c r="B617" s="1"/>
      <c r="C617" s="1"/>
      <c r="D617" s="3"/>
      <c r="E617" s="1"/>
    </row>
    <row r="618" spans="1:5" x14ac:dyDescent="0.25">
      <c r="A618" s="1"/>
      <c r="B618" s="1"/>
      <c r="C618" s="1"/>
      <c r="D618" s="3"/>
      <c r="E618" s="1"/>
    </row>
    <row r="619" spans="1:5" x14ac:dyDescent="0.25">
      <c r="A619" s="1"/>
      <c r="B619" s="1"/>
      <c r="C619" s="1"/>
      <c r="D619" s="3"/>
      <c r="E619" s="1"/>
    </row>
    <row r="620" spans="1:5" x14ac:dyDescent="0.25">
      <c r="A620" s="1"/>
      <c r="B620" s="1"/>
      <c r="C620" s="1"/>
      <c r="D620" s="3"/>
      <c r="E620" s="1"/>
    </row>
    <row r="621" spans="1:5" x14ac:dyDescent="0.25">
      <c r="A621" s="1"/>
      <c r="B621" s="1"/>
      <c r="C621" s="1"/>
      <c r="D621" s="3"/>
      <c r="E621" s="1"/>
    </row>
    <row r="622" spans="1:5" x14ac:dyDescent="0.25">
      <c r="A622" s="1"/>
      <c r="B622" s="1"/>
      <c r="C622" s="1"/>
      <c r="D622" s="3"/>
      <c r="E622" s="1"/>
    </row>
    <row r="623" spans="1:5" x14ac:dyDescent="0.25">
      <c r="A623" s="1"/>
      <c r="B623" s="1"/>
      <c r="C623" s="1"/>
      <c r="D623" s="3"/>
      <c r="E623" s="1"/>
    </row>
    <row r="624" spans="1:5" x14ac:dyDescent="0.25">
      <c r="A624" s="1"/>
      <c r="B624" s="1"/>
      <c r="C624" s="1"/>
      <c r="D624" s="3"/>
      <c r="E624" s="1"/>
    </row>
    <row r="625" spans="1:5" x14ac:dyDescent="0.25">
      <c r="A625" s="1"/>
      <c r="B625" s="1"/>
      <c r="C625" s="1"/>
      <c r="D625" s="3"/>
      <c r="E625" s="1"/>
    </row>
    <row r="626" spans="1:5" x14ac:dyDescent="0.25">
      <c r="A626" s="1"/>
      <c r="B626" s="1"/>
      <c r="C626" s="1"/>
      <c r="D626" s="3"/>
      <c r="E626" s="1"/>
    </row>
    <row r="627" spans="1:5" x14ac:dyDescent="0.25">
      <c r="A627" s="1"/>
      <c r="B627" s="1"/>
      <c r="C627" s="1"/>
      <c r="D627" s="3"/>
      <c r="E627" s="1"/>
    </row>
    <row r="628" spans="1:5" x14ac:dyDescent="0.25">
      <c r="A628" s="1"/>
      <c r="B628" s="1"/>
      <c r="C628" s="1"/>
      <c r="D628" s="3"/>
      <c r="E628" s="1"/>
    </row>
    <row r="629" spans="1:5" x14ac:dyDescent="0.25">
      <c r="A629" s="1"/>
      <c r="B629" s="1"/>
      <c r="C629" s="1"/>
      <c r="D629" s="3"/>
      <c r="E629" s="1"/>
    </row>
    <row r="630" spans="1:5" x14ac:dyDescent="0.25">
      <c r="A630" s="1"/>
      <c r="B630" s="1"/>
      <c r="C630" s="1"/>
      <c r="D630" s="3"/>
      <c r="E630" s="1"/>
    </row>
    <row r="631" spans="1:5" x14ac:dyDescent="0.25">
      <c r="A631" s="1"/>
      <c r="B631" s="1"/>
      <c r="C631" s="1"/>
      <c r="D631" s="3"/>
      <c r="E631" s="1"/>
    </row>
    <row r="632" spans="1:5" x14ac:dyDescent="0.25">
      <c r="A632" s="1"/>
      <c r="B632" s="1"/>
      <c r="C632" s="1"/>
      <c r="D632" s="3"/>
      <c r="E632" s="1"/>
    </row>
    <row r="633" spans="1:5" x14ac:dyDescent="0.25">
      <c r="A633" s="1"/>
      <c r="B633" s="1"/>
      <c r="C633" s="1"/>
      <c r="D633" s="3"/>
      <c r="E633" s="1"/>
    </row>
    <row r="634" spans="1:5" x14ac:dyDescent="0.25">
      <c r="A634" s="1"/>
      <c r="B634" s="1"/>
      <c r="C634" s="1"/>
      <c r="D634" s="3"/>
      <c r="E634" s="1"/>
    </row>
    <row r="635" spans="1:5" x14ac:dyDescent="0.25">
      <c r="A635" s="1"/>
      <c r="B635" s="1"/>
      <c r="C635" s="1"/>
      <c r="D635" s="3"/>
      <c r="E635" s="1"/>
    </row>
    <row r="636" spans="1:5" x14ac:dyDescent="0.25">
      <c r="A636" s="1"/>
      <c r="B636" s="1"/>
      <c r="C636" s="1"/>
      <c r="D636" s="3"/>
      <c r="E636" s="1"/>
    </row>
    <row r="637" spans="1:5" x14ac:dyDescent="0.25">
      <c r="A637" s="1"/>
      <c r="B637" s="1"/>
      <c r="C637" s="1"/>
      <c r="D637" s="3"/>
      <c r="E637" s="1"/>
    </row>
    <row r="638" spans="1:5" x14ac:dyDescent="0.25">
      <c r="A638" s="1"/>
      <c r="B638" s="1"/>
      <c r="C638" s="1"/>
      <c r="D638" s="3"/>
      <c r="E638" s="1"/>
    </row>
    <row r="639" spans="1:5" x14ac:dyDescent="0.25">
      <c r="A639" s="1"/>
      <c r="B639" s="1"/>
      <c r="C639" s="1"/>
      <c r="D639" s="3"/>
      <c r="E639" s="1"/>
    </row>
    <row r="640" spans="1:5" x14ac:dyDescent="0.25">
      <c r="A640" s="1"/>
      <c r="B640" s="1"/>
      <c r="C640" s="1"/>
      <c r="D640" s="3"/>
      <c r="E640" s="1"/>
    </row>
    <row r="641" spans="1:5" x14ac:dyDescent="0.25">
      <c r="A641" s="1"/>
      <c r="B641" s="1"/>
      <c r="C641" s="1"/>
      <c r="D641" s="3"/>
      <c r="E641" s="1"/>
    </row>
    <row r="642" spans="1:5" x14ac:dyDescent="0.25">
      <c r="A642" s="1"/>
      <c r="B642" s="1"/>
      <c r="C642" s="1"/>
      <c r="D642" s="3"/>
      <c r="E642" s="1"/>
    </row>
    <row r="643" spans="1:5" x14ac:dyDescent="0.25">
      <c r="A643" s="1"/>
      <c r="B643" s="1"/>
      <c r="C643" s="1"/>
      <c r="D643" s="3"/>
      <c r="E643" s="1"/>
    </row>
    <row r="644" spans="1:5" x14ac:dyDescent="0.25">
      <c r="A644" s="1"/>
      <c r="B644" s="1"/>
      <c r="C644" s="1"/>
      <c r="D644" s="3"/>
      <c r="E644" s="1"/>
    </row>
    <row r="645" spans="1:5" x14ac:dyDescent="0.25">
      <c r="A645" s="1"/>
      <c r="B645" s="1"/>
      <c r="C645" s="1"/>
      <c r="D645" s="3"/>
      <c r="E645" s="1"/>
    </row>
    <row r="646" spans="1:5" x14ac:dyDescent="0.25">
      <c r="A646" s="1"/>
      <c r="B646" s="1"/>
      <c r="C646" s="1"/>
      <c r="D646" s="3"/>
      <c r="E646" s="1"/>
    </row>
    <row r="647" spans="1:5" x14ac:dyDescent="0.25">
      <c r="A647" s="1"/>
      <c r="B647" s="1"/>
      <c r="C647" s="1"/>
      <c r="D647" s="3"/>
      <c r="E647" s="1"/>
    </row>
    <row r="648" spans="1:5" x14ac:dyDescent="0.25">
      <c r="A648" s="1"/>
      <c r="B648" s="1"/>
      <c r="C648" s="1"/>
      <c r="D648" s="3"/>
      <c r="E648" s="1"/>
    </row>
    <row r="649" spans="1:5" x14ac:dyDescent="0.25">
      <c r="A649" s="1"/>
      <c r="B649" s="1"/>
      <c r="C649" s="1"/>
      <c r="D649" s="3"/>
      <c r="E649" s="1"/>
    </row>
    <row r="650" spans="1:5" x14ac:dyDescent="0.25">
      <c r="A650" s="1"/>
      <c r="B650" s="1"/>
      <c r="C650" s="1"/>
      <c r="D650" s="3"/>
      <c r="E650" s="1"/>
    </row>
    <row r="651" spans="1:5" x14ac:dyDescent="0.25">
      <c r="A651" s="1"/>
      <c r="B651" s="1"/>
      <c r="C651" s="1"/>
      <c r="D651" s="3"/>
      <c r="E651" s="1"/>
    </row>
    <row r="652" spans="1:5" x14ac:dyDescent="0.25">
      <c r="A652" s="1"/>
      <c r="B652" s="1"/>
      <c r="C652" s="1"/>
      <c r="D652" s="3"/>
      <c r="E652" s="1"/>
    </row>
    <row r="653" spans="1:5" x14ac:dyDescent="0.25">
      <c r="A653" s="1"/>
      <c r="B653" s="1"/>
      <c r="C653" s="1"/>
      <c r="D653" s="3"/>
      <c r="E653" s="1"/>
    </row>
    <row r="654" spans="1:5" x14ac:dyDescent="0.25">
      <c r="A654" s="1"/>
      <c r="B654" s="1"/>
      <c r="C654" s="1"/>
      <c r="D654" s="3"/>
      <c r="E654" s="1"/>
    </row>
    <row r="655" spans="1:5" x14ac:dyDescent="0.25">
      <c r="A655" s="1"/>
      <c r="B655" s="1"/>
      <c r="C655" s="1"/>
      <c r="D655" s="3"/>
      <c r="E655" s="1"/>
    </row>
    <row r="656" spans="1:5" x14ac:dyDescent="0.25">
      <c r="A656" s="1"/>
      <c r="B656" s="1"/>
      <c r="C656" s="1"/>
      <c r="D656" s="3"/>
      <c r="E656" s="1"/>
    </row>
    <row r="657" spans="1:5" x14ac:dyDescent="0.25">
      <c r="A657" s="1"/>
      <c r="B657" s="1"/>
      <c r="C657" s="1"/>
      <c r="D657" s="3"/>
      <c r="E657" s="1"/>
    </row>
    <row r="658" spans="1:5" x14ac:dyDescent="0.25">
      <c r="A658" s="1"/>
      <c r="B658" s="1"/>
      <c r="C658" s="1"/>
      <c r="D658" s="3"/>
      <c r="E658" s="1"/>
    </row>
    <row r="659" spans="1:5" x14ac:dyDescent="0.25">
      <c r="A659" s="1"/>
      <c r="B659" s="1"/>
      <c r="C659" s="1"/>
      <c r="D659" s="3"/>
      <c r="E659" s="1"/>
    </row>
    <row r="660" spans="1:5" x14ac:dyDescent="0.25">
      <c r="A660" s="1"/>
      <c r="B660" s="1"/>
      <c r="C660" s="1"/>
      <c r="D660" s="3"/>
      <c r="E660" s="1"/>
    </row>
    <row r="661" spans="1:5" x14ac:dyDescent="0.25">
      <c r="A661" s="1"/>
      <c r="B661" s="1"/>
      <c r="C661" s="1"/>
      <c r="D661" s="3"/>
      <c r="E661" s="1"/>
    </row>
    <row r="662" spans="1:5" x14ac:dyDescent="0.25">
      <c r="A662" s="1"/>
      <c r="B662" s="1"/>
      <c r="C662" s="1"/>
      <c r="D662" s="3"/>
      <c r="E662" s="1"/>
    </row>
    <row r="663" spans="1:5" x14ac:dyDescent="0.25">
      <c r="A663" s="1"/>
      <c r="B663" s="1"/>
      <c r="C663" s="1"/>
      <c r="D663" s="3"/>
      <c r="E663" s="1"/>
    </row>
    <row r="664" spans="1:5" x14ac:dyDescent="0.25">
      <c r="A664" s="1"/>
      <c r="B664" s="1"/>
      <c r="C664" s="1"/>
      <c r="D664" s="3"/>
      <c r="E664" s="1"/>
    </row>
    <row r="665" spans="1:5" x14ac:dyDescent="0.25">
      <c r="A665" s="1"/>
      <c r="B665" s="1"/>
      <c r="C665" s="1"/>
      <c r="D665" s="3"/>
      <c r="E665" s="1"/>
    </row>
    <row r="666" spans="1:5" x14ac:dyDescent="0.25">
      <c r="A666" s="1"/>
      <c r="B666" s="1"/>
      <c r="C666" s="1"/>
      <c r="D666" s="3"/>
      <c r="E666" s="1"/>
    </row>
    <row r="667" spans="1:5" x14ac:dyDescent="0.25">
      <c r="A667" s="1"/>
      <c r="B667" s="1"/>
      <c r="C667" s="1"/>
      <c r="D667" s="3"/>
      <c r="E667" s="1"/>
    </row>
    <row r="668" spans="1:5" x14ac:dyDescent="0.25">
      <c r="A668" s="1"/>
      <c r="B668" s="1"/>
      <c r="C668" s="1"/>
      <c r="D668" s="3"/>
      <c r="E668" s="1"/>
    </row>
    <row r="669" spans="1:5" x14ac:dyDescent="0.25">
      <c r="A669" s="1"/>
      <c r="B669" s="1"/>
      <c r="C669" s="1"/>
      <c r="D669" s="3"/>
      <c r="E669" s="1"/>
    </row>
    <row r="670" spans="1:5" x14ac:dyDescent="0.25">
      <c r="A670" s="1"/>
      <c r="B670" s="1"/>
      <c r="C670" s="1"/>
      <c r="D670" s="3"/>
      <c r="E670" s="1"/>
    </row>
    <row r="671" spans="1:5" x14ac:dyDescent="0.25">
      <c r="A671" s="1"/>
      <c r="B671" s="1"/>
      <c r="C671" s="1"/>
      <c r="D671" s="3"/>
      <c r="E671" s="1"/>
    </row>
    <row r="672" spans="1:5" x14ac:dyDescent="0.25">
      <c r="A672" s="1"/>
      <c r="B672" s="1"/>
      <c r="C672" s="1"/>
      <c r="D672" s="3"/>
      <c r="E672" s="1"/>
    </row>
    <row r="673" spans="1:5" x14ac:dyDescent="0.25">
      <c r="A673" s="1"/>
      <c r="B673" s="1"/>
      <c r="C673" s="1"/>
      <c r="D673" s="3"/>
      <c r="E673" s="1"/>
    </row>
    <row r="674" spans="1:5" x14ac:dyDescent="0.25">
      <c r="A674" s="1"/>
      <c r="B674" s="1"/>
      <c r="C674" s="1"/>
      <c r="D674" s="3"/>
      <c r="E674" s="1"/>
    </row>
    <row r="675" spans="1:5" x14ac:dyDescent="0.25">
      <c r="A675" s="1"/>
      <c r="B675" s="1"/>
      <c r="C675" s="1"/>
      <c r="D675" s="3"/>
      <c r="E675" s="1"/>
    </row>
    <row r="676" spans="1:5" x14ac:dyDescent="0.25">
      <c r="A676" s="1"/>
      <c r="B676" s="1"/>
      <c r="C676" s="1"/>
      <c r="D676" s="3"/>
      <c r="E676" s="1"/>
    </row>
    <row r="677" spans="1:5" x14ac:dyDescent="0.25">
      <c r="A677" s="1"/>
      <c r="B677" s="1"/>
      <c r="C677" s="1"/>
      <c r="D677" s="3"/>
      <c r="E677" s="1"/>
    </row>
    <row r="678" spans="1:5" x14ac:dyDescent="0.25">
      <c r="A678" s="1"/>
      <c r="B678" s="1"/>
      <c r="C678" s="1"/>
      <c r="D678" s="3"/>
      <c r="E678" s="1"/>
    </row>
    <row r="679" spans="1:5" x14ac:dyDescent="0.25">
      <c r="A679" s="1"/>
      <c r="B679" s="1"/>
      <c r="C679" s="1"/>
      <c r="D679" s="3"/>
      <c r="E679" s="1"/>
    </row>
    <row r="680" spans="1:5" x14ac:dyDescent="0.25">
      <c r="A680" s="1"/>
      <c r="B680" s="1"/>
      <c r="C680" s="1"/>
      <c r="D680" s="3"/>
      <c r="E680" s="1"/>
    </row>
    <row r="681" spans="1:5" x14ac:dyDescent="0.25">
      <c r="A681" s="1"/>
      <c r="B681" s="1"/>
      <c r="C681" s="1"/>
      <c r="D681" s="3"/>
      <c r="E681" s="1"/>
    </row>
    <row r="682" spans="1:5" x14ac:dyDescent="0.25">
      <c r="A682" s="1"/>
      <c r="B682" s="1"/>
      <c r="C682" s="1"/>
      <c r="D682" s="3"/>
      <c r="E682" s="1"/>
    </row>
    <row r="683" spans="1:5" x14ac:dyDescent="0.25">
      <c r="A683" s="1"/>
      <c r="B683" s="1"/>
      <c r="C683" s="1"/>
      <c r="D683" s="3"/>
      <c r="E683" s="1"/>
    </row>
    <row r="684" spans="1:5" x14ac:dyDescent="0.25">
      <c r="A684" s="1"/>
      <c r="B684" s="1"/>
      <c r="C684" s="1"/>
      <c r="D684" s="3"/>
      <c r="E684" s="1"/>
    </row>
    <row r="685" spans="1:5" x14ac:dyDescent="0.25">
      <c r="A685" s="1"/>
      <c r="B685" s="1"/>
      <c r="C685" s="1"/>
      <c r="D685" s="3"/>
      <c r="E685" s="1"/>
    </row>
    <row r="686" spans="1:5" x14ac:dyDescent="0.25">
      <c r="A686" s="1"/>
      <c r="B686" s="1"/>
      <c r="C686" s="1"/>
      <c r="D686" s="3"/>
      <c r="E686" s="1"/>
    </row>
    <row r="687" spans="1:5" x14ac:dyDescent="0.25">
      <c r="A687" s="1"/>
      <c r="B687" s="1"/>
      <c r="C687" s="1"/>
      <c r="D687" s="3"/>
      <c r="E687" s="1"/>
    </row>
    <row r="688" spans="1:5" x14ac:dyDescent="0.25">
      <c r="A688" s="1"/>
      <c r="B688" s="1"/>
      <c r="C688" s="1"/>
      <c r="D688" s="3"/>
      <c r="E688" s="1"/>
    </row>
    <row r="689" spans="1:5" x14ac:dyDescent="0.25">
      <c r="A689" s="1"/>
      <c r="B689" s="1"/>
      <c r="C689" s="1"/>
      <c r="D689" s="3"/>
      <c r="E689" s="1"/>
    </row>
    <row r="690" spans="1:5" x14ac:dyDescent="0.25">
      <c r="A690" s="1"/>
      <c r="B690" s="1"/>
      <c r="C690" s="1"/>
      <c r="D690" s="3"/>
      <c r="E690" s="1"/>
    </row>
    <row r="691" spans="1:5" x14ac:dyDescent="0.25">
      <c r="A691" s="1"/>
      <c r="B691" s="1"/>
      <c r="C691" s="1"/>
      <c r="D691" s="3"/>
      <c r="E691" s="1"/>
    </row>
    <row r="692" spans="1:5" x14ac:dyDescent="0.25">
      <c r="A692" s="1"/>
      <c r="B692" s="1"/>
      <c r="C692" s="1"/>
      <c r="D692" s="3"/>
      <c r="E692" s="1"/>
    </row>
    <row r="693" spans="1:5" x14ac:dyDescent="0.25">
      <c r="A693" s="1"/>
      <c r="B693" s="1"/>
      <c r="C693" s="1"/>
      <c r="D693" s="3"/>
      <c r="E693" s="1"/>
    </row>
    <row r="694" spans="1:5" x14ac:dyDescent="0.25">
      <c r="A694" s="1"/>
      <c r="B694" s="1"/>
      <c r="C694" s="1"/>
      <c r="D694" s="3"/>
      <c r="E694" s="1"/>
    </row>
    <row r="695" spans="1:5" x14ac:dyDescent="0.25">
      <c r="A695" s="1"/>
      <c r="B695" s="1"/>
      <c r="C695" s="1"/>
      <c r="D695" s="3"/>
      <c r="E695" s="1"/>
    </row>
    <row r="696" spans="1:5" x14ac:dyDescent="0.25">
      <c r="A696" s="1"/>
      <c r="B696" s="1"/>
      <c r="C696" s="1"/>
      <c r="D696" s="3"/>
      <c r="E696" s="1"/>
    </row>
    <row r="697" spans="1:5" x14ac:dyDescent="0.25">
      <c r="A697" s="1"/>
      <c r="B697" s="1"/>
      <c r="C697" s="1"/>
      <c r="D697" s="3"/>
      <c r="E697" s="1"/>
    </row>
    <row r="698" spans="1:5" x14ac:dyDescent="0.25">
      <c r="A698" s="1"/>
      <c r="B698" s="1"/>
      <c r="C698" s="1"/>
      <c r="D698" s="3"/>
      <c r="E698" s="1"/>
    </row>
    <row r="699" spans="1:5" x14ac:dyDescent="0.25">
      <c r="A699" s="1"/>
      <c r="B699" s="1"/>
      <c r="C699" s="1"/>
      <c r="D699" s="3"/>
      <c r="E699" s="1"/>
    </row>
    <row r="700" spans="1:5" x14ac:dyDescent="0.25">
      <c r="A700" s="1"/>
      <c r="B700" s="1"/>
      <c r="C700" s="1"/>
      <c r="D700" s="3"/>
      <c r="E700" s="1"/>
    </row>
    <row r="701" spans="1:5" x14ac:dyDescent="0.25">
      <c r="A701" s="1"/>
      <c r="B701" s="1"/>
      <c r="C701" s="1"/>
      <c r="D701" s="3"/>
      <c r="E701" s="1"/>
    </row>
    <row r="702" spans="1:5" x14ac:dyDescent="0.25">
      <c r="A702" s="1"/>
      <c r="B702" s="1"/>
      <c r="C702" s="1"/>
      <c r="D702" s="3"/>
      <c r="E702" s="1"/>
    </row>
    <row r="703" spans="1:5" x14ac:dyDescent="0.25">
      <c r="A703" s="1"/>
      <c r="B703" s="1"/>
      <c r="C703" s="1"/>
      <c r="D703" s="3"/>
      <c r="E703" s="1"/>
    </row>
    <row r="704" spans="1:5" x14ac:dyDescent="0.25">
      <c r="A704" s="1"/>
      <c r="B704" s="1"/>
      <c r="C704" s="1"/>
      <c r="D704" s="3"/>
      <c r="E704" s="1"/>
    </row>
    <row r="705" spans="1:5" x14ac:dyDescent="0.25">
      <c r="A705" s="1"/>
      <c r="B705" s="1"/>
      <c r="C705" s="1"/>
      <c r="D705" s="3"/>
      <c r="E705" s="1"/>
    </row>
    <row r="706" spans="1:5" x14ac:dyDescent="0.25">
      <c r="A706" s="1"/>
      <c r="B706" s="1"/>
      <c r="C706" s="1"/>
      <c r="D706" s="3"/>
      <c r="E706" s="1"/>
    </row>
    <row r="707" spans="1:5" x14ac:dyDescent="0.25">
      <c r="A707" s="1"/>
      <c r="B707" s="1"/>
      <c r="C707" s="1"/>
      <c r="D707" s="3"/>
      <c r="E707" s="1"/>
    </row>
    <row r="708" spans="1:5" x14ac:dyDescent="0.25">
      <c r="A708" s="1"/>
      <c r="B708" s="1"/>
      <c r="C708" s="1"/>
      <c r="D708" s="3"/>
      <c r="E708" s="1"/>
    </row>
    <row r="709" spans="1:5" x14ac:dyDescent="0.25">
      <c r="A709" s="1"/>
      <c r="B709" s="1"/>
      <c r="C709" s="1"/>
      <c r="D709" s="3"/>
      <c r="E709" s="1"/>
    </row>
    <row r="710" spans="1:5" x14ac:dyDescent="0.25">
      <c r="A710" s="1"/>
      <c r="B710" s="1"/>
      <c r="C710" s="1"/>
      <c r="D710" s="3"/>
      <c r="E710" s="1"/>
    </row>
    <row r="711" spans="1:5" x14ac:dyDescent="0.25">
      <c r="A711" s="1"/>
      <c r="B711" s="1"/>
      <c r="C711" s="1"/>
      <c r="D711" s="3"/>
      <c r="E711" s="1"/>
    </row>
    <row r="712" spans="1:5" x14ac:dyDescent="0.25">
      <c r="A712" s="1"/>
      <c r="B712" s="1"/>
      <c r="C712" s="1"/>
      <c r="D712" s="3"/>
      <c r="E712" s="1"/>
    </row>
    <row r="713" spans="1:5" x14ac:dyDescent="0.25">
      <c r="A713" s="1"/>
      <c r="B713" s="1"/>
      <c r="C713" s="1"/>
      <c r="D713" s="3"/>
      <c r="E713" s="1"/>
    </row>
    <row r="714" spans="1:5" x14ac:dyDescent="0.25">
      <c r="A714" s="1"/>
      <c r="B714" s="1"/>
      <c r="C714" s="1"/>
      <c r="D714" s="3"/>
      <c r="E714" s="1"/>
    </row>
    <row r="715" spans="1:5" x14ac:dyDescent="0.25">
      <c r="A715" s="1"/>
      <c r="B715" s="1"/>
      <c r="C715" s="1"/>
      <c r="D715" s="3"/>
      <c r="E715" s="1"/>
    </row>
    <row r="716" spans="1:5" x14ac:dyDescent="0.25">
      <c r="A716" s="1"/>
      <c r="B716" s="1"/>
      <c r="C716" s="1"/>
      <c r="D716" s="3"/>
      <c r="E716" s="1"/>
    </row>
    <row r="717" spans="1:5" x14ac:dyDescent="0.25">
      <c r="A717" s="1"/>
      <c r="B717" s="1"/>
      <c r="C717" s="1"/>
      <c r="D717" s="3"/>
      <c r="E717" s="1"/>
    </row>
    <row r="718" spans="1:5" x14ac:dyDescent="0.25">
      <c r="A718" s="1"/>
      <c r="B718" s="1"/>
      <c r="C718" s="1"/>
      <c r="D718" s="3"/>
      <c r="E718" s="1"/>
    </row>
    <row r="719" spans="1:5" x14ac:dyDescent="0.25">
      <c r="A719" s="1"/>
      <c r="B719" s="1"/>
      <c r="C719" s="1"/>
      <c r="D719" s="3"/>
      <c r="E719" s="1"/>
    </row>
    <row r="720" spans="1:5" x14ac:dyDescent="0.25">
      <c r="A720" s="1"/>
      <c r="B720" s="1"/>
      <c r="C720" s="1"/>
      <c r="D720" s="3"/>
      <c r="E720" s="1"/>
    </row>
    <row r="721" spans="1:5" x14ac:dyDescent="0.25">
      <c r="A721" s="1"/>
      <c r="B721" s="1"/>
      <c r="C721" s="1"/>
      <c r="D721" s="3"/>
      <c r="E721" s="1"/>
    </row>
    <row r="722" spans="1:5" x14ac:dyDescent="0.25">
      <c r="A722" s="1"/>
      <c r="B722" s="1"/>
      <c r="C722" s="1"/>
      <c r="D722" s="3"/>
      <c r="E722" s="1"/>
    </row>
    <row r="723" spans="1:5" x14ac:dyDescent="0.25">
      <c r="A723" s="1"/>
      <c r="B723" s="1"/>
      <c r="C723" s="1"/>
      <c r="D723" s="3"/>
      <c r="E723" s="1"/>
    </row>
    <row r="724" spans="1:5" x14ac:dyDescent="0.25">
      <c r="A724" s="1"/>
      <c r="B724" s="1"/>
      <c r="C724" s="1"/>
      <c r="D724" s="3"/>
      <c r="E724" s="1"/>
    </row>
    <row r="725" spans="1:5" x14ac:dyDescent="0.25">
      <c r="A725" s="1"/>
      <c r="B725" s="1"/>
      <c r="C725" s="1"/>
      <c r="D725" s="3"/>
      <c r="E725" s="1"/>
    </row>
    <row r="726" spans="1:5" x14ac:dyDescent="0.25">
      <c r="A726" s="1"/>
      <c r="B726" s="1"/>
      <c r="C726" s="1"/>
      <c r="D726" s="3"/>
      <c r="E726" s="1"/>
    </row>
    <row r="727" spans="1:5" x14ac:dyDescent="0.25">
      <c r="A727" s="1"/>
      <c r="B727" s="1"/>
      <c r="C727" s="1"/>
      <c r="D727" s="3"/>
      <c r="E727" s="1"/>
    </row>
    <row r="728" spans="1:5" x14ac:dyDescent="0.25">
      <c r="A728" s="1"/>
      <c r="B728" s="1"/>
      <c r="C728" s="1"/>
      <c r="D728" s="3"/>
      <c r="E728" s="1"/>
    </row>
    <row r="729" spans="1:5" x14ac:dyDescent="0.25">
      <c r="A729" s="1"/>
      <c r="B729" s="1"/>
      <c r="C729" s="1"/>
      <c r="D729" s="3"/>
      <c r="E729" s="1"/>
    </row>
    <row r="730" spans="1:5" x14ac:dyDescent="0.25">
      <c r="A730" s="1"/>
      <c r="B730" s="1"/>
      <c r="C730" s="1"/>
      <c r="D730" s="3"/>
      <c r="E730" s="1"/>
    </row>
    <row r="731" spans="1:5" x14ac:dyDescent="0.25">
      <c r="A731" s="1"/>
      <c r="B731" s="1"/>
      <c r="C731" s="1"/>
      <c r="D731" s="3"/>
      <c r="E731" s="1"/>
    </row>
    <row r="732" spans="1:5" x14ac:dyDescent="0.25">
      <c r="A732" s="1"/>
      <c r="B732" s="1"/>
      <c r="C732" s="1"/>
      <c r="D732" s="3"/>
      <c r="E732" s="1"/>
    </row>
    <row r="733" spans="1:5" x14ac:dyDescent="0.25">
      <c r="A733" s="1"/>
      <c r="B733" s="1"/>
      <c r="C733" s="1"/>
      <c r="D733" s="3"/>
      <c r="E733" s="1"/>
    </row>
    <row r="734" spans="1:5" x14ac:dyDescent="0.25">
      <c r="A734" s="1"/>
      <c r="B734" s="1"/>
      <c r="C734" s="1"/>
      <c r="D734" s="3"/>
      <c r="E734" s="1"/>
    </row>
    <row r="735" spans="1:5" x14ac:dyDescent="0.25">
      <c r="A735" s="1"/>
      <c r="B735" s="1"/>
      <c r="C735" s="1"/>
      <c r="D735" s="3"/>
      <c r="E735" s="1"/>
    </row>
    <row r="736" spans="1:5" x14ac:dyDescent="0.25">
      <c r="A736" s="1"/>
      <c r="B736" s="1"/>
      <c r="C736" s="1"/>
      <c r="D736" s="3"/>
      <c r="E736" s="1"/>
    </row>
    <row r="737" spans="1:5" x14ac:dyDescent="0.25">
      <c r="A737" s="1"/>
      <c r="B737" s="1"/>
      <c r="C737" s="1"/>
      <c r="D737" s="3"/>
      <c r="E737" s="1"/>
    </row>
    <row r="738" spans="1:5" x14ac:dyDescent="0.25">
      <c r="A738" s="1"/>
      <c r="B738" s="1"/>
      <c r="C738" s="1"/>
      <c r="D738" s="3"/>
      <c r="E738" s="1"/>
    </row>
    <row r="739" spans="1:5" x14ac:dyDescent="0.25">
      <c r="A739" s="1"/>
      <c r="B739" s="1"/>
      <c r="C739" s="1"/>
      <c r="D739" s="3"/>
      <c r="E739" s="1"/>
    </row>
    <row r="740" spans="1:5" x14ac:dyDescent="0.25">
      <c r="A740" s="1"/>
      <c r="B740" s="1"/>
      <c r="C740" s="1"/>
      <c r="D740" s="3"/>
      <c r="E740" s="1"/>
    </row>
    <row r="741" spans="1:5" x14ac:dyDescent="0.25">
      <c r="A741" s="1"/>
      <c r="B741" s="1"/>
      <c r="C741" s="1"/>
      <c r="D741" s="3"/>
      <c r="E741" s="1"/>
    </row>
    <row r="742" spans="1:5" x14ac:dyDescent="0.25">
      <c r="A742" s="1"/>
      <c r="B742" s="1"/>
      <c r="C742" s="1"/>
      <c r="D742" s="3"/>
      <c r="E742" s="1"/>
    </row>
    <row r="743" spans="1:5" x14ac:dyDescent="0.25">
      <c r="A743" s="1"/>
      <c r="B743" s="1"/>
      <c r="C743" s="1"/>
      <c r="D743" s="3"/>
      <c r="E743" s="1"/>
    </row>
    <row r="744" spans="1:5" x14ac:dyDescent="0.25">
      <c r="A744" s="1"/>
      <c r="B744" s="1"/>
      <c r="C744" s="1"/>
      <c r="D744" s="3"/>
      <c r="E744" s="1"/>
    </row>
    <row r="745" spans="1:5" x14ac:dyDescent="0.25">
      <c r="A745" s="1"/>
      <c r="B745" s="1"/>
      <c r="C745" s="1"/>
      <c r="D745" s="3"/>
      <c r="E745" s="1"/>
    </row>
    <row r="746" spans="1:5" x14ac:dyDescent="0.25">
      <c r="A746" s="1"/>
      <c r="B746" s="1"/>
      <c r="C746" s="1"/>
      <c r="D746" s="3"/>
      <c r="E746" s="1"/>
    </row>
    <row r="747" spans="1:5" x14ac:dyDescent="0.25">
      <c r="A747" s="1"/>
      <c r="B747" s="1"/>
      <c r="C747" s="1"/>
      <c r="D747" s="3"/>
      <c r="E747" s="1"/>
    </row>
    <row r="748" spans="1:5" x14ac:dyDescent="0.25">
      <c r="A748" s="1"/>
      <c r="B748" s="1"/>
      <c r="C748" s="1"/>
      <c r="D748" s="3"/>
      <c r="E748" s="1"/>
    </row>
    <row r="749" spans="1:5" x14ac:dyDescent="0.25">
      <c r="A749" s="1"/>
      <c r="B749" s="1"/>
      <c r="C749" s="1"/>
      <c r="D749" s="3"/>
      <c r="E749" s="1"/>
    </row>
    <row r="750" spans="1:5" x14ac:dyDescent="0.25">
      <c r="A750" s="1"/>
      <c r="B750" s="1"/>
      <c r="C750" s="1"/>
      <c r="D750" s="3"/>
      <c r="E750" s="1"/>
    </row>
    <row r="751" spans="1:5" x14ac:dyDescent="0.25">
      <c r="A751" s="1"/>
      <c r="B751" s="1"/>
      <c r="C751" s="1"/>
      <c r="D751" s="3"/>
      <c r="E751" s="1"/>
    </row>
    <row r="752" spans="1:5" x14ac:dyDescent="0.25">
      <c r="A752" s="1"/>
      <c r="B752" s="1"/>
      <c r="C752" s="1"/>
      <c r="D752" s="3"/>
      <c r="E752" s="1"/>
    </row>
    <row r="753" spans="1:5" x14ac:dyDescent="0.25">
      <c r="A753" s="1"/>
      <c r="B753" s="1"/>
      <c r="C753" s="1"/>
      <c r="D753" s="3"/>
      <c r="E753" s="1"/>
    </row>
    <row r="754" spans="1:5" x14ac:dyDescent="0.25">
      <c r="A754" s="1"/>
      <c r="B754" s="1"/>
      <c r="C754" s="1"/>
      <c r="D754" s="3"/>
      <c r="E754" s="1"/>
    </row>
    <row r="755" spans="1:5" x14ac:dyDescent="0.25">
      <c r="A755" s="1"/>
      <c r="B755" s="1"/>
      <c r="C755" s="1"/>
      <c r="D755" s="3"/>
      <c r="E755" s="1"/>
    </row>
    <row r="756" spans="1:5" x14ac:dyDescent="0.25">
      <c r="A756" s="1"/>
      <c r="B756" s="1"/>
      <c r="C756" s="1"/>
      <c r="D756" s="3"/>
      <c r="E756" s="1"/>
    </row>
    <row r="757" spans="1:5" x14ac:dyDescent="0.25">
      <c r="A757" s="1"/>
      <c r="B757" s="1"/>
      <c r="C757" s="1"/>
      <c r="D757" s="3"/>
      <c r="E757" s="1"/>
    </row>
    <row r="758" spans="1:5" x14ac:dyDescent="0.25">
      <c r="A758" s="1"/>
      <c r="B758" s="1"/>
      <c r="C758" s="1"/>
      <c r="D758" s="3"/>
      <c r="E758" s="1"/>
    </row>
    <row r="759" spans="1:5" x14ac:dyDescent="0.25">
      <c r="A759" s="1"/>
      <c r="B759" s="1"/>
      <c r="C759" s="1"/>
      <c r="D759" s="3"/>
      <c r="E759" s="1"/>
    </row>
    <row r="760" spans="1:5" x14ac:dyDescent="0.25">
      <c r="A760" s="1"/>
      <c r="B760" s="1"/>
      <c r="C760" s="1"/>
      <c r="D760" s="3"/>
      <c r="E760" s="1"/>
    </row>
    <row r="761" spans="1:5" x14ac:dyDescent="0.25">
      <c r="A761" s="1"/>
      <c r="B761" s="1"/>
      <c r="C761" s="1"/>
      <c r="D761" s="3"/>
      <c r="E761" s="1"/>
    </row>
    <row r="762" spans="1:5" x14ac:dyDescent="0.25">
      <c r="A762" s="1"/>
      <c r="B762" s="1"/>
      <c r="C762" s="1"/>
      <c r="D762" s="3"/>
      <c r="E762" s="1"/>
    </row>
    <row r="763" spans="1:5" x14ac:dyDescent="0.25">
      <c r="A763" s="1"/>
      <c r="B763" s="1"/>
      <c r="C763" s="1"/>
      <c r="D763" s="3"/>
      <c r="E763" s="1"/>
    </row>
    <row r="764" spans="1:5" x14ac:dyDescent="0.25">
      <c r="A764" s="1"/>
      <c r="B764" s="1"/>
      <c r="C764" s="1"/>
      <c r="D764" s="3"/>
      <c r="E764" s="1"/>
    </row>
    <row r="765" spans="1:5" x14ac:dyDescent="0.25">
      <c r="A765" s="1"/>
      <c r="B765" s="1"/>
      <c r="C765" s="1"/>
      <c r="D765" s="3"/>
      <c r="E765" s="1"/>
    </row>
    <row r="766" spans="1:5" x14ac:dyDescent="0.25">
      <c r="A766" s="1"/>
      <c r="B766" s="1"/>
      <c r="C766" s="1"/>
      <c r="D766" s="3"/>
      <c r="E766" s="1"/>
    </row>
    <row r="767" spans="1:5" x14ac:dyDescent="0.25">
      <c r="A767" s="1"/>
      <c r="B767" s="1"/>
      <c r="C767" s="1"/>
      <c r="D767" s="3"/>
      <c r="E767" s="1"/>
    </row>
    <row r="768" spans="1:5" x14ac:dyDescent="0.25">
      <c r="A768" s="1"/>
      <c r="B768" s="1"/>
      <c r="C768" s="1"/>
      <c r="D768" s="3"/>
      <c r="E768" s="1"/>
    </row>
    <row r="769" spans="1:5" x14ac:dyDescent="0.25">
      <c r="A769" s="1"/>
      <c r="B769" s="1"/>
      <c r="C769" s="1"/>
      <c r="D769" s="3"/>
      <c r="E769" s="1"/>
    </row>
    <row r="770" spans="1:5" x14ac:dyDescent="0.25">
      <c r="A770" s="1"/>
      <c r="B770" s="1"/>
      <c r="C770" s="1"/>
      <c r="D770" s="3"/>
      <c r="E770" s="1"/>
    </row>
    <row r="771" spans="1:5" x14ac:dyDescent="0.25">
      <c r="A771" s="1"/>
      <c r="B771" s="1"/>
      <c r="C771" s="1"/>
      <c r="D771" s="3"/>
      <c r="E771" s="1"/>
    </row>
    <row r="772" spans="1:5" x14ac:dyDescent="0.25">
      <c r="A772" s="1"/>
      <c r="B772" s="1"/>
      <c r="C772" s="1"/>
      <c r="D772" s="3"/>
      <c r="E772" s="1"/>
    </row>
    <row r="773" spans="1:5" x14ac:dyDescent="0.25">
      <c r="A773" s="1"/>
      <c r="B773" s="1"/>
      <c r="C773" s="1"/>
      <c r="D773" s="3"/>
      <c r="E773" s="1"/>
    </row>
    <row r="774" spans="1:5" x14ac:dyDescent="0.25">
      <c r="A774" s="1"/>
      <c r="B774" s="1"/>
      <c r="C774" s="1"/>
      <c r="D774" s="3"/>
      <c r="E774" s="1"/>
    </row>
    <row r="775" spans="1:5" x14ac:dyDescent="0.25">
      <c r="A775" s="1"/>
      <c r="B775" s="1"/>
      <c r="C775" s="1"/>
      <c r="D775" s="3"/>
      <c r="E775" s="1"/>
    </row>
    <row r="776" spans="1:5" x14ac:dyDescent="0.25">
      <c r="A776" s="1"/>
      <c r="B776" s="1"/>
      <c r="C776" s="1"/>
      <c r="D776" s="3"/>
      <c r="E776" s="1"/>
    </row>
    <row r="777" spans="1:5" x14ac:dyDescent="0.25">
      <c r="A777" s="1"/>
      <c r="B777" s="1"/>
      <c r="C777" s="1"/>
      <c r="D777" s="3"/>
      <c r="E777" s="1"/>
    </row>
    <row r="778" spans="1:5" x14ac:dyDescent="0.25">
      <c r="A778" s="1"/>
      <c r="B778" s="1"/>
      <c r="C778" s="1"/>
      <c r="D778" s="3"/>
      <c r="E778" s="1"/>
    </row>
    <row r="779" spans="1:5" x14ac:dyDescent="0.25">
      <c r="A779" s="1"/>
      <c r="B779" s="1"/>
      <c r="C779" s="1"/>
      <c r="D779" s="3"/>
      <c r="E779" s="1"/>
    </row>
    <row r="780" spans="1:5" x14ac:dyDescent="0.25">
      <c r="A780" s="1"/>
      <c r="B780" s="1"/>
      <c r="C780" s="1"/>
      <c r="D780" s="3"/>
      <c r="E780" s="1"/>
    </row>
    <row r="781" spans="1:5" x14ac:dyDescent="0.25">
      <c r="A781" s="1"/>
      <c r="B781" s="1"/>
      <c r="C781" s="1"/>
      <c r="D781" s="3"/>
      <c r="E781" s="1"/>
    </row>
    <row r="782" spans="1:5" x14ac:dyDescent="0.25">
      <c r="A782" s="1"/>
      <c r="B782" s="1"/>
      <c r="C782" s="1"/>
      <c r="D782" s="3"/>
      <c r="E782" s="1"/>
    </row>
    <row r="783" spans="1:5" x14ac:dyDescent="0.25">
      <c r="A783" s="1"/>
      <c r="B783" s="1"/>
      <c r="C783" s="1"/>
      <c r="D783" s="3"/>
      <c r="E783" s="1"/>
    </row>
    <row r="784" spans="1:5" x14ac:dyDescent="0.25">
      <c r="A784" s="1"/>
      <c r="B784" s="1"/>
      <c r="C784" s="1"/>
      <c r="D784" s="3"/>
      <c r="E784" s="1"/>
    </row>
    <row r="785" spans="1:5" x14ac:dyDescent="0.25">
      <c r="A785" s="1"/>
      <c r="B785" s="1"/>
      <c r="C785" s="1"/>
      <c r="D785" s="3"/>
      <c r="E785" s="1"/>
    </row>
    <row r="786" spans="1:5" x14ac:dyDescent="0.25">
      <c r="A786" s="1"/>
      <c r="B786" s="1"/>
      <c r="C786" s="1"/>
      <c r="D786" s="3"/>
      <c r="E786" s="1"/>
    </row>
    <row r="787" spans="1:5" x14ac:dyDescent="0.25">
      <c r="A787" s="1"/>
      <c r="B787" s="1"/>
      <c r="C787" s="1"/>
      <c r="D787" s="3"/>
      <c r="E787" s="1"/>
    </row>
    <row r="788" spans="1:5" x14ac:dyDescent="0.25">
      <c r="A788" s="1"/>
      <c r="B788" s="1"/>
      <c r="C788" s="1"/>
      <c r="D788" s="3"/>
      <c r="E788" s="1"/>
    </row>
    <row r="789" spans="1:5" x14ac:dyDescent="0.25">
      <c r="A789" s="1"/>
      <c r="B789" s="1"/>
      <c r="C789" s="1"/>
      <c r="D789" s="3"/>
      <c r="E789" s="1"/>
    </row>
    <row r="790" spans="1:5" x14ac:dyDescent="0.25">
      <c r="A790" s="1"/>
      <c r="B790" s="1"/>
      <c r="C790" s="1"/>
      <c r="D790" s="3"/>
      <c r="E790" s="1"/>
    </row>
    <row r="791" spans="1:5" x14ac:dyDescent="0.25">
      <c r="A791" s="1"/>
      <c r="B791" s="1"/>
      <c r="C791" s="1"/>
      <c r="D791" s="3"/>
      <c r="E791" s="1"/>
    </row>
    <row r="792" spans="1:5" x14ac:dyDescent="0.25">
      <c r="A792" s="1"/>
      <c r="B792" s="1"/>
      <c r="C792" s="1"/>
      <c r="D792" s="3"/>
      <c r="E792" s="1"/>
    </row>
    <row r="793" spans="1:5" x14ac:dyDescent="0.25">
      <c r="A793" s="1"/>
      <c r="B793" s="1"/>
      <c r="C793" s="1"/>
      <c r="D793" s="3"/>
      <c r="E793" s="1"/>
    </row>
    <row r="794" spans="1:5" x14ac:dyDescent="0.25">
      <c r="A794" s="1"/>
      <c r="B794" s="1"/>
      <c r="C794" s="1"/>
      <c r="D794" s="3"/>
      <c r="E794" s="1"/>
    </row>
    <row r="795" spans="1:5" x14ac:dyDescent="0.25">
      <c r="A795" s="1"/>
      <c r="B795" s="1"/>
      <c r="C795" s="1"/>
      <c r="D795" s="3"/>
      <c r="E795" s="1"/>
    </row>
    <row r="796" spans="1:5" x14ac:dyDescent="0.25">
      <c r="A796" s="1"/>
      <c r="B796" s="1"/>
      <c r="C796" s="1"/>
      <c r="D796" s="3"/>
      <c r="E796" s="1"/>
    </row>
    <row r="797" spans="1:5" x14ac:dyDescent="0.25">
      <c r="A797" s="1"/>
      <c r="B797" s="1"/>
      <c r="C797" s="1"/>
      <c r="D797" s="3"/>
      <c r="E797" s="1"/>
    </row>
    <row r="798" spans="1:5" x14ac:dyDescent="0.25">
      <c r="A798" s="1"/>
      <c r="B798" s="1"/>
      <c r="C798" s="1"/>
      <c r="D798" s="3"/>
      <c r="E798" s="1"/>
    </row>
    <row r="799" spans="1:5" x14ac:dyDescent="0.25">
      <c r="A799" s="1"/>
      <c r="B799" s="1"/>
      <c r="C799" s="1"/>
      <c r="D799" s="3"/>
      <c r="E799" s="1"/>
    </row>
    <row r="800" spans="1:5" x14ac:dyDescent="0.25">
      <c r="A800" s="1"/>
      <c r="B800" s="1"/>
      <c r="C800" s="1"/>
      <c r="D800" s="3"/>
      <c r="E800" s="1"/>
    </row>
    <row r="801" spans="1:5" x14ac:dyDescent="0.25">
      <c r="A801" s="1"/>
      <c r="B801" s="1"/>
      <c r="C801" s="1"/>
      <c r="D801" s="3"/>
      <c r="E801" s="1"/>
    </row>
    <row r="802" spans="1:5" x14ac:dyDescent="0.25">
      <c r="A802" s="1"/>
      <c r="B802" s="1"/>
      <c r="C802" s="1"/>
      <c r="D802" s="3"/>
      <c r="E802" s="1"/>
    </row>
    <row r="803" spans="1:5" x14ac:dyDescent="0.25">
      <c r="A803" s="1"/>
      <c r="B803" s="1"/>
      <c r="C803" s="1"/>
      <c r="D803" s="3"/>
      <c r="E803" s="1"/>
    </row>
    <row r="804" spans="1:5" x14ac:dyDescent="0.25">
      <c r="A804" s="1"/>
      <c r="B804" s="1"/>
      <c r="C804" s="1"/>
      <c r="D804" s="3"/>
      <c r="E804" s="1"/>
    </row>
    <row r="805" spans="1:5" x14ac:dyDescent="0.25">
      <c r="A805" s="1"/>
      <c r="B805" s="1"/>
      <c r="C805" s="1"/>
      <c r="D805" s="3"/>
      <c r="E805" s="1"/>
    </row>
    <row r="806" spans="1:5" x14ac:dyDescent="0.25">
      <c r="A806" s="1"/>
      <c r="B806" s="1"/>
      <c r="C806" s="1"/>
      <c r="D806" s="3"/>
      <c r="E806" s="1"/>
    </row>
    <row r="807" spans="1:5" x14ac:dyDescent="0.25">
      <c r="A807" s="1"/>
      <c r="B807" s="1"/>
      <c r="C807" s="1"/>
      <c r="D807" s="3"/>
      <c r="E807" s="1"/>
    </row>
    <row r="808" spans="1:5" x14ac:dyDescent="0.25">
      <c r="A808" s="1"/>
      <c r="B808" s="1"/>
      <c r="C808" s="1"/>
      <c r="D808" s="3"/>
      <c r="E808" s="1"/>
    </row>
    <row r="809" spans="1:5" x14ac:dyDescent="0.25">
      <c r="A809" s="1"/>
      <c r="B809" s="1"/>
      <c r="C809" s="1"/>
      <c r="D809" s="3"/>
      <c r="E809" s="1"/>
    </row>
    <row r="810" spans="1:5" x14ac:dyDescent="0.25">
      <c r="A810" s="1"/>
      <c r="B810" s="1"/>
      <c r="C810" s="1"/>
      <c r="D810" s="3"/>
      <c r="E810" s="1"/>
    </row>
    <row r="811" spans="1:5" x14ac:dyDescent="0.25">
      <c r="A811" s="1"/>
      <c r="B811" s="1"/>
      <c r="C811" s="1"/>
      <c r="D811" s="3"/>
      <c r="E811" s="1"/>
    </row>
    <row r="812" spans="1:5" x14ac:dyDescent="0.25">
      <c r="A812" s="1"/>
      <c r="B812" s="1"/>
      <c r="C812" s="1"/>
      <c r="D812" s="3"/>
      <c r="E812" s="1"/>
    </row>
    <row r="813" spans="1:5" x14ac:dyDescent="0.25">
      <c r="A813" s="1"/>
      <c r="B813" s="1"/>
      <c r="C813" s="1"/>
      <c r="D813" s="3"/>
      <c r="E813" s="1"/>
    </row>
    <row r="814" spans="1:5" x14ac:dyDescent="0.25">
      <c r="A814" s="1"/>
      <c r="B814" s="1"/>
      <c r="C814" s="1"/>
      <c r="D814" s="3"/>
      <c r="E814" s="1"/>
    </row>
    <row r="815" spans="1:5" x14ac:dyDescent="0.25">
      <c r="A815" s="1"/>
      <c r="B815" s="1"/>
      <c r="C815" s="1"/>
      <c r="D815" s="3"/>
      <c r="E815" s="1"/>
    </row>
    <row r="816" spans="1:5" x14ac:dyDescent="0.25">
      <c r="A816" s="1"/>
      <c r="B816" s="1"/>
      <c r="C816" s="1"/>
      <c r="D816" s="3"/>
      <c r="E816" s="1"/>
    </row>
    <row r="817" spans="1:5" x14ac:dyDescent="0.25">
      <c r="A817" s="1"/>
      <c r="B817" s="1"/>
      <c r="C817" s="1"/>
      <c r="D817" s="3"/>
      <c r="E817" s="1"/>
    </row>
    <row r="818" spans="1:5" x14ac:dyDescent="0.25">
      <c r="A818" s="1"/>
      <c r="B818" s="1"/>
      <c r="C818" s="1"/>
      <c r="D818" s="3"/>
      <c r="E818" s="1"/>
    </row>
    <row r="819" spans="1:5" x14ac:dyDescent="0.25">
      <c r="A819" s="1"/>
      <c r="B819" s="1"/>
      <c r="C819" s="1"/>
      <c r="D819" s="3"/>
      <c r="E819" s="1"/>
    </row>
    <row r="820" spans="1:5" x14ac:dyDescent="0.25">
      <c r="A820" s="1"/>
      <c r="B820" s="1"/>
      <c r="C820" s="1"/>
      <c r="D820" s="3"/>
      <c r="E820" s="1"/>
    </row>
    <row r="821" spans="1:5" x14ac:dyDescent="0.25">
      <c r="A821" s="1"/>
      <c r="B821" s="1"/>
      <c r="C821" s="1"/>
      <c r="D821" s="3"/>
      <c r="E821" s="1"/>
    </row>
    <row r="822" spans="1:5" x14ac:dyDescent="0.25">
      <c r="A822" s="1"/>
      <c r="B822" s="1"/>
      <c r="C822" s="1"/>
      <c r="D822" s="3"/>
      <c r="E822" s="1"/>
    </row>
    <row r="823" spans="1:5" x14ac:dyDescent="0.25">
      <c r="A823" s="1"/>
      <c r="B823" s="1"/>
      <c r="C823" s="1"/>
      <c r="D823" s="3"/>
      <c r="E823" s="1"/>
    </row>
    <row r="824" spans="1:5" x14ac:dyDescent="0.25">
      <c r="A824" s="1"/>
      <c r="B824" s="1"/>
      <c r="C824" s="1"/>
      <c r="D824" s="3"/>
      <c r="E824" s="1"/>
    </row>
    <row r="825" spans="1:5" x14ac:dyDescent="0.25">
      <c r="A825" s="1"/>
      <c r="B825" s="1"/>
      <c r="C825" s="1"/>
      <c r="D825" s="3"/>
      <c r="E825" s="1"/>
    </row>
    <row r="826" spans="1:5" x14ac:dyDescent="0.25">
      <c r="A826" s="1"/>
      <c r="B826" s="1"/>
      <c r="C826" s="1"/>
      <c r="D826" s="3"/>
      <c r="E826" s="1"/>
    </row>
    <row r="827" spans="1:5" x14ac:dyDescent="0.25">
      <c r="A827" s="1"/>
      <c r="B827" s="1"/>
      <c r="C827" s="1"/>
      <c r="D827" s="3"/>
      <c r="E827" s="1"/>
    </row>
    <row r="828" spans="1:5" x14ac:dyDescent="0.25">
      <c r="A828" s="1"/>
      <c r="B828" s="1"/>
      <c r="C828" s="1"/>
      <c r="D828" s="3"/>
      <c r="E828" s="1"/>
    </row>
    <row r="829" spans="1:5" x14ac:dyDescent="0.25">
      <c r="A829" s="1"/>
      <c r="B829" s="1"/>
      <c r="C829" s="1"/>
      <c r="D829" s="3"/>
      <c r="E829" s="1"/>
    </row>
    <row r="830" spans="1:5" x14ac:dyDescent="0.25">
      <c r="A830" s="1"/>
      <c r="B830" s="1"/>
      <c r="C830" s="1"/>
      <c r="D830" s="3"/>
      <c r="E830" s="1"/>
    </row>
    <row r="831" spans="1:5" x14ac:dyDescent="0.25">
      <c r="A831" s="1"/>
      <c r="B831" s="1"/>
      <c r="C831" s="1"/>
      <c r="D831" s="3"/>
      <c r="E831" s="1"/>
    </row>
    <row r="832" spans="1:5" x14ac:dyDescent="0.25">
      <c r="A832" s="1"/>
      <c r="B832" s="1"/>
      <c r="C832" s="1"/>
      <c r="D832" s="3"/>
      <c r="E832" s="1"/>
    </row>
    <row r="833" spans="1:5" x14ac:dyDescent="0.25">
      <c r="A833" s="1"/>
      <c r="B833" s="1"/>
      <c r="C833" s="1"/>
      <c r="D833" s="3"/>
      <c r="E833" s="1"/>
    </row>
    <row r="834" spans="1:5" x14ac:dyDescent="0.25">
      <c r="A834" s="1"/>
      <c r="B834" s="1"/>
      <c r="C834" s="1"/>
      <c r="D834" s="3"/>
      <c r="E834" s="1"/>
    </row>
    <row r="835" spans="1:5" x14ac:dyDescent="0.25">
      <c r="A835" s="1"/>
      <c r="B835" s="1"/>
      <c r="C835" s="1"/>
      <c r="D835" s="3"/>
      <c r="E835" s="1"/>
    </row>
    <row r="836" spans="1:5" x14ac:dyDescent="0.25">
      <c r="A836" s="1"/>
      <c r="B836" s="1"/>
      <c r="C836" s="1"/>
      <c r="D836" s="3"/>
      <c r="E836" s="1"/>
    </row>
    <row r="837" spans="1:5" x14ac:dyDescent="0.25">
      <c r="A837" s="1"/>
      <c r="B837" s="1"/>
      <c r="C837" s="1"/>
      <c r="D837" s="3"/>
      <c r="E837" s="1"/>
    </row>
    <row r="838" spans="1:5" x14ac:dyDescent="0.25">
      <c r="A838" s="1"/>
      <c r="B838" s="1"/>
      <c r="C838" s="1"/>
      <c r="D838" s="3"/>
      <c r="E838" s="1"/>
    </row>
    <row r="839" spans="1:5" x14ac:dyDescent="0.25">
      <c r="A839" s="1"/>
      <c r="B839" s="1"/>
      <c r="C839" s="1"/>
      <c r="D839" s="3"/>
      <c r="E839" s="1"/>
    </row>
    <row r="840" spans="1:5" x14ac:dyDescent="0.25">
      <c r="A840" s="1"/>
      <c r="B840" s="1"/>
      <c r="C840" s="1"/>
      <c r="D840" s="3"/>
      <c r="E840" s="1"/>
    </row>
    <row r="841" spans="1:5" x14ac:dyDescent="0.25">
      <c r="A841" s="1"/>
      <c r="B841" s="1"/>
      <c r="C841" s="1"/>
      <c r="D841" s="3"/>
      <c r="E841" s="1"/>
    </row>
    <row r="842" spans="1:5" x14ac:dyDescent="0.25">
      <c r="A842" s="1"/>
      <c r="B842" s="1"/>
      <c r="C842" s="1"/>
      <c r="D842" s="3"/>
      <c r="E842" s="1"/>
    </row>
    <row r="843" spans="1:5" x14ac:dyDescent="0.25">
      <c r="A843" s="1"/>
      <c r="B843" s="1"/>
      <c r="C843" s="1"/>
      <c r="D843" s="3"/>
      <c r="E843" s="1"/>
    </row>
    <row r="844" spans="1:5" x14ac:dyDescent="0.25">
      <c r="A844" s="1"/>
      <c r="B844" s="1"/>
      <c r="C844" s="1"/>
      <c r="D844" s="3"/>
      <c r="E844" s="1"/>
    </row>
    <row r="845" spans="1:5" x14ac:dyDescent="0.25">
      <c r="A845" s="1"/>
      <c r="B845" s="1"/>
      <c r="C845" s="1"/>
      <c r="D845" s="3"/>
      <c r="E845" s="1"/>
    </row>
    <row r="846" spans="1:5" x14ac:dyDescent="0.25">
      <c r="A846" s="1"/>
      <c r="B846" s="1"/>
      <c r="C846" s="1"/>
      <c r="D846" s="3"/>
      <c r="E846" s="1"/>
    </row>
    <row r="847" spans="1:5" x14ac:dyDescent="0.25">
      <c r="A847" s="1"/>
      <c r="B847" s="1"/>
      <c r="C847" s="1"/>
      <c r="D847" s="3"/>
      <c r="E847" s="1"/>
    </row>
    <row r="848" spans="1:5" x14ac:dyDescent="0.25">
      <c r="A848" s="1"/>
      <c r="B848" s="1"/>
      <c r="C848" s="1"/>
      <c r="D848" s="3"/>
      <c r="E848" s="1"/>
    </row>
    <row r="849" spans="1:5" x14ac:dyDescent="0.25">
      <c r="A849" s="1"/>
      <c r="B849" s="1"/>
      <c r="C849" s="1"/>
      <c r="D849" s="3"/>
      <c r="E849" s="1"/>
    </row>
    <row r="850" spans="1:5" x14ac:dyDescent="0.25">
      <c r="A850" s="1"/>
      <c r="B850" s="1"/>
      <c r="C850" s="1"/>
      <c r="D850" s="3"/>
      <c r="E850" s="1"/>
    </row>
    <row r="851" spans="1:5" x14ac:dyDescent="0.25">
      <c r="A851" s="1"/>
      <c r="B851" s="1"/>
      <c r="C851" s="1"/>
      <c r="D851" s="3"/>
      <c r="E851" s="1"/>
    </row>
    <row r="852" spans="1:5" x14ac:dyDescent="0.25">
      <c r="A852" s="1"/>
      <c r="B852" s="1"/>
      <c r="C852" s="1"/>
      <c r="D852" s="3"/>
      <c r="E852" s="1"/>
    </row>
    <row r="853" spans="1:5" x14ac:dyDescent="0.25">
      <c r="A853" s="1"/>
      <c r="B853" s="1"/>
      <c r="C853" s="1"/>
      <c r="D853" s="3"/>
      <c r="E853" s="1"/>
    </row>
    <row r="854" spans="1:5" x14ac:dyDescent="0.25">
      <c r="A854" s="1"/>
      <c r="B854" s="1"/>
      <c r="C854" s="1"/>
      <c r="D854" s="3"/>
      <c r="E854" s="1"/>
    </row>
    <row r="855" spans="1:5" x14ac:dyDescent="0.25">
      <c r="A855" s="1"/>
      <c r="B855" s="1"/>
      <c r="C855" s="1"/>
      <c r="D855" s="3"/>
      <c r="E855" s="1"/>
    </row>
    <row r="856" spans="1:5" x14ac:dyDescent="0.25">
      <c r="A856" s="1"/>
      <c r="B856" s="1"/>
      <c r="C856" s="1"/>
      <c r="D856" s="3"/>
      <c r="E856" s="1"/>
    </row>
    <row r="857" spans="1:5" x14ac:dyDescent="0.25">
      <c r="A857" s="1"/>
      <c r="B857" s="1"/>
      <c r="C857" s="1"/>
      <c r="D857" s="3"/>
      <c r="E857" s="1"/>
    </row>
    <row r="858" spans="1:5" x14ac:dyDescent="0.25">
      <c r="A858" s="1"/>
      <c r="B858" s="1"/>
      <c r="C858" s="1"/>
      <c r="D858" s="3"/>
      <c r="E858" s="1"/>
    </row>
    <row r="859" spans="1:5" x14ac:dyDescent="0.25">
      <c r="A859" s="1"/>
      <c r="B859" s="1"/>
      <c r="C859" s="1"/>
      <c r="D859" s="3"/>
      <c r="E859" s="1"/>
    </row>
    <row r="860" spans="1:5" x14ac:dyDescent="0.25">
      <c r="A860" s="1"/>
      <c r="B860" s="1"/>
      <c r="C860" s="1"/>
      <c r="D860" s="3"/>
      <c r="E860" s="1"/>
    </row>
    <row r="861" spans="1:5" x14ac:dyDescent="0.25">
      <c r="A861" s="1"/>
      <c r="B861" s="1"/>
      <c r="C861" s="1"/>
      <c r="D861" s="3"/>
      <c r="E861" s="1"/>
    </row>
    <row r="862" spans="1:5" x14ac:dyDescent="0.25">
      <c r="A862" s="1"/>
      <c r="B862" s="1"/>
      <c r="C862" s="1"/>
      <c r="D862" s="3"/>
      <c r="E862" s="1"/>
    </row>
    <row r="863" spans="1:5" x14ac:dyDescent="0.25">
      <c r="A863" s="1"/>
      <c r="B863" s="1"/>
      <c r="C863" s="1"/>
      <c r="D863" s="3"/>
      <c r="E863" s="1"/>
    </row>
    <row r="864" spans="1:5" x14ac:dyDescent="0.25">
      <c r="A864" s="1"/>
      <c r="B864" s="1"/>
      <c r="C864" s="1"/>
      <c r="D864" s="3"/>
      <c r="E864" s="1"/>
    </row>
    <row r="865" spans="1:5" x14ac:dyDescent="0.25">
      <c r="A865" s="1"/>
      <c r="B865" s="1"/>
      <c r="C865" s="1"/>
      <c r="D865" s="3"/>
      <c r="E865" s="1"/>
    </row>
    <row r="866" spans="1:5" x14ac:dyDescent="0.25">
      <c r="A866" s="1"/>
      <c r="B866" s="1"/>
      <c r="C866" s="1"/>
      <c r="D866" s="3"/>
      <c r="E866" s="1"/>
    </row>
    <row r="867" spans="1:5" x14ac:dyDescent="0.25">
      <c r="A867" s="1"/>
      <c r="B867" s="1"/>
      <c r="C867" s="1"/>
      <c r="D867" s="3"/>
      <c r="E867" s="1"/>
    </row>
    <row r="868" spans="1:5" x14ac:dyDescent="0.25">
      <c r="A868" s="1"/>
      <c r="B868" s="1"/>
      <c r="C868" s="1"/>
      <c r="D868" s="3"/>
      <c r="E868" s="1"/>
    </row>
    <row r="869" spans="1:5" x14ac:dyDescent="0.25">
      <c r="A869" s="1"/>
      <c r="B869" s="1"/>
      <c r="C869" s="1"/>
      <c r="D869" s="3"/>
      <c r="E869" s="1"/>
    </row>
    <row r="870" spans="1:5" x14ac:dyDescent="0.25">
      <c r="A870" s="1"/>
      <c r="B870" s="1"/>
      <c r="C870" s="1"/>
      <c r="D870" s="3"/>
      <c r="E870" s="1"/>
    </row>
    <row r="871" spans="1:5" x14ac:dyDescent="0.25">
      <c r="A871" s="1"/>
      <c r="B871" s="1"/>
      <c r="C871" s="1"/>
      <c r="D871" s="3"/>
      <c r="E871" s="1"/>
    </row>
    <row r="872" spans="1:5" x14ac:dyDescent="0.25">
      <c r="A872" s="1"/>
      <c r="B872" s="1"/>
      <c r="C872" s="1"/>
      <c r="D872" s="3"/>
      <c r="E872" s="1"/>
    </row>
    <row r="873" spans="1:5" x14ac:dyDescent="0.25">
      <c r="A873" s="1"/>
      <c r="B873" s="1"/>
      <c r="C873" s="1"/>
      <c r="D873" s="3"/>
      <c r="E873" s="1"/>
    </row>
    <row r="874" spans="1:5" x14ac:dyDescent="0.25">
      <c r="A874" s="1"/>
      <c r="B874" s="1"/>
      <c r="C874" s="1"/>
      <c r="D874" s="3"/>
      <c r="E874" s="1"/>
    </row>
    <row r="875" spans="1:5" x14ac:dyDescent="0.25">
      <c r="A875" s="1"/>
      <c r="B875" s="1"/>
      <c r="C875" s="1"/>
      <c r="D875" s="3"/>
      <c r="E875" s="1"/>
    </row>
    <row r="876" spans="1:5" x14ac:dyDescent="0.25">
      <c r="A876" s="1"/>
      <c r="B876" s="1"/>
      <c r="C876" s="1"/>
      <c r="D876" s="3"/>
      <c r="E876" s="1"/>
    </row>
    <row r="877" spans="1:5" x14ac:dyDescent="0.25">
      <c r="A877" s="1"/>
      <c r="B877" s="1"/>
      <c r="C877" s="1"/>
      <c r="D877" s="3"/>
      <c r="E877" s="1"/>
    </row>
    <row r="878" spans="1:5" x14ac:dyDescent="0.25">
      <c r="A878" s="1"/>
      <c r="B878" s="1"/>
      <c r="C878" s="1"/>
      <c r="D878" s="3"/>
      <c r="E878" s="1"/>
    </row>
    <row r="879" spans="1:5" x14ac:dyDescent="0.25">
      <c r="A879" s="1"/>
      <c r="B879" s="1"/>
      <c r="C879" s="1"/>
      <c r="D879" s="3"/>
      <c r="E879" s="1"/>
    </row>
    <row r="880" spans="1:5" x14ac:dyDescent="0.25">
      <c r="A880" s="1"/>
      <c r="B880" s="1"/>
      <c r="C880" s="1"/>
      <c r="D880" s="3"/>
      <c r="E880" s="1"/>
    </row>
    <row r="881" spans="1:5" x14ac:dyDescent="0.25">
      <c r="A881" s="1"/>
      <c r="B881" s="1"/>
      <c r="C881" s="1"/>
      <c r="D881" s="3"/>
      <c r="E881" s="1"/>
    </row>
    <row r="882" spans="1:5" x14ac:dyDescent="0.25">
      <c r="A882" s="1"/>
      <c r="B882" s="1"/>
      <c r="C882" s="1"/>
      <c r="D882" s="3"/>
      <c r="E882" s="1"/>
    </row>
    <row r="883" spans="1:5" x14ac:dyDescent="0.25">
      <c r="A883" s="1"/>
      <c r="B883" s="1"/>
      <c r="C883" s="1"/>
      <c r="D883" s="3"/>
      <c r="E883" s="1"/>
    </row>
    <row r="884" spans="1:5" x14ac:dyDescent="0.25">
      <c r="A884" s="1"/>
      <c r="B884" s="1"/>
      <c r="C884" s="1"/>
      <c r="D884" s="3"/>
      <c r="E884" s="1"/>
    </row>
    <row r="885" spans="1:5" x14ac:dyDescent="0.25">
      <c r="A885" s="1"/>
      <c r="B885" s="1"/>
      <c r="C885" s="1"/>
      <c r="D885" s="3"/>
      <c r="E885" s="1"/>
    </row>
    <row r="886" spans="1:5" x14ac:dyDescent="0.25">
      <c r="A886" s="1"/>
      <c r="B886" s="1"/>
      <c r="C886" s="1"/>
      <c r="D886" s="3"/>
      <c r="E886" s="1"/>
    </row>
    <row r="887" spans="1:5" x14ac:dyDescent="0.25">
      <c r="A887" s="1"/>
      <c r="B887" s="1"/>
      <c r="C887" s="1"/>
      <c r="D887" s="3"/>
      <c r="E887" s="1"/>
    </row>
    <row r="888" spans="1:5" x14ac:dyDescent="0.25">
      <c r="A888" s="1"/>
      <c r="B888" s="1"/>
      <c r="C888" s="1"/>
      <c r="D888" s="3"/>
      <c r="E888" s="1"/>
    </row>
    <row r="889" spans="1:5" x14ac:dyDescent="0.25">
      <c r="A889" s="1"/>
      <c r="B889" s="1"/>
      <c r="C889" s="1"/>
      <c r="D889" s="3"/>
      <c r="E889" s="1"/>
    </row>
    <row r="890" spans="1:5" x14ac:dyDescent="0.25">
      <c r="A890" s="1"/>
      <c r="B890" s="1"/>
      <c r="C890" s="1"/>
      <c r="D890" s="3"/>
      <c r="E890" s="1"/>
    </row>
    <row r="891" spans="1:5" x14ac:dyDescent="0.25">
      <c r="A891" s="1"/>
      <c r="B891" s="1"/>
      <c r="C891" s="1"/>
      <c r="D891" s="3"/>
      <c r="E891" s="1"/>
    </row>
    <row r="892" spans="1:5" x14ac:dyDescent="0.25">
      <c r="A892" s="1"/>
      <c r="B892" s="1"/>
      <c r="C892" s="1"/>
      <c r="D892" s="3"/>
      <c r="E892" s="1"/>
    </row>
    <row r="893" spans="1:5" x14ac:dyDescent="0.25">
      <c r="A893" s="1"/>
      <c r="B893" s="1"/>
      <c r="C893" s="1"/>
      <c r="D893" s="3"/>
      <c r="E893" s="1"/>
    </row>
    <row r="894" spans="1:5" x14ac:dyDescent="0.25">
      <c r="A894" s="1"/>
      <c r="B894" s="1"/>
      <c r="C894" s="1"/>
      <c r="D894" s="3"/>
      <c r="E894" s="1"/>
    </row>
    <row r="895" spans="1:5" x14ac:dyDescent="0.25">
      <c r="A895" s="1"/>
      <c r="B895" s="1"/>
      <c r="C895" s="1"/>
      <c r="D895" s="3"/>
      <c r="E895" s="1"/>
    </row>
    <row r="896" spans="1:5" x14ac:dyDescent="0.25">
      <c r="A896" s="1"/>
      <c r="B896" s="1"/>
      <c r="C896" s="1"/>
      <c r="D896" s="3"/>
      <c r="E896" s="1"/>
    </row>
    <row r="897" spans="1:5" x14ac:dyDescent="0.25">
      <c r="A897" s="1"/>
      <c r="B897" s="1"/>
      <c r="C897" s="1"/>
      <c r="D897" s="3"/>
      <c r="E897" s="1"/>
    </row>
    <row r="898" spans="1:5" x14ac:dyDescent="0.25">
      <c r="A898" s="1"/>
      <c r="B898" s="1"/>
      <c r="C898" s="1"/>
      <c r="D898" s="3"/>
      <c r="E898" s="1"/>
    </row>
    <row r="899" spans="1:5" x14ac:dyDescent="0.25">
      <c r="A899" s="1"/>
      <c r="B899" s="1"/>
      <c r="C899" s="1"/>
      <c r="D899" s="3"/>
      <c r="E899" s="1"/>
    </row>
    <row r="900" spans="1:5" x14ac:dyDescent="0.25">
      <c r="A900" s="1"/>
      <c r="B900" s="1"/>
      <c r="C900" s="1"/>
      <c r="D900" s="3"/>
      <c r="E900" s="1"/>
    </row>
    <row r="901" spans="1:5" x14ac:dyDescent="0.25">
      <c r="A901" s="1"/>
      <c r="B901" s="1"/>
      <c r="C901" s="1"/>
      <c r="D901" s="3"/>
      <c r="E901" s="1"/>
    </row>
    <row r="902" spans="1:5" x14ac:dyDescent="0.25">
      <c r="A902" s="1"/>
      <c r="B902" s="1"/>
      <c r="C902" s="1"/>
      <c r="D902" s="3"/>
      <c r="E902" s="1"/>
    </row>
    <row r="903" spans="1:5" x14ac:dyDescent="0.25">
      <c r="A903" s="1"/>
      <c r="B903" s="1"/>
      <c r="C903" s="1"/>
      <c r="D903" s="3"/>
      <c r="E903" s="1"/>
    </row>
    <row r="904" spans="1:5" x14ac:dyDescent="0.25">
      <c r="A904" s="1"/>
      <c r="B904" s="1"/>
      <c r="C904" s="1"/>
      <c r="D904" s="3"/>
      <c r="E904" s="1"/>
    </row>
    <row r="905" spans="1:5" x14ac:dyDescent="0.25">
      <c r="A905" s="1"/>
      <c r="B905" s="1"/>
      <c r="C905" s="1"/>
      <c r="D905" s="3"/>
      <c r="E905" s="1"/>
    </row>
    <row r="906" spans="1:5" x14ac:dyDescent="0.25">
      <c r="A906" s="1"/>
      <c r="B906" s="1"/>
      <c r="C906" s="1"/>
      <c r="D906" s="3"/>
      <c r="E906" s="1"/>
    </row>
    <row r="907" spans="1:5" x14ac:dyDescent="0.25">
      <c r="A907" s="1"/>
      <c r="B907" s="1"/>
      <c r="C907" s="1"/>
      <c r="D907" s="3"/>
      <c r="E907" s="1"/>
    </row>
    <row r="908" spans="1:5" x14ac:dyDescent="0.25">
      <c r="A908" s="1"/>
      <c r="B908" s="1"/>
      <c r="C908" s="1"/>
      <c r="D908" s="3"/>
      <c r="E908" s="1"/>
    </row>
    <row r="909" spans="1:5" x14ac:dyDescent="0.25">
      <c r="A909" s="1"/>
      <c r="B909" s="1"/>
      <c r="C909" s="1"/>
      <c r="D909" s="3"/>
      <c r="E909" s="1"/>
    </row>
    <row r="910" spans="1:5" x14ac:dyDescent="0.25">
      <c r="A910" s="1"/>
      <c r="B910" s="1"/>
      <c r="C910" s="1"/>
      <c r="D910" s="3"/>
      <c r="E910" s="1"/>
    </row>
    <row r="911" spans="1:5" x14ac:dyDescent="0.25">
      <c r="A911" s="1"/>
      <c r="B911" s="1"/>
      <c r="C911" s="1"/>
      <c r="D911" s="3"/>
      <c r="E911" s="1"/>
    </row>
    <row r="912" spans="1:5" x14ac:dyDescent="0.25">
      <c r="A912" s="1"/>
      <c r="B912" s="1"/>
      <c r="C912" s="1"/>
      <c r="D912" s="3"/>
      <c r="E912" s="1"/>
    </row>
    <row r="913" spans="1:5" x14ac:dyDescent="0.25">
      <c r="A913" s="1"/>
      <c r="B913" s="1"/>
      <c r="C913" s="1"/>
      <c r="D913" s="3"/>
      <c r="E913" s="1"/>
    </row>
    <row r="914" spans="1:5" x14ac:dyDescent="0.25">
      <c r="A914" s="1"/>
      <c r="B914" s="1"/>
      <c r="C914" s="1"/>
      <c r="D914" s="3"/>
      <c r="E914" s="1"/>
    </row>
    <row r="915" spans="1:5" x14ac:dyDescent="0.25">
      <c r="A915" s="1"/>
      <c r="B915" s="1"/>
      <c r="C915" s="1"/>
      <c r="D915" s="3"/>
      <c r="E915" s="1"/>
    </row>
    <row r="916" spans="1:5" x14ac:dyDescent="0.25">
      <c r="A916" s="1"/>
      <c r="B916" s="1"/>
      <c r="C916" s="1"/>
      <c r="D916" s="3"/>
      <c r="E916" s="1"/>
    </row>
    <row r="917" spans="1:5" x14ac:dyDescent="0.25">
      <c r="A917" s="1"/>
      <c r="B917" s="1"/>
      <c r="C917" s="1"/>
      <c r="D917" s="3"/>
      <c r="E917" s="1"/>
    </row>
    <row r="918" spans="1:5" x14ac:dyDescent="0.25">
      <c r="A918" s="1"/>
      <c r="B918" s="1"/>
      <c r="C918" s="1"/>
      <c r="D918" s="3"/>
      <c r="E918" s="1"/>
    </row>
    <row r="919" spans="1:5" x14ac:dyDescent="0.25">
      <c r="A919" s="1"/>
      <c r="B919" s="1"/>
      <c r="C919" s="1"/>
      <c r="D919" s="3"/>
      <c r="E919" s="1"/>
    </row>
    <row r="920" spans="1:5" x14ac:dyDescent="0.25">
      <c r="A920" s="1"/>
      <c r="B920" s="1"/>
      <c r="C920" s="1"/>
      <c r="D920" s="3"/>
      <c r="E920" s="1"/>
    </row>
    <row r="921" spans="1:5" x14ac:dyDescent="0.25">
      <c r="A921" s="1"/>
      <c r="B921" s="1"/>
      <c r="C921" s="1"/>
      <c r="D921" s="3"/>
      <c r="E921" s="1"/>
    </row>
    <row r="922" spans="1:5" x14ac:dyDescent="0.25">
      <c r="A922" s="1"/>
      <c r="B922" s="1"/>
      <c r="C922" s="1"/>
      <c r="D922" s="3"/>
      <c r="E922" s="1"/>
    </row>
    <row r="923" spans="1:5" x14ac:dyDescent="0.25">
      <c r="A923" s="1"/>
      <c r="B923" s="1"/>
      <c r="C923" s="1"/>
      <c r="D923" s="3"/>
      <c r="E923" s="1"/>
    </row>
    <row r="924" spans="1:5" x14ac:dyDescent="0.25">
      <c r="A924" s="1"/>
      <c r="B924" s="1"/>
      <c r="C924" s="1"/>
      <c r="D924" s="3"/>
      <c r="E924" s="1"/>
    </row>
    <row r="925" spans="1:5" x14ac:dyDescent="0.25">
      <c r="A925" s="1"/>
      <c r="B925" s="1"/>
      <c r="C925" s="1"/>
      <c r="D925" s="3"/>
      <c r="E925" s="1"/>
    </row>
    <row r="926" spans="1:5" x14ac:dyDescent="0.25">
      <c r="A926" s="1"/>
      <c r="B926" s="1"/>
      <c r="C926" s="1"/>
      <c r="D926" s="3"/>
      <c r="E926" s="1"/>
    </row>
    <row r="927" spans="1:5" x14ac:dyDescent="0.25">
      <c r="A927" s="1"/>
      <c r="B927" s="1"/>
      <c r="C927" s="1"/>
      <c r="D927" s="3"/>
      <c r="E927" s="1"/>
    </row>
    <row r="928" spans="1:5" x14ac:dyDescent="0.25">
      <c r="A928" s="1"/>
      <c r="B928" s="1"/>
      <c r="C928" s="1"/>
      <c r="D928" s="3"/>
      <c r="E928" s="1"/>
    </row>
    <row r="929" spans="1:5" x14ac:dyDescent="0.25">
      <c r="A929" s="1"/>
      <c r="B929" s="1"/>
      <c r="C929" s="1"/>
      <c r="D929" s="3"/>
      <c r="E929" s="1"/>
    </row>
    <row r="930" spans="1:5" x14ac:dyDescent="0.25">
      <c r="A930" s="1"/>
      <c r="B930" s="1"/>
      <c r="C930" s="1"/>
      <c r="D930" s="3"/>
      <c r="E930" s="1"/>
    </row>
    <row r="931" spans="1:5" x14ac:dyDescent="0.25">
      <c r="A931" s="1"/>
      <c r="B931" s="1"/>
      <c r="C931" s="1"/>
      <c r="D931" s="3"/>
      <c r="E931" s="1"/>
    </row>
    <row r="932" spans="1:5" x14ac:dyDescent="0.25">
      <c r="A932" s="1"/>
      <c r="B932" s="1"/>
      <c r="C932" s="1"/>
      <c r="D932" s="3"/>
      <c r="E932" s="1"/>
    </row>
    <row r="933" spans="1:5" x14ac:dyDescent="0.25">
      <c r="A933" s="1"/>
      <c r="B933" s="1"/>
      <c r="C933" s="1"/>
      <c r="D933" s="3"/>
      <c r="E933" s="1"/>
    </row>
    <row r="934" spans="1:5" x14ac:dyDescent="0.25">
      <c r="A934" s="1"/>
      <c r="B934" s="1"/>
      <c r="C934" s="1"/>
      <c r="D934" s="3"/>
      <c r="E934" s="1"/>
    </row>
    <row r="935" spans="1:5" x14ac:dyDescent="0.25">
      <c r="A935" s="1"/>
      <c r="B935" s="1"/>
      <c r="C935" s="1"/>
      <c r="D935" s="3"/>
      <c r="E935" s="1"/>
    </row>
    <row r="936" spans="1:5" x14ac:dyDescent="0.25">
      <c r="A936" s="1"/>
      <c r="B936" s="1"/>
      <c r="C936" s="1"/>
      <c r="D936" s="3"/>
      <c r="E936" s="1"/>
    </row>
    <row r="937" spans="1:5" x14ac:dyDescent="0.25">
      <c r="A937" s="1"/>
      <c r="B937" s="1"/>
      <c r="C937" s="1"/>
      <c r="D937" s="3"/>
      <c r="E937" s="1"/>
    </row>
    <row r="938" spans="1:5" x14ac:dyDescent="0.25">
      <c r="A938" s="1"/>
      <c r="B938" s="1"/>
      <c r="C938" s="1"/>
      <c r="D938" s="3"/>
      <c r="E938" s="1"/>
    </row>
    <row r="939" spans="1:5" x14ac:dyDescent="0.25">
      <c r="A939" s="1"/>
      <c r="B939" s="1"/>
      <c r="C939" s="1"/>
      <c r="D939" s="3"/>
      <c r="E939" s="1"/>
    </row>
    <row r="940" spans="1:5" x14ac:dyDescent="0.25">
      <c r="A940" s="1"/>
      <c r="B940" s="1"/>
      <c r="C940" s="1"/>
      <c r="D940" s="3"/>
      <c r="E940" s="1"/>
    </row>
    <row r="941" spans="1:5" x14ac:dyDescent="0.25">
      <c r="A941" s="1"/>
      <c r="B941" s="1"/>
      <c r="C941" s="1"/>
      <c r="D941" s="3"/>
      <c r="E941" s="1"/>
    </row>
    <row r="942" spans="1:5" x14ac:dyDescent="0.25">
      <c r="A942" s="1"/>
      <c r="B942" s="1"/>
      <c r="C942" s="1"/>
      <c r="D942" s="3"/>
      <c r="E942" s="1"/>
    </row>
    <row r="943" spans="1:5" x14ac:dyDescent="0.25">
      <c r="A943" s="1"/>
      <c r="B943" s="1"/>
      <c r="C943" s="1"/>
      <c r="D943" s="3"/>
      <c r="E943" s="1"/>
    </row>
    <row r="944" spans="1:5" x14ac:dyDescent="0.25">
      <c r="A944" s="1"/>
      <c r="B944" s="1"/>
      <c r="C944" s="1"/>
      <c r="D944" s="3"/>
      <c r="E944" s="1"/>
    </row>
    <row r="945" spans="1:5" x14ac:dyDescent="0.25">
      <c r="A945" s="1"/>
      <c r="B945" s="1"/>
      <c r="C945" s="1"/>
      <c r="D945" s="3"/>
      <c r="E945" s="1"/>
    </row>
    <row r="946" spans="1:5" x14ac:dyDescent="0.25">
      <c r="A946" s="1"/>
      <c r="B946" s="1"/>
      <c r="C946" s="1"/>
      <c r="D946" s="3"/>
      <c r="E946" s="1"/>
    </row>
    <row r="947" spans="1:5" x14ac:dyDescent="0.25">
      <c r="A947" s="1"/>
      <c r="B947" s="1"/>
      <c r="C947" s="1"/>
      <c r="D947" s="3"/>
      <c r="E947" s="1"/>
    </row>
    <row r="948" spans="1:5" x14ac:dyDescent="0.25">
      <c r="A948" s="1"/>
      <c r="B948" s="1"/>
      <c r="C948" s="1"/>
      <c r="D948" s="3"/>
      <c r="E948" s="1"/>
    </row>
    <row r="949" spans="1:5" x14ac:dyDescent="0.25">
      <c r="A949" s="1"/>
      <c r="B949" s="1"/>
      <c r="C949" s="1"/>
      <c r="D949" s="3"/>
      <c r="E949" s="1"/>
    </row>
    <row r="950" spans="1:5" x14ac:dyDescent="0.25">
      <c r="A950" s="1"/>
      <c r="B950" s="1"/>
      <c r="C950" s="1"/>
      <c r="D950" s="3"/>
      <c r="E950" s="1"/>
    </row>
    <row r="951" spans="1:5" x14ac:dyDescent="0.25">
      <c r="A951" s="1"/>
      <c r="B951" s="1"/>
      <c r="C951" s="1"/>
      <c r="D951" s="3"/>
      <c r="E951" s="1"/>
    </row>
    <row r="952" spans="1:5" x14ac:dyDescent="0.25">
      <c r="A952" s="1"/>
      <c r="B952" s="1"/>
      <c r="C952" s="1"/>
      <c r="D952" s="3"/>
      <c r="E952" s="1"/>
    </row>
    <row r="953" spans="1:5" x14ac:dyDescent="0.25">
      <c r="A953" s="1"/>
      <c r="B953" s="1"/>
      <c r="C953" s="1"/>
      <c r="D953" s="3"/>
      <c r="E953" s="1"/>
    </row>
    <row r="954" spans="1:5" x14ac:dyDescent="0.25">
      <c r="A954" s="1"/>
      <c r="B954" s="1"/>
      <c r="C954" s="1"/>
      <c r="D954" s="3"/>
      <c r="E954" s="1"/>
    </row>
    <row r="955" spans="1:5" x14ac:dyDescent="0.25">
      <c r="A955" s="1"/>
      <c r="B955" s="1"/>
      <c r="C955" s="1"/>
      <c r="D955" s="3"/>
      <c r="E955" s="1"/>
    </row>
    <row r="956" spans="1:5" x14ac:dyDescent="0.25">
      <c r="A956" s="1"/>
      <c r="B956" s="1"/>
      <c r="C956" s="1"/>
      <c r="D956" s="3"/>
      <c r="E956" s="1"/>
    </row>
    <row r="957" spans="1:5" x14ac:dyDescent="0.25">
      <c r="A957" s="1"/>
      <c r="B957" s="1"/>
      <c r="C957" s="1"/>
      <c r="D957" s="3"/>
      <c r="E957" s="1"/>
    </row>
    <row r="958" spans="1:5" x14ac:dyDescent="0.25">
      <c r="A958" s="1"/>
      <c r="B958" s="1"/>
      <c r="C958" s="1"/>
      <c r="D958" s="3"/>
      <c r="E958" s="1"/>
    </row>
    <row r="959" spans="1:5" x14ac:dyDescent="0.25">
      <c r="A959" s="1"/>
      <c r="B959" s="1"/>
      <c r="C959" s="1"/>
      <c r="D959" s="3"/>
      <c r="E959" s="1"/>
    </row>
    <row r="960" spans="1:5" x14ac:dyDescent="0.25">
      <c r="A960" s="1"/>
      <c r="B960" s="1"/>
      <c r="C960" s="1"/>
      <c r="D960" s="3"/>
      <c r="E960" s="1"/>
    </row>
    <row r="961" spans="1:5" x14ac:dyDescent="0.25">
      <c r="A961" s="1"/>
      <c r="B961" s="1"/>
      <c r="C961" s="1"/>
      <c r="D961" s="3"/>
      <c r="E961" s="1"/>
    </row>
    <row r="962" spans="1:5" x14ac:dyDescent="0.25">
      <c r="A962" s="1"/>
      <c r="B962" s="1"/>
      <c r="C962" s="1"/>
      <c r="D962" s="3"/>
      <c r="E962" s="1"/>
    </row>
    <row r="963" spans="1:5" x14ac:dyDescent="0.25">
      <c r="A963" s="1"/>
      <c r="B963" s="1"/>
      <c r="C963" s="1"/>
      <c r="D963" s="3"/>
      <c r="E963" s="1"/>
    </row>
    <row r="964" spans="1:5" x14ac:dyDescent="0.25">
      <c r="A964" s="1"/>
      <c r="B964" s="1"/>
      <c r="C964" s="1"/>
      <c r="D964" s="3"/>
      <c r="E964" s="1"/>
    </row>
    <row r="965" spans="1:5" x14ac:dyDescent="0.25">
      <c r="A965" s="1"/>
      <c r="B965" s="1"/>
      <c r="C965" s="1"/>
      <c r="D965" s="3"/>
      <c r="E965" s="1"/>
    </row>
    <row r="966" spans="1:5" x14ac:dyDescent="0.25">
      <c r="A966" s="1"/>
      <c r="B966" s="1"/>
      <c r="C966" s="1"/>
      <c r="D966" s="3"/>
      <c r="E966" s="1"/>
    </row>
    <row r="967" spans="1:5" x14ac:dyDescent="0.25">
      <c r="A967" s="1"/>
      <c r="B967" s="1"/>
      <c r="C967" s="1"/>
      <c r="D967" s="3"/>
      <c r="E967" s="1"/>
    </row>
    <row r="968" spans="1:5" x14ac:dyDescent="0.25">
      <c r="A968" s="1"/>
      <c r="B968" s="1"/>
      <c r="C968" s="1"/>
      <c r="D968" s="3"/>
      <c r="E968" s="1"/>
    </row>
    <row r="969" spans="1:5" x14ac:dyDescent="0.25">
      <c r="A969" s="1"/>
      <c r="B969" s="1"/>
      <c r="C969" s="1"/>
      <c r="D969" s="3"/>
      <c r="E969" s="1"/>
    </row>
    <row r="970" spans="1:5" x14ac:dyDescent="0.25">
      <c r="A970" s="1"/>
      <c r="B970" s="1"/>
      <c r="C970" s="1"/>
      <c r="D970" s="3"/>
      <c r="E970" s="1"/>
    </row>
    <row r="971" spans="1:5" x14ac:dyDescent="0.25">
      <c r="A971" s="1"/>
      <c r="B971" s="1"/>
      <c r="C971" s="1"/>
      <c r="D971" s="3"/>
      <c r="E971" s="1"/>
    </row>
    <row r="972" spans="1:5" x14ac:dyDescent="0.25">
      <c r="A972" s="1"/>
      <c r="B972" s="1"/>
      <c r="C972" s="1"/>
      <c r="D972" s="3"/>
      <c r="E972" s="1"/>
    </row>
    <row r="973" spans="1:5" x14ac:dyDescent="0.25">
      <c r="A973" s="1"/>
      <c r="B973" s="1"/>
      <c r="C973" s="1"/>
      <c r="D973" s="3"/>
      <c r="E973" s="1"/>
    </row>
    <row r="974" spans="1:5" x14ac:dyDescent="0.25">
      <c r="A974" s="1"/>
      <c r="B974" s="1"/>
      <c r="C974" s="1"/>
      <c r="D974" s="3"/>
      <c r="E974" s="1"/>
    </row>
    <row r="975" spans="1:5" x14ac:dyDescent="0.25">
      <c r="A975" s="1"/>
      <c r="B975" s="1"/>
      <c r="C975" s="1"/>
      <c r="D975" s="3"/>
      <c r="E975" s="1"/>
    </row>
    <row r="976" spans="1:5" x14ac:dyDescent="0.25">
      <c r="A976" s="1"/>
      <c r="B976" s="1"/>
      <c r="C976" s="1"/>
      <c r="D976" s="3"/>
      <c r="E976" s="1"/>
    </row>
    <row r="977" spans="1:5" x14ac:dyDescent="0.25">
      <c r="A977" s="1"/>
      <c r="B977" s="1"/>
      <c r="C977" s="1"/>
      <c r="D977" s="3"/>
      <c r="E977" s="1"/>
    </row>
    <row r="978" spans="1:5" x14ac:dyDescent="0.25">
      <c r="A978" s="1"/>
      <c r="B978" s="1"/>
      <c r="C978" s="1"/>
      <c r="D978" s="3"/>
      <c r="E978" s="1"/>
    </row>
    <row r="979" spans="1:5" x14ac:dyDescent="0.25">
      <c r="A979" s="1"/>
      <c r="B979" s="1"/>
      <c r="C979" s="1"/>
      <c r="D979" s="3"/>
      <c r="E979" s="1"/>
    </row>
    <row r="980" spans="1:5" x14ac:dyDescent="0.25">
      <c r="A980" s="1"/>
      <c r="B980" s="1"/>
      <c r="C980" s="1"/>
      <c r="D980" s="3"/>
      <c r="E980" s="1"/>
    </row>
    <row r="981" spans="1:5" x14ac:dyDescent="0.25">
      <c r="A981" s="1"/>
      <c r="B981" s="1"/>
      <c r="C981" s="1"/>
      <c r="D981" s="3"/>
      <c r="E981" s="1"/>
    </row>
    <row r="982" spans="1:5" x14ac:dyDescent="0.25">
      <c r="A982" s="1"/>
      <c r="B982" s="1"/>
      <c r="C982" s="1"/>
      <c r="D982" s="3"/>
      <c r="E982" s="1"/>
    </row>
    <row r="983" spans="1:5" x14ac:dyDescent="0.25">
      <c r="A983" s="1"/>
      <c r="B983" s="1"/>
      <c r="C983" s="1"/>
      <c r="D983" s="3"/>
      <c r="E983" s="1"/>
    </row>
    <row r="984" spans="1:5" x14ac:dyDescent="0.25">
      <c r="A984" s="1"/>
      <c r="B984" s="1"/>
      <c r="C984" s="1"/>
      <c r="D984" s="3"/>
      <c r="E984" s="1"/>
    </row>
    <row r="985" spans="1:5" x14ac:dyDescent="0.25">
      <c r="A985" s="1"/>
      <c r="B985" s="1"/>
      <c r="C985" s="1"/>
      <c r="D985" s="3"/>
      <c r="E985" s="1"/>
    </row>
    <row r="986" spans="1:5" x14ac:dyDescent="0.25">
      <c r="A986" s="1"/>
      <c r="B986" s="1"/>
      <c r="C986" s="1"/>
      <c r="D986" s="3"/>
      <c r="E986" s="1"/>
    </row>
    <row r="987" spans="1:5" x14ac:dyDescent="0.25">
      <c r="A987" s="1"/>
      <c r="B987" s="1"/>
      <c r="C987" s="1"/>
      <c r="D987" s="3"/>
      <c r="E987" s="1"/>
    </row>
    <row r="988" spans="1:5" x14ac:dyDescent="0.25">
      <c r="A988" s="1"/>
      <c r="B988" s="1"/>
      <c r="C988" s="1"/>
      <c r="D988" s="3"/>
      <c r="E988" s="1"/>
    </row>
    <row r="989" spans="1:5" x14ac:dyDescent="0.25">
      <c r="A989" s="1"/>
      <c r="B989" s="1"/>
      <c r="C989" s="1"/>
      <c r="D989" s="3"/>
      <c r="E989" s="1"/>
    </row>
    <row r="990" spans="1:5" x14ac:dyDescent="0.25">
      <c r="A990" s="1"/>
      <c r="B990" s="1"/>
      <c r="C990" s="1"/>
      <c r="D990" s="3"/>
      <c r="E990" s="1"/>
    </row>
    <row r="991" spans="1:5" x14ac:dyDescent="0.25">
      <c r="A991" s="1"/>
      <c r="B991" s="1"/>
      <c r="C991" s="1"/>
      <c r="D991" s="3"/>
      <c r="E991" s="1"/>
    </row>
    <row r="992" spans="1:5" x14ac:dyDescent="0.25">
      <c r="A992" s="1"/>
      <c r="B992" s="1"/>
      <c r="C992" s="1"/>
      <c r="D992" s="3"/>
      <c r="E992" s="1"/>
    </row>
    <row r="993" spans="1:5" x14ac:dyDescent="0.25">
      <c r="A993" s="1"/>
      <c r="B993" s="1"/>
      <c r="C993" s="1"/>
      <c r="D993" s="3"/>
      <c r="E993" s="1"/>
    </row>
    <row r="994" spans="1:5" x14ac:dyDescent="0.25">
      <c r="A994" s="1"/>
      <c r="B994" s="1"/>
      <c r="C994" s="1"/>
      <c r="D994" s="3"/>
      <c r="E994" s="1"/>
    </row>
    <row r="995" spans="1:5" x14ac:dyDescent="0.25">
      <c r="A995" s="1"/>
      <c r="B995" s="1"/>
      <c r="C995" s="1"/>
      <c r="D995" s="3"/>
      <c r="E995" s="1"/>
    </row>
    <row r="996" spans="1:5" x14ac:dyDescent="0.25">
      <c r="A996" s="1"/>
      <c r="B996" s="1"/>
      <c r="C996" s="1"/>
      <c r="D996" s="3"/>
      <c r="E996" s="1"/>
    </row>
    <row r="997" spans="1:5" x14ac:dyDescent="0.25">
      <c r="A997" s="1"/>
      <c r="B997" s="1"/>
      <c r="C997" s="1"/>
      <c r="D997" s="3"/>
      <c r="E997" s="1"/>
    </row>
    <row r="998" spans="1:5" x14ac:dyDescent="0.25">
      <c r="A998" s="1"/>
      <c r="B998" s="1"/>
      <c r="C998" s="1"/>
      <c r="D998" s="3"/>
      <c r="E998" s="1"/>
    </row>
    <row r="999" spans="1:5" x14ac:dyDescent="0.25">
      <c r="A999" s="1"/>
      <c r="B999" s="1"/>
      <c r="C999" s="1"/>
      <c r="D999" s="3"/>
      <c r="E999" s="1"/>
    </row>
    <row r="1000" spans="1:5" x14ac:dyDescent="0.25">
      <c r="A1000" s="1"/>
      <c r="B1000" s="1"/>
      <c r="C1000" s="1"/>
      <c r="D1000" s="3"/>
      <c r="E1000" s="1"/>
    </row>
    <row r="1001" spans="1:5" x14ac:dyDescent="0.25">
      <c r="A1001" s="1"/>
      <c r="B1001" s="1"/>
      <c r="C1001" s="1"/>
      <c r="D1001" s="3"/>
      <c r="E1001" s="1"/>
    </row>
    <row r="1002" spans="1:5" x14ac:dyDescent="0.25">
      <c r="A1002" s="1"/>
      <c r="B1002" s="1"/>
      <c r="C1002" s="1"/>
      <c r="D1002" s="3"/>
      <c r="E1002" s="1"/>
    </row>
    <row r="1003" spans="1:5" x14ac:dyDescent="0.25">
      <c r="A1003" s="1"/>
      <c r="B1003" s="1"/>
      <c r="C1003" s="1"/>
      <c r="D1003" s="3"/>
      <c r="E1003" s="1"/>
    </row>
    <row r="1004" spans="1:5" x14ac:dyDescent="0.25">
      <c r="A1004" s="1"/>
      <c r="B1004" s="1"/>
      <c r="C1004" s="1"/>
      <c r="D1004" s="3"/>
      <c r="E1004" s="1"/>
    </row>
    <row r="1005" spans="1:5" x14ac:dyDescent="0.25">
      <c r="A1005" s="1"/>
      <c r="B1005" s="1"/>
      <c r="C1005" s="1"/>
      <c r="D1005" s="3"/>
      <c r="E1005" s="1"/>
    </row>
    <row r="1006" spans="1:5" x14ac:dyDescent="0.25">
      <c r="A1006" s="1"/>
      <c r="B1006" s="1"/>
      <c r="C1006" s="1"/>
      <c r="D1006" s="3"/>
      <c r="E1006" s="1"/>
    </row>
    <row r="1007" spans="1:5" x14ac:dyDescent="0.25">
      <c r="A1007" s="1"/>
      <c r="B1007" s="1"/>
      <c r="C1007" s="1"/>
      <c r="D1007" s="3"/>
      <c r="E1007" s="1"/>
    </row>
    <row r="1008" spans="1:5" x14ac:dyDescent="0.25">
      <c r="A1008" s="1"/>
      <c r="B1008" s="1"/>
      <c r="C1008" s="1"/>
      <c r="D1008" s="3"/>
      <c r="E1008" s="1"/>
    </row>
    <row r="1009" spans="1:5" x14ac:dyDescent="0.25">
      <c r="A1009" s="1"/>
      <c r="B1009" s="1"/>
      <c r="C1009" s="1"/>
      <c r="D1009" s="3"/>
      <c r="E1009" s="1"/>
    </row>
    <row r="1010" spans="1:5" x14ac:dyDescent="0.25">
      <c r="A1010" s="1"/>
      <c r="B1010" s="1"/>
      <c r="C1010" s="1"/>
      <c r="D1010" s="3"/>
      <c r="E1010" s="1"/>
    </row>
    <row r="1011" spans="1:5" x14ac:dyDescent="0.25">
      <c r="A1011" s="1"/>
      <c r="B1011" s="1"/>
      <c r="C1011" s="1"/>
      <c r="D1011" s="3"/>
      <c r="E1011" s="1"/>
    </row>
    <row r="1012" spans="1:5" x14ac:dyDescent="0.25">
      <c r="A1012" s="1"/>
      <c r="B1012" s="1"/>
      <c r="C1012" s="1"/>
      <c r="D1012" s="3"/>
      <c r="E1012" s="1"/>
    </row>
    <row r="1013" spans="1:5" x14ac:dyDescent="0.25">
      <c r="A1013" s="1"/>
      <c r="B1013" s="1"/>
      <c r="C1013" s="1"/>
      <c r="D1013" s="3"/>
      <c r="E1013" s="1"/>
    </row>
    <row r="1014" spans="1:5" x14ac:dyDescent="0.25">
      <c r="A1014" s="1"/>
      <c r="B1014" s="1"/>
      <c r="C1014" s="1"/>
      <c r="D1014" s="3"/>
      <c r="E1014" s="1"/>
    </row>
    <row r="1015" spans="1:5" x14ac:dyDescent="0.25">
      <c r="A1015" s="1"/>
      <c r="B1015" s="1"/>
      <c r="C1015" s="1"/>
      <c r="D1015" s="3"/>
      <c r="E1015" s="1"/>
    </row>
    <row r="1016" spans="1:5" x14ac:dyDescent="0.25">
      <c r="A1016" s="1"/>
      <c r="B1016" s="1"/>
      <c r="C1016" s="1"/>
      <c r="D1016" s="3"/>
      <c r="E1016" s="1"/>
    </row>
    <row r="1017" spans="1:5" x14ac:dyDescent="0.25">
      <c r="A1017" s="1"/>
      <c r="B1017" s="1"/>
      <c r="C1017" s="1"/>
      <c r="D1017" s="3"/>
      <c r="E1017" s="1"/>
    </row>
    <row r="1018" spans="1:5" x14ac:dyDescent="0.25">
      <c r="A1018" s="1"/>
      <c r="B1018" s="1"/>
      <c r="C1018" s="1"/>
      <c r="D1018" s="3"/>
      <c r="E1018" s="1"/>
    </row>
    <row r="1019" spans="1:5" x14ac:dyDescent="0.25">
      <c r="A1019" s="1"/>
      <c r="B1019" s="1"/>
      <c r="C1019" s="1"/>
      <c r="D1019" s="3"/>
      <c r="E1019" s="1"/>
    </row>
    <row r="1020" spans="1:5" x14ac:dyDescent="0.25">
      <c r="A1020" s="1"/>
      <c r="B1020" s="1"/>
      <c r="C1020" s="1"/>
      <c r="D1020" s="3"/>
      <c r="E1020" s="1"/>
    </row>
    <row r="1021" spans="1:5" x14ac:dyDescent="0.25">
      <c r="A1021" s="1"/>
      <c r="B1021" s="1"/>
      <c r="C1021" s="1"/>
      <c r="D1021" s="3"/>
      <c r="E1021" s="1"/>
    </row>
    <row r="1022" spans="1:5" x14ac:dyDescent="0.25">
      <c r="A1022" s="1"/>
      <c r="B1022" s="1"/>
      <c r="C1022" s="1"/>
      <c r="D1022" s="3"/>
      <c r="E1022" s="1"/>
    </row>
    <row r="1023" spans="1:5" x14ac:dyDescent="0.25">
      <c r="A1023" s="1"/>
      <c r="B1023" s="1"/>
      <c r="C1023" s="1"/>
      <c r="D1023" s="3"/>
      <c r="E1023" s="1"/>
    </row>
    <row r="1024" spans="1:5" x14ac:dyDescent="0.25">
      <c r="A1024" s="1"/>
      <c r="B1024" s="1"/>
      <c r="C1024" s="1"/>
      <c r="D1024" s="3"/>
      <c r="E1024" s="1"/>
    </row>
    <row r="1025" spans="1:5" x14ac:dyDescent="0.25">
      <c r="A1025" s="1"/>
      <c r="B1025" s="1"/>
      <c r="C1025" s="1"/>
      <c r="D1025" s="3"/>
      <c r="E1025" s="1"/>
    </row>
    <row r="1026" spans="1:5" x14ac:dyDescent="0.25">
      <c r="A1026" s="1"/>
      <c r="B1026" s="1"/>
      <c r="C1026" s="1"/>
      <c r="D1026" s="3"/>
      <c r="E1026" s="1"/>
    </row>
    <row r="1027" spans="1:5" x14ac:dyDescent="0.25">
      <c r="A1027" s="1"/>
      <c r="B1027" s="1"/>
      <c r="C1027" s="1"/>
      <c r="D1027" s="3"/>
      <c r="E1027" s="1"/>
    </row>
    <row r="1028" spans="1:5" x14ac:dyDescent="0.25">
      <c r="A1028" s="1"/>
      <c r="B1028" s="1"/>
      <c r="C1028" s="1"/>
      <c r="D1028" s="3"/>
      <c r="E1028" s="1"/>
    </row>
    <row r="1029" spans="1:5" x14ac:dyDescent="0.25">
      <c r="A1029" s="1"/>
      <c r="B1029" s="1"/>
      <c r="C1029" s="1"/>
      <c r="D1029" s="3"/>
      <c r="E1029" s="1"/>
    </row>
    <row r="1030" spans="1:5" x14ac:dyDescent="0.25">
      <c r="A1030" s="1"/>
      <c r="B1030" s="1"/>
      <c r="C1030" s="1"/>
      <c r="D1030" s="3"/>
      <c r="E1030" s="1"/>
    </row>
    <row r="1031" spans="1:5" x14ac:dyDescent="0.25">
      <c r="A1031" s="1"/>
      <c r="B1031" s="1"/>
      <c r="C1031" s="1"/>
      <c r="D1031" s="3"/>
      <c r="E1031" s="1"/>
    </row>
    <row r="1032" spans="1:5" x14ac:dyDescent="0.25">
      <c r="A1032" s="1"/>
      <c r="B1032" s="1"/>
      <c r="C1032" s="1"/>
      <c r="D1032" s="3"/>
      <c r="E1032" s="1"/>
    </row>
    <row r="1033" spans="1:5" x14ac:dyDescent="0.25">
      <c r="A1033" s="1"/>
      <c r="B1033" s="1"/>
      <c r="C1033" s="1"/>
      <c r="D1033" s="3"/>
      <c r="E1033" s="1"/>
    </row>
    <row r="1034" spans="1:5" x14ac:dyDescent="0.25">
      <c r="A1034" s="1"/>
      <c r="B1034" s="1"/>
      <c r="C1034" s="1"/>
      <c r="D1034" s="3"/>
      <c r="E1034" s="1"/>
    </row>
    <row r="1035" spans="1:5" x14ac:dyDescent="0.25">
      <c r="A1035" s="1"/>
      <c r="B1035" s="1"/>
      <c r="C1035" s="1"/>
      <c r="D1035" s="3"/>
      <c r="E1035" s="1"/>
    </row>
    <row r="1036" spans="1:5" x14ac:dyDescent="0.25">
      <c r="A1036" s="1"/>
      <c r="B1036" s="1"/>
      <c r="C1036" s="1"/>
      <c r="D1036" s="3"/>
      <c r="E1036" s="1"/>
    </row>
    <row r="1037" spans="1:5" x14ac:dyDescent="0.25">
      <c r="A1037" s="1"/>
      <c r="B1037" s="1"/>
      <c r="C1037" s="1"/>
      <c r="D1037" s="3"/>
      <c r="E1037" s="1"/>
    </row>
    <row r="1038" spans="1:5" x14ac:dyDescent="0.25">
      <c r="A1038" s="1"/>
      <c r="B1038" s="1"/>
      <c r="C1038" s="1"/>
      <c r="D1038" s="3"/>
      <c r="E1038" s="1"/>
    </row>
    <row r="1039" spans="1:5" x14ac:dyDescent="0.25">
      <c r="A1039" s="1"/>
      <c r="B1039" s="1"/>
      <c r="C1039" s="1"/>
      <c r="D1039" s="3"/>
      <c r="E1039" s="1"/>
    </row>
    <row r="1040" spans="1:5" x14ac:dyDescent="0.25">
      <c r="A1040" s="1"/>
      <c r="B1040" s="1"/>
      <c r="C1040" s="1"/>
      <c r="D1040" s="3"/>
      <c r="E1040" s="1"/>
    </row>
    <row r="1041" spans="1:5" x14ac:dyDescent="0.25">
      <c r="A1041" s="1"/>
      <c r="B1041" s="1"/>
      <c r="C1041" s="1"/>
      <c r="D1041" s="3"/>
      <c r="E1041" s="1"/>
    </row>
    <row r="1042" spans="1:5" x14ac:dyDescent="0.25">
      <c r="A1042" s="1"/>
      <c r="B1042" s="1"/>
      <c r="C1042" s="1"/>
      <c r="D1042" s="3"/>
      <c r="E1042" s="1"/>
    </row>
    <row r="1043" spans="1:5" x14ac:dyDescent="0.25">
      <c r="A1043" s="1"/>
      <c r="B1043" s="1"/>
      <c r="C1043" s="1"/>
      <c r="D1043" s="3"/>
      <c r="E1043" s="1"/>
    </row>
    <row r="1044" spans="1:5" x14ac:dyDescent="0.25">
      <c r="A1044" s="1"/>
      <c r="B1044" s="1"/>
      <c r="C1044" s="1"/>
      <c r="D1044" s="3"/>
      <c r="E1044" s="1"/>
    </row>
    <row r="1045" spans="1:5" x14ac:dyDescent="0.25">
      <c r="A1045" s="1"/>
      <c r="B1045" s="1"/>
      <c r="C1045" s="1"/>
      <c r="D1045" s="3"/>
      <c r="E1045" s="1"/>
    </row>
    <row r="1046" spans="1:5" x14ac:dyDescent="0.25">
      <c r="A1046" s="1"/>
      <c r="B1046" s="1"/>
      <c r="C1046" s="1"/>
      <c r="D1046" s="3"/>
      <c r="E1046" s="1"/>
    </row>
    <row r="1047" spans="1:5" x14ac:dyDescent="0.25">
      <c r="A1047" s="1"/>
      <c r="B1047" s="1"/>
      <c r="C1047" s="1"/>
      <c r="D1047" s="3"/>
      <c r="E1047" s="1"/>
    </row>
    <row r="1048" spans="1:5" x14ac:dyDescent="0.25">
      <c r="A1048" s="1"/>
      <c r="B1048" s="1"/>
      <c r="C1048" s="1"/>
      <c r="D1048" s="3"/>
      <c r="E1048" s="1"/>
    </row>
    <row r="1049" spans="1:5" x14ac:dyDescent="0.25">
      <c r="A1049" s="1"/>
      <c r="B1049" s="1"/>
      <c r="C1049" s="1"/>
      <c r="D1049" s="3"/>
      <c r="E1049" s="1"/>
    </row>
    <row r="1050" spans="1:5" x14ac:dyDescent="0.25">
      <c r="A1050" s="1"/>
      <c r="B1050" s="1"/>
      <c r="C1050" s="1"/>
      <c r="D1050" s="3"/>
      <c r="E1050" s="1"/>
    </row>
    <row r="1051" spans="1:5" x14ac:dyDescent="0.25">
      <c r="A1051" s="1"/>
      <c r="B1051" s="1"/>
      <c r="C1051" s="1"/>
      <c r="D1051" s="3"/>
      <c r="E1051" s="1"/>
    </row>
    <row r="1052" spans="1:5" x14ac:dyDescent="0.25">
      <c r="A1052" s="1"/>
      <c r="B1052" s="1"/>
      <c r="C1052" s="1"/>
      <c r="D1052" s="3"/>
      <c r="E1052" s="1"/>
    </row>
    <row r="1053" spans="1:5" x14ac:dyDescent="0.25">
      <c r="A1053" s="1"/>
      <c r="B1053" s="1"/>
      <c r="C1053" s="1"/>
      <c r="D1053" s="3"/>
      <c r="E1053" s="1"/>
    </row>
    <row r="1054" spans="1:5" x14ac:dyDescent="0.25">
      <c r="A1054" s="1"/>
      <c r="B1054" s="1"/>
      <c r="C1054" s="1"/>
      <c r="D1054" s="3"/>
      <c r="E1054" s="1"/>
    </row>
    <row r="1055" spans="1:5" x14ac:dyDescent="0.25">
      <c r="A1055" s="1"/>
      <c r="B1055" s="1"/>
      <c r="C1055" s="1"/>
      <c r="D1055" s="3"/>
      <c r="E1055" s="1"/>
    </row>
    <row r="1056" spans="1:5" x14ac:dyDescent="0.25">
      <c r="A1056" s="1"/>
      <c r="B1056" s="1"/>
      <c r="C1056" s="1"/>
      <c r="D1056" s="3"/>
      <c r="E1056" s="1"/>
    </row>
    <row r="1057" spans="1:5" x14ac:dyDescent="0.25">
      <c r="A1057" s="1"/>
      <c r="B1057" s="1"/>
      <c r="C1057" s="1"/>
      <c r="D1057" s="3"/>
      <c r="E1057" s="1"/>
    </row>
    <row r="1058" spans="1:5" x14ac:dyDescent="0.25">
      <c r="A1058" s="1"/>
      <c r="B1058" s="1"/>
      <c r="C1058" s="1"/>
      <c r="D1058" s="3"/>
      <c r="E1058" s="1"/>
    </row>
    <row r="1059" spans="1:5" x14ac:dyDescent="0.25">
      <c r="A1059" s="1"/>
      <c r="B1059" s="1"/>
      <c r="C1059" s="1"/>
      <c r="D1059" s="3"/>
      <c r="E1059" s="1"/>
    </row>
    <row r="1060" spans="1:5" x14ac:dyDescent="0.25">
      <c r="A1060" s="1"/>
      <c r="B1060" s="1"/>
      <c r="C1060" s="1"/>
      <c r="D1060" s="3"/>
      <c r="E1060" s="1"/>
    </row>
    <row r="1061" spans="1:5" x14ac:dyDescent="0.25">
      <c r="A1061" s="1"/>
      <c r="B1061" s="1"/>
      <c r="C1061" s="1"/>
      <c r="D1061" s="3"/>
      <c r="E1061" s="1"/>
    </row>
    <row r="1062" spans="1:5" x14ac:dyDescent="0.25">
      <c r="A1062" s="1"/>
      <c r="B1062" s="1"/>
      <c r="C1062" s="1"/>
      <c r="D1062" s="3"/>
      <c r="E1062" s="1"/>
    </row>
    <row r="1063" spans="1:5" x14ac:dyDescent="0.25">
      <c r="A1063" s="1"/>
      <c r="B1063" s="1"/>
      <c r="C1063" s="1"/>
      <c r="D1063" s="3"/>
      <c r="E1063" s="1"/>
    </row>
    <row r="1064" spans="1:5" x14ac:dyDescent="0.25">
      <c r="A1064" s="1"/>
      <c r="B1064" s="1"/>
      <c r="C1064" s="1"/>
      <c r="D1064" s="3"/>
      <c r="E1064" s="1"/>
    </row>
    <row r="1065" spans="1:5" x14ac:dyDescent="0.25">
      <c r="A1065" s="1"/>
      <c r="B1065" s="1"/>
      <c r="C1065" s="1"/>
      <c r="D1065" s="3"/>
      <c r="E1065" s="1"/>
    </row>
    <row r="1066" spans="1:5" x14ac:dyDescent="0.25">
      <c r="A1066" s="1"/>
      <c r="B1066" s="1"/>
      <c r="C1066" s="1"/>
      <c r="D1066" s="3"/>
      <c r="E1066" s="1"/>
    </row>
    <row r="1067" spans="1:5" x14ac:dyDescent="0.25">
      <c r="A1067" s="1"/>
      <c r="B1067" s="1"/>
      <c r="C1067" s="1"/>
      <c r="D1067" s="3"/>
      <c r="E1067" s="1"/>
    </row>
    <row r="1068" spans="1:5" x14ac:dyDescent="0.25">
      <c r="A1068" s="1"/>
      <c r="B1068" s="1"/>
      <c r="C1068" s="1"/>
      <c r="D1068" s="3"/>
      <c r="E1068" s="1"/>
    </row>
    <row r="1069" spans="1:5" x14ac:dyDescent="0.25">
      <c r="A1069" s="1"/>
      <c r="B1069" s="1"/>
      <c r="C1069" s="1"/>
      <c r="D1069" s="3"/>
      <c r="E1069" s="1"/>
    </row>
    <row r="1070" spans="1:5" x14ac:dyDescent="0.25">
      <c r="A1070" s="1"/>
      <c r="B1070" s="1"/>
      <c r="C1070" s="1"/>
      <c r="D1070" s="3"/>
      <c r="E1070" s="1"/>
    </row>
    <row r="1071" spans="1:5" x14ac:dyDescent="0.25">
      <c r="A1071" s="1"/>
      <c r="B1071" s="1"/>
      <c r="C1071" s="1"/>
      <c r="D1071" s="3"/>
      <c r="E1071" s="1"/>
    </row>
    <row r="1072" spans="1:5" x14ac:dyDescent="0.25">
      <c r="A1072" s="1"/>
      <c r="B1072" s="1"/>
      <c r="C1072" s="1"/>
      <c r="D1072" s="3"/>
      <c r="E1072" s="1"/>
    </row>
    <row r="1073" spans="1:5" x14ac:dyDescent="0.25">
      <c r="A1073" s="1"/>
      <c r="B1073" s="1"/>
      <c r="C1073" s="1"/>
      <c r="D1073" s="3"/>
      <c r="E1073" s="1"/>
    </row>
    <row r="1074" spans="1:5" x14ac:dyDescent="0.25">
      <c r="A1074" s="1"/>
      <c r="B1074" s="1"/>
      <c r="C1074" s="1"/>
      <c r="D1074" s="3"/>
      <c r="E1074" s="1"/>
    </row>
    <row r="1075" spans="1:5" x14ac:dyDescent="0.25">
      <c r="A1075" s="1"/>
      <c r="B1075" s="1"/>
      <c r="C1075" s="1"/>
      <c r="D1075" s="3"/>
      <c r="E1075" s="1"/>
    </row>
    <row r="1076" spans="1:5" x14ac:dyDescent="0.25">
      <c r="A1076" s="1"/>
      <c r="B1076" s="1"/>
      <c r="C1076" s="1"/>
      <c r="D1076" s="3"/>
      <c r="E1076" s="1"/>
    </row>
    <row r="1077" spans="1:5" x14ac:dyDescent="0.25">
      <c r="A1077" s="1"/>
      <c r="B1077" s="1"/>
      <c r="C1077" s="1"/>
      <c r="D1077" s="3"/>
      <c r="E1077" s="1"/>
    </row>
    <row r="1078" spans="1:5" x14ac:dyDescent="0.25">
      <c r="A1078" s="1"/>
      <c r="B1078" s="1"/>
      <c r="C1078" s="1"/>
      <c r="D1078" s="3"/>
      <c r="E1078" s="1"/>
    </row>
    <row r="1079" spans="1:5" x14ac:dyDescent="0.25">
      <c r="A1079" s="1"/>
      <c r="B1079" s="1"/>
      <c r="C1079" s="1"/>
      <c r="D1079" s="3"/>
      <c r="E1079" s="1"/>
    </row>
    <row r="1080" spans="1:5" x14ac:dyDescent="0.25">
      <c r="A1080" s="1"/>
      <c r="B1080" s="1"/>
      <c r="C1080" s="1"/>
      <c r="D1080" s="3"/>
      <c r="E1080" s="1"/>
    </row>
    <row r="1081" spans="1:5" x14ac:dyDescent="0.25">
      <c r="A1081" s="1"/>
      <c r="B1081" s="1"/>
      <c r="C1081" s="1"/>
      <c r="D1081" s="3"/>
      <c r="E1081" s="1"/>
    </row>
    <row r="1082" spans="1:5" x14ac:dyDescent="0.25">
      <c r="A1082" s="1"/>
      <c r="B1082" s="1"/>
      <c r="C1082" s="1"/>
      <c r="D1082" s="3"/>
      <c r="E1082" s="1"/>
    </row>
    <row r="1083" spans="1:5" x14ac:dyDescent="0.25">
      <c r="A1083" s="1"/>
      <c r="B1083" s="1"/>
      <c r="C1083" s="1"/>
      <c r="D1083" s="3"/>
      <c r="E1083" s="1"/>
    </row>
    <row r="1084" spans="1:5" x14ac:dyDescent="0.25">
      <c r="A1084" s="1"/>
      <c r="B1084" s="1"/>
      <c r="C1084" s="1"/>
      <c r="D1084" s="3"/>
      <c r="E1084" s="1"/>
    </row>
    <row r="1085" spans="1:5" x14ac:dyDescent="0.25">
      <c r="A1085" s="1"/>
      <c r="B1085" s="1"/>
      <c r="C1085" s="1"/>
      <c r="D1085" s="3"/>
      <c r="E1085" s="1"/>
    </row>
    <row r="1086" spans="1:5" x14ac:dyDescent="0.25">
      <c r="A1086" s="1"/>
      <c r="B1086" s="1"/>
      <c r="C1086" s="1"/>
      <c r="D1086" s="3"/>
      <c r="E1086" s="1"/>
    </row>
    <row r="1087" spans="1:5" x14ac:dyDescent="0.25">
      <c r="A1087" s="1"/>
      <c r="B1087" s="1"/>
      <c r="C1087" s="1"/>
      <c r="D1087" s="3"/>
      <c r="E1087" s="1"/>
    </row>
    <row r="1088" spans="1:5" x14ac:dyDescent="0.25">
      <c r="A1088" s="1"/>
      <c r="B1088" s="1"/>
      <c r="C1088" s="1"/>
      <c r="D1088" s="3"/>
      <c r="E1088" s="1"/>
    </row>
    <row r="1089" spans="1:5" x14ac:dyDescent="0.25">
      <c r="A1089" s="1"/>
      <c r="B1089" s="1"/>
      <c r="C1089" s="1"/>
      <c r="D1089" s="3"/>
      <c r="E1089" s="1"/>
    </row>
    <row r="1090" spans="1:5" x14ac:dyDescent="0.25">
      <c r="A1090" s="1"/>
      <c r="B1090" s="1"/>
      <c r="C1090" s="1"/>
      <c r="D1090" s="3"/>
      <c r="E1090" s="1"/>
    </row>
    <row r="1091" spans="1:5" x14ac:dyDescent="0.25">
      <c r="A1091" s="1"/>
      <c r="B1091" s="1"/>
      <c r="C1091" s="1"/>
      <c r="D1091" s="3"/>
      <c r="E1091" s="1"/>
    </row>
    <row r="1092" spans="1:5" x14ac:dyDescent="0.25">
      <c r="A1092" s="1"/>
      <c r="B1092" s="1"/>
      <c r="C1092" s="1"/>
      <c r="D1092" s="3"/>
      <c r="E1092" s="1"/>
    </row>
    <row r="1093" spans="1:5" x14ac:dyDescent="0.25">
      <c r="A1093" s="1"/>
      <c r="B1093" s="1"/>
      <c r="C1093" s="1"/>
      <c r="D1093" s="3"/>
      <c r="E1093" s="1"/>
    </row>
    <row r="1094" spans="1:5" x14ac:dyDescent="0.25">
      <c r="A1094" s="1"/>
      <c r="B1094" s="1"/>
      <c r="C1094" s="1"/>
      <c r="D1094" s="3"/>
      <c r="E1094" s="1"/>
    </row>
    <row r="1095" spans="1:5" x14ac:dyDescent="0.25">
      <c r="A1095" s="1"/>
      <c r="B1095" s="1"/>
      <c r="C1095" s="1"/>
      <c r="D1095" s="3"/>
      <c r="E1095" s="1"/>
    </row>
    <row r="1096" spans="1:5" x14ac:dyDescent="0.25">
      <c r="A1096" s="1"/>
      <c r="B1096" s="1"/>
      <c r="C1096" s="1"/>
      <c r="D1096" s="3"/>
      <c r="E1096" s="1"/>
    </row>
    <row r="1097" spans="1:5" x14ac:dyDescent="0.25">
      <c r="A1097" s="1"/>
      <c r="B1097" s="1"/>
      <c r="C1097" s="1"/>
      <c r="D1097" s="3"/>
      <c r="E1097" s="1"/>
    </row>
    <row r="1098" spans="1:5" x14ac:dyDescent="0.25">
      <c r="A1098" s="1"/>
      <c r="B1098" s="1"/>
      <c r="C1098" s="1"/>
      <c r="D1098" s="3"/>
      <c r="E1098" s="1"/>
    </row>
    <row r="1099" spans="1:5" x14ac:dyDescent="0.25">
      <c r="A1099" s="1"/>
      <c r="B1099" s="1"/>
      <c r="C1099" s="1"/>
      <c r="D1099" s="3"/>
      <c r="E1099" s="1"/>
    </row>
    <row r="1100" spans="1:5" x14ac:dyDescent="0.25">
      <c r="A1100" s="1"/>
      <c r="B1100" s="1"/>
      <c r="C1100" s="1"/>
      <c r="D1100" s="3"/>
      <c r="E1100" s="1"/>
    </row>
    <row r="1101" spans="1:5" x14ac:dyDescent="0.25">
      <c r="A1101" s="1"/>
      <c r="B1101" s="1"/>
      <c r="C1101" s="1"/>
      <c r="D1101" s="3"/>
      <c r="E1101" s="1"/>
    </row>
    <row r="1102" spans="1:5" x14ac:dyDescent="0.25">
      <c r="A1102" s="1"/>
      <c r="B1102" s="1"/>
      <c r="C1102" s="1"/>
      <c r="D1102" s="3"/>
      <c r="E1102" s="1"/>
    </row>
    <row r="1103" spans="1:5" x14ac:dyDescent="0.25">
      <c r="A1103" s="1"/>
      <c r="B1103" s="1"/>
      <c r="C1103" s="1"/>
      <c r="D1103" s="3"/>
      <c r="E1103" s="1"/>
    </row>
    <row r="1104" spans="1:5" x14ac:dyDescent="0.25">
      <c r="A1104" s="1"/>
      <c r="B1104" s="1"/>
      <c r="C1104" s="1"/>
      <c r="D1104" s="3"/>
      <c r="E1104" s="1"/>
    </row>
    <row r="1105" spans="1:5" x14ac:dyDescent="0.25">
      <c r="A1105" s="1"/>
      <c r="B1105" s="1"/>
      <c r="C1105" s="1"/>
      <c r="D1105" s="3"/>
      <c r="E1105" s="1"/>
    </row>
    <row r="1106" spans="1:5" x14ac:dyDescent="0.25">
      <c r="A1106" s="1"/>
      <c r="B1106" s="1"/>
      <c r="C1106" s="1"/>
      <c r="D1106" s="3"/>
      <c r="E1106" s="1"/>
    </row>
    <row r="1107" spans="1:5" x14ac:dyDescent="0.25">
      <c r="A1107" s="1"/>
      <c r="B1107" s="1"/>
      <c r="C1107" s="1"/>
      <c r="D1107" s="3"/>
      <c r="E1107" s="1"/>
    </row>
    <row r="1108" spans="1:5" x14ac:dyDescent="0.25">
      <c r="A1108" s="1"/>
      <c r="B1108" s="1"/>
      <c r="C1108" s="1"/>
      <c r="D1108" s="3"/>
      <c r="E1108" s="1"/>
    </row>
    <row r="1109" spans="1:5" x14ac:dyDescent="0.25">
      <c r="A1109" s="1"/>
      <c r="B1109" s="1"/>
      <c r="C1109" s="1"/>
      <c r="D1109" s="3"/>
      <c r="E1109" s="1"/>
    </row>
    <row r="1110" spans="1:5" x14ac:dyDescent="0.25">
      <c r="A1110" s="1"/>
      <c r="B1110" s="1"/>
      <c r="C1110" s="1"/>
      <c r="D1110" s="3"/>
      <c r="E1110" s="1"/>
    </row>
    <row r="1111" spans="1:5" x14ac:dyDescent="0.25">
      <c r="A1111" s="1"/>
      <c r="B1111" s="1"/>
      <c r="C1111" s="1"/>
      <c r="D1111" s="3"/>
      <c r="E1111" s="1"/>
    </row>
    <row r="1112" spans="1:5" x14ac:dyDescent="0.25">
      <c r="A1112" s="1"/>
      <c r="B1112" s="1"/>
      <c r="C1112" s="1"/>
      <c r="D1112" s="3"/>
      <c r="E1112" s="1"/>
    </row>
    <row r="1113" spans="1:5" x14ac:dyDescent="0.25">
      <c r="A1113" s="1"/>
      <c r="B1113" s="1"/>
      <c r="C1113" s="1"/>
      <c r="D1113" s="3"/>
      <c r="E1113" s="1"/>
    </row>
    <row r="1114" spans="1:5" x14ac:dyDescent="0.25">
      <c r="A1114" s="1"/>
      <c r="B1114" s="1"/>
      <c r="C1114" s="1"/>
      <c r="D1114" s="3"/>
      <c r="E1114" s="1"/>
    </row>
    <row r="1115" spans="1:5" x14ac:dyDescent="0.25">
      <c r="A1115" s="1"/>
      <c r="B1115" s="1"/>
      <c r="C1115" s="1"/>
      <c r="D1115" s="3"/>
      <c r="E1115" s="1"/>
    </row>
    <row r="1116" spans="1:5" x14ac:dyDescent="0.25">
      <c r="A1116" s="1"/>
      <c r="B1116" s="1"/>
      <c r="C1116" s="1"/>
      <c r="D1116" s="3"/>
      <c r="E1116" s="1"/>
    </row>
    <row r="1117" spans="1:5" x14ac:dyDescent="0.25">
      <c r="A1117" s="1"/>
      <c r="B1117" s="1"/>
      <c r="C1117" s="1"/>
      <c r="D1117" s="3"/>
      <c r="E1117" s="1"/>
    </row>
    <row r="1118" spans="1:5" x14ac:dyDescent="0.25">
      <c r="A1118" s="1"/>
      <c r="B1118" s="1"/>
      <c r="C1118" s="1"/>
      <c r="D1118" s="3"/>
      <c r="E1118" s="1"/>
    </row>
    <row r="1119" spans="1:5" x14ac:dyDescent="0.25">
      <c r="A1119" s="1"/>
      <c r="B1119" s="1"/>
      <c r="C1119" s="1"/>
      <c r="D1119" s="3"/>
      <c r="E1119" s="1"/>
    </row>
    <row r="1120" spans="1:5" x14ac:dyDescent="0.25">
      <c r="A1120" s="1"/>
      <c r="B1120" s="1"/>
      <c r="C1120" s="1"/>
      <c r="D1120" s="3"/>
      <c r="E1120" s="1"/>
    </row>
    <row r="1121" spans="1:5" x14ac:dyDescent="0.25">
      <c r="A1121" s="1"/>
      <c r="B1121" s="1"/>
      <c r="C1121" s="1"/>
      <c r="D1121" s="3"/>
      <c r="E1121" s="1"/>
    </row>
    <row r="1122" spans="1:5" x14ac:dyDescent="0.25">
      <c r="A1122" s="1"/>
      <c r="B1122" s="1"/>
      <c r="C1122" s="1"/>
      <c r="D1122" s="3"/>
      <c r="E1122" s="1"/>
    </row>
    <row r="1123" spans="1:5" x14ac:dyDescent="0.25">
      <c r="A1123" s="1"/>
      <c r="B1123" s="1"/>
      <c r="C1123" s="1"/>
      <c r="D1123" s="3"/>
      <c r="E1123" s="1"/>
    </row>
    <row r="1124" spans="1:5" x14ac:dyDescent="0.25">
      <c r="A1124" s="1"/>
      <c r="B1124" s="1"/>
      <c r="C1124" s="1"/>
      <c r="D1124" s="3"/>
      <c r="E1124" s="1"/>
    </row>
    <row r="1125" spans="1:5" x14ac:dyDescent="0.25">
      <c r="A1125" s="1"/>
      <c r="B1125" s="1"/>
      <c r="C1125" s="1"/>
      <c r="D1125" s="3"/>
      <c r="E1125" s="1"/>
    </row>
    <row r="1126" spans="1:5" x14ac:dyDescent="0.25">
      <c r="A1126" s="1"/>
      <c r="B1126" s="1"/>
      <c r="C1126" s="1"/>
      <c r="D1126" s="3"/>
      <c r="E1126" s="1"/>
    </row>
    <row r="1127" spans="1:5" x14ac:dyDescent="0.25">
      <c r="A1127" s="1"/>
      <c r="B1127" s="1"/>
      <c r="C1127" s="1"/>
      <c r="D1127" s="3"/>
      <c r="E1127" s="1"/>
    </row>
    <row r="1128" spans="1:5" x14ac:dyDescent="0.25">
      <c r="A1128" s="1"/>
      <c r="B1128" s="1"/>
      <c r="C1128" s="1"/>
      <c r="D1128" s="3"/>
      <c r="E1128" s="1"/>
    </row>
    <row r="1129" spans="1:5" x14ac:dyDescent="0.25">
      <c r="A1129" s="1"/>
      <c r="B1129" s="1"/>
      <c r="C1129" s="1"/>
      <c r="D1129" s="3"/>
      <c r="E1129" s="1"/>
    </row>
    <row r="1130" spans="1:5" x14ac:dyDescent="0.25">
      <c r="A1130" s="1"/>
      <c r="B1130" s="1"/>
      <c r="C1130" s="1"/>
      <c r="D1130" s="3"/>
      <c r="E1130" s="1"/>
    </row>
    <row r="1131" spans="1:5" x14ac:dyDescent="0.25">
      <c r="A1131" s="1"/>
      <c r="B1131" s="1"/>
      <c r="C1131" s="1"/>
      <c r="D1131" s="3"/>
      <c r="E1131" s="1"/>
    </row>
    <row r="1132" spans="1:5" x14ac:dyDescent="0.25">
      <c r="A1132" s="1"/>
      <c r="B1132" s="1"/>
      <c r="C1132" s="1"/>
      <c r="D1132" s="3"/>
      <c r="E1132" s="1"/>
    </row>
    <row r="1133" spans="1:5" x14ac:dyDescent="0.25">
      <c r="A1133" s="1"/>
      <c r="B1133" s="1"/>
      <c r="C1133" s="1"/>
      <c r="D1133" s="3"/>
      <c r="E1133" s="1"/>
    </row>
    <row r="1134" spans="1:5" x14ac:dyDescent="0.25">
      <c r="A1134" s="1"/>
      <c r="B1134" s="1"/>
      <c r="C1134" s="1"/>
      <c r="D1134" s="3"/>
      <c r="E1134" s="1"/>
    </row>
    <row r="1135" spans="1:5" x14ac:dyDescent="0.25">
      <c r="A1135" s="1"/>
      <c r="B1135" s="1"/>
      <c r="C1135" s="1"/>
      <c r="D1135" s="3"/>
      <c r="E1135" s="1"/>
    </row>
    <row r="1136" spans="1:5" x14ac:dyDescent="0.25">
      <c r="A1136" s="1"/>
      <c r="B1136" s="1"/>
      <c r="C1136" s="1"/>
      <c r="D1136" s="3"/>
      <c r="E1136" s="1"/>
    </row>
    <row r="1137" spans="1:5" x14ac:dyDescent="0.25">
      <c r="A1137" s="1"/>
      <c r="B1137" s="1"/>
      <c r="C1137" s="1"/>
      <c r="D1137" s="3"/>
      <c r="E1137" s="1"/>
    </row>
    <row r="1138" spans="1:5" x14ac:dyDescent="0.25">
      <c r="A1138" s="1"/>
      <c r="B1138" s="1"/>
      <c r="C1138" s="1"/>
      <c r="D1138" s="3"/>
      <c r="E1138" s="1"/>
    </row>
    <row r="1139" spans="1:5" x14ac:dyDescent="0.25">
      <c r="A1139" s="1"/>
      <c r="B1139" s="1"/>
      <c r="C1139" s="1"/>
      <c r="D1139" s="3"/>
      <c r="E1139" s="1"/>
    </row>
    <row r="1140" spans="1:5" x14ac:dyDescent="0.25">
      <c r="A1140" s="1"/>
      <c r="B1140" s="1"/>
      <c r="C1140" s="1"/>
      <c r="D1140" s="3"/>
      <c r="E1140" s="1"/>
    </row>
    <row r="1141" spans="1:5" x14ac:dyDescent="0.25">
      <c r="A1141" s="1"/>
      <c r="B1141" s="1"/>
      <c r="C1141" s="1"/>
      <c r="D1141" s="3"/>
      <c r="E1141" s="1"/>
    </row>
    <row r="1142" spans="1:5" x14ac:dyDescent="0.25">
      <c r="A1142" s="1"/>
      <c r="B1142" s="1"/>
      <c r="C1142" s="1"/>
      <c r="D1142" s="3"/>
      <c r="E1142" s="1"/>
    </row>
    <row r="1143" spans="1:5" x14ac:dyDescent="0.25">
      <c r="A1143" s="1"/>
      <c r="B1143" s="1"/>
      <c r="C1143" s="1"/>
      <c r="D1143" s="3"/>
      <c r="E1143" s="1"/>
    </row>
    <row r="1144" spans="1:5" x14ac:dyDescent="0.25">
      <c r="A1144" s="1"/>
      <c r="B1144" s="1"/>
      <c r="C1144" s="1"/>
      <c r="D1144" s="3"/>
      <c r="E1144" s="1"/>
    </row>
    <row r="1145" spans="1:5" x14ac:dyDescent="0.25">
      <c r="A1145" s="1"/>
      <c r="B1145" s="1"/>
      <c r="C1145" s="1"/>
      <c r="D1145" s="3"/>
      <c r="E1145" s="1"/>
    </row>
    <row r="1146" spans="1:5" x14ac:dyDescent="0.25">
      <c r="A1146" s="1"/>
      <c r="B1146" s="1"/>
      <c r="C1146" s="1"/>
      <c r="D1146" s="3"/>
      <c r="E1146" s="1"/>
    </row>
    <row r="1147" spans="1:5" x14ac:dyDescent="0.25">
      <c r="A1147" s="1"/>
      <c r="B1147" s="1"/>
      <c r="C1147" s="1"/>
      <c r="D1147" s="3"/>
      <c r="E1147" s="1"/>
    </row>
    <row r="1148" spans="1:5" x14ac:dyDescent="0.25">
      <c r="A1148" s="1"/>
      <c r="B1148" s="1"/>
      <c r="C1148" s="1"/>
      <c r="D1148" s="3"/>
      <c r="E1148" s="1"/>
    </row>
    <row r="1149" spans="1:5" x14ac:dyDescent="0.25">
      <c r="A1149" s="1"/>
      <c r="B1149" s="1"/>
      <c r="C1149" s="1"/>
      <c r="D1149" s="3"/>
      <c r="E1149" s="1"/>
    </row>
    <row r="1150" spans="1:5" x14ac:dyDescent="0.25">
      <c r="A1150" s="1"/>
      <c r="B1150" s="1"/>
      <c r="C1150" s="1"/>
      <c r="D1150" s="3"/>
      <c r="E1150" s="1"/>
    </row>
    <row r="1151" spans="1:5" x14ac:dyDescent="0.25">
      <c r="A1151" s="1"/>
      <c r="B1151" s="1"/>
      <c r="C1151" s="1"/>
      <c r="D1151" s="3"/>
      <c r="E1151" s="1"/>
    </row>
    <row r="1152" spans="1:5" x14ac:dyDescent="0.25">
      <c r="A1152" s="1"/>
      <c r="B1152" s="1"/>
      <c r="C1152" s="1"/>
      <c r="D1152" s="3"/>
      <c r="E1152" s="1"/>
    </row>
    <row r="1153" spans="1:5" x14ac:dyDescent="0.25">
      <c r="A1153" s="1"/>
      <c r="B1153" s="1"/>
      <c r="C1153" s="1"/>
      <c r="D1153" s="3"/>
      <c r="E1153" s="1"/>
    </row>
    <row r="1154" spans="1:5" x14ac:dyDescent="0.25">
      <c r="A1154" s="1"/>
      <c r="B1154" s="1"/>
      <c r="C1154" s="1"/>
      <c r="D1154" s="3"/>
      <c r="E1154" s="1"/>
    </row>
    <row r="1155" spans="1:5" x14ac:dyDescent="0.25">
      <c r="A1155" s="1"/>
      <c r="B1155" s="1"/>
      <c r="C1155" s="1"/>
      <c r="D1155" s="3"/>
      <c r="E1155" s="1"/>
    </row>
    <row r="1156" spans="1:5" x14ac:dyDescent="0.25">
      <c r="A1156" s="1"/>
      <c r="B1156" s="1"/>
      <c r="C1156" s="1"/>
      <c r="D1156" s="3"/>
      <c r="E1156" s="1"/>
    </row>
    <row r="1157" spans="1:5" x14ac:dyDescent="0.25">
      <c r="A1157" s="1"/>
      <c r="B1157" s="1"/>
      <c r="C1157" s="1"/>
      <c r="D1157" s="3"/>
      <c r="E1157" s="1"/>
    </row>
    <row r="1158" spans="1:5" x14ac:dyDescent="0.25">
      <c r="A1158" s="1"/>
      <c r="B1158" s="1"/>
      <c r="C1158" s="1"/>
      <c r="D1158" s="3"/>
      <c r="E1158" s="1"/>
    </row>
    <row r="1159" spans="1:5" x14ac:dyDescent="0.25">
      <c r="A1159" s="1"/>
      <c r="B1159" s="1"/>
      <c r="C1159" s="1"/>
      <c r="D1159" s="3"/>
      <c r="E1159" s="1"/>
    </row>
    <row r="1160" spans="1:5" x14ac:dyDescent="0.25">
      <c r="A1160" s="1"/>
      <c r="B1160" s="1"/>
      <c r="C1160" s="1"/>
      <c r="D1160" s="3"/>
      <c r="E1160" s="1"/>
    </row>
    <row r="1161" spans="1:5" x14ac:dyDescent="0.25">
      <c r="A1161" s="1"/>
      <c r="B1161" s="1"/>
      <c r="C1161" s="1"/>
      <c r="D1161" s="3"/>
      <c r="E1161" s="1"/>
    </row>
    <row r="1162" spans="1:5" x14ac:dyDescent="0.25">
      <c r="A1162" s="1"/>
      <c r="B1162" s="1"/>
      <c r="C1162" s="1"/>
      <c r="D1162" s="3"/>
      <c r="E1162" s="1"/>
    </row>
    <row r="1163" spans="1:5" x14ac:dyDescent="0.25">
      <c r="A1163" s="1"/>
      <c r="B1163" s="1"/>
      <c r="C1163" s="1"/>
      <c r="D1163" s="3"/>
      <c r="E1163" s="1"/>
    </row>
    <row r="1164" spans="1:5" x14ac:dyDescent="0.25">
      <c r="A1164" s="1"/>
      <c r="B1164" s="1"/>
      <c r="C1164" s="1"/>
      <c r="D1164" s="3"/>
      <c r="E1164" s="1"/>
    </row>
    <row r="1165" spans="1:5" x14ac:dyDescent="0.25">
      <c r="A1165" s="1"/>
      <c r="B1165" s="1"/>
      <c r="C1165" s="1"/>
      <c r="D1165" s="3"/>
      <c r="E1165" s="1"/>
    </row>
    <row r="1166" spans="1:5" x14ac:dyDescent="0.25">
      <c r="A1166" s="1"/>
      <c r="B1166" s="1"/>
      <c r="C1166" s="1"/>
      <c r="D1166" s="3"/>
      <c r="E1166" s="1"/>
    </row>
    <row r="1167" spans="1:5" x14ac:dyDescent="0.25">
      <c r="A1167" s="1"/>
      <c r="B1167" s="1"/>
      <c r="C1167" s="1"/>
      <c r="D1167" s="3"/>
      <c r="E1167" s="1"/>
    </row>
    <row r="1168" spans="1:5" x14ac:dyDescent="0.25">
      <c r="A1168" s="1"/>
      <c r="B1168" s="1"/>
      <c r="C1168" s="1"/>
      <c r="D1168" s="3"/>
      <c r="E1168" s="1"/>
    </row>
    <row r="1169" spans="1:5" x14ac:dyDescent="0.25">
      <c r="A1169" s="1"/>
      <c r="B1169" s="1"/>
      <c r="C1169" s="1"/>
      <c r="D1169" s="3"/>
      <c r="E1169" s="1"/>
    </row>
    <row r="1170" spans="1:5" x14ac:dyDescent="0.25">
      <c r="A1170" s="1"/>
      <c r="B1170" s="1"/>
      <c r="C1170" s="1"/>
      <c r="D1170" s="3"/>
      <c r="E1170" s="1"/>
    </row>
    <row r="1171" spans="1:5" x14ac:dyDescent="0.25">
      <c r="A1171" s="1"/>
      <c r="B1171" s="1"/>
      <c r="C1171" s="1"/>
      <c r="D1171" s="3"/>
      <c r="E1171" s="1"/>
    </row>
    <row r="1172" spans="1:5" x14ac:dyDescent="0.25">
      <c r="A1172" s="1"/>
      <c r="B1172" s="1"/>
      <c r="C1172" s="1"/>
      <c r="D1172" s="3"/>
      <c r="E1172" s="1"/>
    </row>
    <row r="1173" spans="1:5" x14ac:dyDescent="0.25">
      <c r="A1173" s="1"/>
      <c r="B1173" s="1"/>
      <c r="C1173" s="1"/>
      <c r="D1173" s="3"/>
      <c r="E1173" s="1"/>
    </row>
    <row r="1174" spans="1:5" x14ac:dyDescent="0.25">
      <c r="A1174" s="1"/>
      <c r="B1174" s="1"/>
      <c r="C1174" s="1"/>
      <c r="D1174" s="3"/>
      <c r="E1174" s="1"/>
    </row>
    <row r="1175" spans="1:5" x14ac:dyDescent="0.25">
      <c r="A1175" s="1"/>
      <c r="B1175" s="1"/>
      <c r="C1175" s="1"/>
      <c r="D1175" s="3"/>
      <c r="E1175" s="1"/>
    </row>
    <row r="1176" spans="1:5" x14ac:dyDescent="0.25">
      <c r="A1176" s="1"/>
      <c r="B1176" s="1"/>
      <c r="C1176" s="1"/>
      <c r="D1176" s="3"/>
      <c r="E1176" s="1"/>
    </row>
    <row r="1177" spans="1:5" x14ac:dyDescent="0.25">
      <c r="A1177" s="1"/>
      <c r="B1177" s="1"/>
      <c r="C1177" s="1"/>
      <c r="D1177" s="3"/>
      <c r="E1177" s="1"/>
    </row>
    <row r="1178" spans="1:5" x14ac:dyDescent="0.25">
      <c r="A1178" s="1"/>
      <c r="B1178" s="1"/>
      <c r="C1178" s="1"/>
      <c r="D1178" s="3"/>
      <c r="E1178" s="1"/>
    </row>
    <row r="1179" spans="1:5" x14ac:dyDescent="0.25">
      <c r="A1179" s="1"/>
      <c r="B1179" s="1"/>
      <c r="C1179" s="1"/>
      <c r="D1179" s="3"/>
      <c r="E1179" s="1"/>
    </row>
    <row r="1180" spans="1:5" x14ac:dyDescent="0.25">
      <c r="A1180" s="1"/>
      <c r="B1180" s="1"/>
      <c r="C1180" s="1"/>
      <c r="D1180" s="3"/>
      <c r="E1180" s="1"/>
    </row>
    <row r="1181" spans="1:5" x14ac:dyDescent="0.25">
      <c r="A1181" s="1"/>
      <c r="B1181" s="1"/>
      <c r="C1181" s="1"/>
      <c r="D1181" s="3"/>
      <c r="E1181" s="1"/>
    </row>
    <row r="1182" spans="1:5" x14ac:dyDescent="0.25">
      <c r="A1182" s="1"/>
      <c r="B1182" s="1"/>
      <c r="C1182" s="1"/>
      <c r="D1182" s="3"/>
      <c r="E1182" s="1"/>
    </row>
    <row r="1183" spans="1:5" x14ac:dyDescent="0.25">
      <c r="A1183" s="1"/>
      <c r="B1183" s="1"/>
      <c r="C1183" s="1"/>
      <c r="D1183" s="3"/>
      <c r="E1183" s="1"/>
    </row>
    <row r="1184" spans="1:5" x14ac:dyDescent="0.25">
      <c r="A1184" s="1"/>
      <c r="B1184" s="1"/>
      <c r="C1184" s="1"/>
      <c r="D1184" s="3"/>
      <c r="E1184" s="1"/>
    </row>
    <row r="1185" spans="1:5" x14ac:dyDescent="0.25">
      <c r="A1185" s="1"/>
      <c r="B1185" s="1"/>
      <c r="C1185" s="1"/>
      <c r="D1185" s="3"/>
      <c r="E1185" s="1"/>
    </row>
    <row r="1186" spans="1:5" x14ac:dyDescent="0.25">
      <c r="A1186" s="1"/>
      <c r="B1186" s="1"/>
      <c r="C1186" s="1"/>
      <c r="D1186" s="3"/>
      <c r="E1186" s="1"/>
    </row>
    <row r="1187" spans="1:5" x14ac:dyDescent="0.25">
      <c r="A1187" s="1"/>
      <c r="B1187" s="1"/>
      <c r="C1187" s="1"/>
      <c r="D1187" s="3"/>
      <c r="E1187" s="1"/>
    </row>
    <row r="1188" spans="1:5" x14ac:dyDescent="0.25">
      <c r="A1188" s="1"/>
      <c r="B1188" s="1"/>
      <c r="C1188" s="1"/>
      <c r="D1188" s="3"/>
      <c r="E1188" s="1"/>
    </row>
    <row r="1189" spans="1:5" x14ac:dyDescent="0.25">
      <c r="A1189" s="1"/>
      <c r="B1189" s="1"/>
      <c r="C1189" s="1"/>
      <c r="D1189" s="3"/>
      <c r="E1189" s="1"/>
    </row>
    <row r="1190" spans="1:5" x14ac:dyDescent="0.25">
      <c r="A1190" s="1"/>
      <c r="B1190" s="1"/>
      <c r="C1190" s="1"/>
      <c r="D1190" s="3"/>
      <c r="E1190" s="1"/>
    </row>
    <row r="1191" spans="1:5" x14ac:dyDescent="0.25">
      <c r="A1191" s="1"/>
      <c r="B1191" s="1"/>
      <c r="C1191" s="1"/>
      <c r="D1191" s="3"/>
      <c r="E1191" s="1"/>
    </row>
    <row r="1192" spans="1:5" x14ac:dyDescent="0.25">
      <c r="A1192" s="1"/>
      <c r="B1192" s="1"/>
      <c r="C1192" s="1"/>
      <c r="D1192" s="3"/>
      <c r="E1192" s="1"/>
    </row>
    <row r="1193" spans="1:5" x14ac:dyDescent="0.25">
      <c r="A1193" s="1"/>
      <c r="B1193" s="1"/>
      <c r="C1193" s="1"/>
      <c r="D1193" s="3"/>
      <c r="E1193" s="1"/>
    </row>
    <row r="1194" spans="1:5" x14ac:dyDescent="0.25">
      <c r="A1194" s="1"/>
      <c r="B1194" s="1"/>
      <c r="C1194" s="1"/>
      <c r="D1194" s="3"/>
      <c r="E1194" s="1"/>
    </row>
    <row r="1195" spans="1:5" x14ac:dyDescent="0.25">
      <c r="A1195" s="1"/>
      <c r="B1195" s="1"/>
      <c r="C1195" s="1"/>
      <c r="D1195" s="3"/>
      <c r="E1195" s="1"/>
    </row>
    <row r="1196" spans="1:5" x14ac:dyDescent="0.25">
      <c r="A1196" s="1"/>
      <c r="B1196" s="1"/>
      <c r="C1196" s="1"/>
      <c r="D1196" s="3"/>
      <c r="E1196" s="1"/>
    </row>
    <row r="1197" spans="1:5" x14ac:dyDescent="0.25">
      <c r="A1197" s="1"/>
      <c r="B1197" s="1"/>
      <c r="C1197" s="1"/>
      <c r="D1197" s="3"/>
      <c r="E1197" s="1"/>
    </row>
    <row r="1198" spans="1:5" x14ac:dyDescent="0.25">
      <c r="A1198" s="1"/>
      <c r="B1198" s="1"/>
      <c r="C1198" s="1"/>
      <c r="D1198" s="3"/>
      <c r="E1198" s="1"/>
    </row>
    <row r="1199" spans="1:5" x14ac:dyDescent="0.25">
      <c r="A1199" s="1"/>
      <c r="B1199" s="1"/>
      <c r="C1199" s="1"/>
      <c r="D1199" s="3"/>
      <c r="E1199" s="1"/>
    </row>
    <row r="1200" spans="1:5" x14ac:dyDescent="0.25">
      <c r="A1200" s="1"/>
      <c r="B1200" s="1"/>
      <c r="C1200" s="1"/>
      <c r="D1200" s="3"/>
      <c r="E1200" s="1"/>
    </row>
    <row r="1201" spans="1:5" x14ac:dyDescent="0.25">
      <c r="A1201" s="1"/>
      <c r="B1201" s="1"/>
      <c r="C1201" s="1"/>
      <c r="D1201" s="3"/>
      <c r="E1201" s="1"/>
    </row>
    <row r="1202" spans="1:5" x14ac:dyDescent="0.25">
      <c r="A1202" s="1"/>
      <c r="B1202" s="1"/>
      <c r="C1202" s="1"/>
      <c r="D1202" s="3"/>
      <c r="E1202" s="1"/>
    </row>
    <row r="1203" spans="1:5" x14ac:dyDescent="0.25">
      <c r="A1203" s="1"/>
      <c r="B1203" s="1"/>
      <c r="C1203" s="1"/>
      <c r="D1203" s="3"/>
      <c r="E1203" s="1"/>
    </row>
    <row r="1204" spans="1:5" x14ac:dyDescent="0.25">
      <c r="A1204" s="1"/>
      <c r="B1204" s="1"/>
      <c r="C1204" s="1"/>
      <c r="D1204" s="3"/>
      <c r="E1204" s="1"/>
    </row>
    <row r="1205" spans="1:5" x14ac:dyDescent="0.25">
      <c r="A1205" s="1"/>
      <c r="B1205" s="1"/>
      <c r="C1205" s="1"/>
      <c r="D1205" s="3"/>
      <c r="E1205" s="1"/>
    </row>
    <row r="1206" spans="1:5" x14ac:dyDescent="0.25">
      <c r="A1206" s="1"/>
      <c r="B1206" s="1"/>
      <c r="C1206" s="1"/>
      <c r="D1206" s="3"/>
      <c r="E1206" s="1"/>
    </row>
    <row r="1207" spans="1:5" x14ac:dyDescent="0.25">
      <c r="A1207" s="1"/>
      <c r="B1207" s="1"/>
      <c r="C1207" s="1"/>
      <c r="D1207" s="3"/>
      <c r="E1207" s="1"/>
    </row>
    <row r="1208" spans="1:5" x14ac:dyDescent="0.25">
      <c r="A1208" s="1"/>
      <c r="B1208" s="1"/>
      <c r="C1208" s="1"/>
      <c r="D1208" s="3"/>
      <c r="E1208" s="1"/>
    </row>
    <row r="1209" spans="1:5" x14ac:dyDescent="0.25">
      <c r="A1209" s="1"/>
      <c r="B1209" s="1"/>
      <c r="C1209" s="1"/>
      <c r="D1209" s="3"/>
      <c r="E1209" s="1"/>
    </row>
    <row r="1210" spans="1:5" x14ac:dyDescent="0.25">
      <c r="A1210" s="1"/>
      <c r="B1210" s="1"/>
      <c r="C1210" s="1"/>
      <c r="D1210" s="3"/>
      <c r="E1210" s="1"/>
    </row>
    <row r="1211" spans="1:5" x14ac:dyDescent="0.25">
      <c r="A1211" s="1"/>
      <c r="B1211" s="1"/>
      <c r="C1211" s="1"/>
      <c r="D1211" s="3"/>
      <c r="E1211" s="1"/>
    </row>
    <row r="1212" spans="1:5" x14ac:dyDescent="0.25">
      <c r="A1212" s="1"/>
      <c r="B1212" s="1"/>
      <c r="C1212" s="1"/>
      <c r="D1212" s="3"/>
      <c r="E1212" s="1"/>
    </row>
    <row r="1213" spans="1:5" x14ac:dyDescent="0.25">
      <c r="A1213" s="1"/>
      <c r="B1213" s="1"/>
      <c r="C1213" s="1"/>
      <c r="D1213" s="3"/>
      <c r="E1213" s="1"/>
    </row>
    <row r="1214" spans="1:5" x14ac:dyDescent="0.25">
      <c r="A1214" s="1"/>
      <c r="B1214" s="1"/>
      <c r="C1214" s="1"/>
      <c r="D1214" s="3"/>
      <c r="E1214" s="1"/>
    </row>
    <row r="1215" spans="1:5" x14ac:dyDescent="0.25">
      <c r="A1215" s="1"/>
      <c r="B1215" s="1"/>
      <c r="C1215" s="1"/>
      <c r="D1215" s="3"/>
      <c r="E1215" s="1"/>
    </row>
    <row r="1216" spans="1:5" x14ac:dyDescent="0.25">
      <c r="A1216" s="1"/>
      <c r="B1216" s="1"/>
      <c r="C1216" s="1"/>
      <c r="D1216" s="3"/>
      <c r="E1216" s="1"/>
    </row>
    <row r="1217" spans="1:5" x14ac:dyDescent="0.25">
      <c r="A1217" s="1"/>
      <c r="B1217" s="1"/>
      <c r="C1217" s="1"/>
      <c r="D1217" s="3"/>
      <c r="E1217" s="1"/>
    </row>
    <row r="1218" spans="1:5" x14ac:dyDescent="0.25">
      <c r="A1218" s="1"/>
      <c r="B1218" s="1"/>
      <c r="C1218" s="1"/>
      <c r="D1218" s="3"/>
      <c r="E1218" s="1"/>
    </row>
    <row r="1219" spans="1:5" x14ac:dyDescent="0.25">
      <c r="A1219" s="1"/>
      <c r="B1219" s="1"/>
      <c r="C1219" s="1"/>
      <c r="D1219" s="3"/>
      <c r="E1219" s="1"/>
    </row>
    <row r="1220" spans="1:5" x14ac:dyDescent="0.25">
      <c r="A1220" s="1"/>
      <c r="B1220" s="1"/>
      <c r="C1220" s="1"/>
      <c r="D1220" s="3"/>
      <c r="E1220" s="1"/>
    </row>
    <row r="1221" spans="1:5" x14ac:dyDescent="0.25">
      <c r="A1221" s="1"/>
      <c r="B1221" s="1"/>
      <c r="C1221" s="1"/>
      <c r="D1221" s="3"/>
      <c r="E1221" s="1"/>
    </row>
    <row r="1222" spans="1:5" x14ac:dyDescent="0.25">
      <c r="A1222" s="1"/>
      <c r="B1222" s="1"/>
      <c r="C1222" s="1"/>
      <c r="D1222" s="3"/>
      <c r="E1222" s="1"/>
    </row>
    <row r="1223" spans="1:5" x14ac:dyDescent="0.25">
      <c r="A1223" s="1"/>
      <c r="B1223" s="1"/>
      <c r="C1223" s="1"/>
      <c r="D1223" s="3"/>
      <c r="E1223" s="1"/>
    </row>
    <row r="1224" spans="1:5" x14ac:dyDescent="0.25">
      <c r="A1224" s="1"/>
      <c r="B1224" s="1"/>
      <c r="C1224" s="1"/>
      <c r="D1224" s="3"/>
      <c r="E1224" s="1"/>
    </row>
    <row r="1225" spans="1:5" x14ac:dyDescent="0.25">
      <c r="A1225" s="1"/>
      <c r="B1225" s="1"/>
      <c r="C1225" s="1"/>
      <c r="D1225" s="3"/>
      <c r="E1225" s="1"/>
    </row>
    <row r="1226" spans="1:5" x14ac:dyDescent="0.25">
      <c r="A1226" s="1"/>
      <c r="B1226" s="1"/>
      <c r="C1226" s="1"/>
      <c r="D1226" s="3"/>
      <c r="E1226" s="1"/>
    </row>
    <row r="1227" spans="1:5" x14ac:dyDescent="0.25">
      <c r="A1227" s="1"/>
      <c r="B1227" s="1"/>
      <c r="C1227" s="1"/>
      <c r="D1227" s="3"/>
      <c r="E1227" s="1"/>
    </row>
    <row r="1228" spans="1:5" x14ac:dyDescent="0.25">
      <c r="A1228" s="1"/>
      <c r="B1228" s="1"/>
      <c r="C1228" s="1"/>
      <c r="D1228" s="3"/>
      <c r="E1228" s="1"/>
    </row>
    <row r="1229" spans="1:5" x14ac:dyDescent="0.25">
      <c r="A1229" s="1"/>
      <c r="B1229" s="1"/>
      <c r="C1229" s="1"/>
      <c r="D1229" s="3"/>
      <c r="E1229" s="1"/>
    </row>
    <row r="1230" spans="1:5" x14ac:dyDescent="0.25">
      <c r="A1230" s="1"/>
      <c r="B1230" s="1"/>
      <c r="C1230" s="1"/>
      <c r="D1230" s="3"/>
      <c r="E1230" s="1"/>
    </row>
    <row r="1231" spans="1:5" x14ac:dyDescent="0.25">
      <c r="A1231" s="1"/>
      <c r="B1231" s="1"/>
      <c r="C1231" s="1"/>
      <c r="D1231" s="3"/>
      <c r="E1231" s="1"/>
    </row>
    <row r="1232" spans="1:5" x14ac:dyDescent="0.25">
      <c r="A1232" s="1"/>
      <c r="B1232" s="1"/>
      <c r="C1232" s="1"/>
      <c r="D1232" s="3"/>
      <c r="E1232" s="1"/>
    </row>
    <row r="1233" spans="1:5" x14ac:dyDescent="0.25">
      <c r="A1233" s="1"/>
      <c r="B1233" s="1"/>
      <c r="C1233" s="1"/>
      <c r="D1233" s="3"/>
      <c r="E1233" s="1"/>
    </row>
    <row r="1234" spans="1:5" x14ac:dyDescent="0.25">
      <c r="A1234" s="1"/>
      <c r="B1234" s="1"/>
      <c r="C1234" s="1"/>
      <c r="D1234" s="3"/>
      <c r="E1234" s="1"/>
    </row>
    <row r="1235" spans="1:5" x14ac:dyDescent="0.25">
      <c r="A1235" s="1"/>
      <c r="B1235" s="1"/>
      <c r="C1235" s="1"/>
      <c r="D1235" s="3"/>
      <c r="E1235" s="1"/>
    </row>
    <row r="1236" spans="1:5" x14ac:dyDescent="0.25">
      <c r="A1236" s="1"/>
      <c r="B1236" s="1"/>
      <c r="C1236" s="1"/>
      <c r="D1236" s="3"/>
      <c r="E1236" s="1"/>
    </row>
    <row r="1237" spans="1:5" x14ac:dyDescent="0.25">
      <c r="A1237" s="1"/>
      <c r="B1237" s="1"/>
      <c r="C1237" s="1"/>
      <c r="D1237" s="3"/>
      <c r="E1237" s="1"/>
    </row>
    <row r="1238" spans="1:5" x14ac:dyDescent="0.25">
      <c r="A1238" s="1"/>
      <c r="B1238" s="1"/>
      <c r="C1238" s="1"/>
      <c r="D1238" s="3"/>
      <c r="E1238" s="1"/>
    </row>
    <row r="1239" spans="1:5" x14ac:dyDescent="0.25">
      <c r="A1239" s="1"/>
      <c r="B1239" s="1"/>
      <c r="C1239" s="1"/>
      <c r="D1239" s="3"/>
      <c r="E1239" s="1"/>
    </row>
    <row r="1240" spans="1:5" x14ac:dyDescent="0.25">
      <c r="A1240" s="1"/>
      <c r="B1240" s="1"/>
      <c r="C1240" s="1"/>
      <c r="D1240" s="3"/>
      <c r="E1240" s="1"/>
    </row>
    <row r="1241" spans="1:5" x14ac:dyDescent="0.25">
      <c r="A1241" s="1"/>
      <c r="B1241" s="1"/>
      <c r="C1241" s="1"/>
      <c r="D1241" s="3"/>
      <c r="E1241" s="1"/>
    </row>
    <row r="1242" spans="1:5" x14ac:dyDescent="0.25">
      <c r="A1242" s="1"/>
      <c r="B1242" s="1"/>
      <c r="C1242" s="1"/>
      <c r="D1242" s="3"/>
      <c r="E1242" s="1"/>
    </row>
    <row r="1243" spans="1:5" x14ac:dyDescent="0.25">
      <c r="A1243" s="1"/>
      <c r="B1243" s="1"/>
      <c r="C1243" s="1"/>
      <c r="D1243" s="3"/>
      <c r="E1243" s="1"/>
    </row>
    <row r="1244" spans="1:5" x14ac:dyDescent="0.25">
      <c r="A1244" s="1"/>
      <c r="B1244" s="1"/>
      <c r="C1244" s="1"/>
      <c r="D1244" s="3"/>
      <c r="E1244" s="1"/>
    </row>
    <row r="1245" spans="1:5" x14ac:dyDescent="0.25">
      <c r="A1245" s="1"/>
      <c r="B1245" s="1"/>
      <c r="C1245" s="1"/>
      <c r="D1245" s="3"/>
      <c r="E1245" s="1"/>
    </row>
    <row r="1246" spans="1:5" x14ac:dyDescent="0.25">
      <c r="A1246" s="1"/>
      <c r="B1246" s="1"/>
      <c r="C1246" s="1"/>
      <c r="D1246" s="3"/>
      <c r="E1246" s="1"/>
    </row>
    <row r="1247" spans="1:5" x14ac:dyDescent="0.25">
      <c r="A1247" s="1"/>
      <c r="B1247" s="1"/>
      <c r="C1247" s="1"/>
      <c r="D1247" s="3"/>
      <c r="E1247" s="1"/>
    </row>
    <row r="1248" spans="1:5" x14ac:dyDescent="0.25">
      <c r="A1248" s="1"/>
      <c r="B1248" s="1"/>
      <c r="C1248" s="1"/>
      <c r="D1248" s="3"/>
      <c r="E1248" s="1"/>
    </row>
    <row r="1249" spans="1:5" x14ac:dyDescent="0.25">
      <c r="A1249" s="1"/>
      <c r="B1249" s="1"/>
      <c r="C1249" s="1"/>
      <c r="D1249" s="3"/>
      <c r="E1249" s="1"/>
    </row>
    <row r="1250" spans="1:5" x14ac:dyDescent="0.25">
      <c r="A1250" s="1"/>
      <c r="B1250" s="1"/>
      <c r="C1250" s="1"/>
      <c r="D1250" s="3"/>
      <c r="E1250" s="1"/>
    </row>
    <row r="1251" spans="1:5" x14ac:dyDescent="0.25">
      <c r="A1251" s="1"/>
      <c r="B1251" s="1"/>
      <c r="C1251" s="1"/>
      <c r="D1251" s="3"/>
      <c r="E1251" s="1"/>
    </row>
    <row r="1252" spans="1:5" x14ac:dyDescent="0.25">
      <c r="A1252" s="1"/>
      <c r="B1252" s="1"/>
      <c r="C1252" s="1"/>
      <c r="D1252" s="3"/>
      <c r="E1252" s="1"/>
    </row>
    <row r="1253" spans="1:5" x14ac:dyDescent="0.25">
      <c r="A1253" s="1"/>
      <c r="B1253" s="1"/>
      <c r="C1253" s="1"/>
      <c r="D1253" s="3"/>
      <c r="E1253" s="1"/>
    </row>
    <row r="1254" spans="1:5" x14ac:dyDescent="0.25">
      <c r="A1254" s="1"/>
      <c r="B1254" s="1"/>
      <c r="C1254" s="1"/>
      <c r="D1254" s="3"/>
      <c r="E1254" s="1"/>
    </row>
    <row r="1255" spans="1:5" x14ac:dyDescent="0.25">
      <c r="A1255" s="1"/>
      <c r="B1255" s="1"/>
      <c r="C1255" s="1"/>
      <c r="D1255" s="3"/>
      <c r="E1255" s="1"/>
    </row>
    <row r="1256" spans="1:5" x14ac:dyDescent="0.25">
      <c r="A1256" s="1"/>
      <c r="B1256" s="1"/>
      <c r="C1256" s="1"/>
      <c r="D1256" s="3"/>
      <c r="E1256" s="1"/>
    </row>
    <row r="1257" spans="1:5" x14ac:dyDescent="0.25">
      <c r="A1257" s="1"/>
      <c r="B1257" s="1"/>
      <c r="C1257" s="1"/>
      <c r="D1257" s="3"/>
      <c r="E1257" s="1"/>
    </row>
    <row r="1258" spans="1:5" x14ac:dyDescent="0.25">
      <c r="A1258" s="1"/>
      <c r="B1258" s="1"/>
      <c r="C1258" s="1"/>
      <c r="D1258" s="3"/>
      <c r="E1258" s="1"/>
    </row>
    <row r="1259" spans="1:5" x14ac:dyDescent="0.25">
      <c r="A1259" s="1"/>
      <c r="B1259" s="1"/>
      <c r="C1259" s="1"/>
      <c r="D1259" s="3"/>
      <c r="E1259" s="1"/>
    </row>
    <row r="1260" spans="1:5" x14ac:dyDescent="0.25">
      <c r="A1260" s="1"/>
      <c r="B1260" s="1"/>
      <c r="C1260" s="1"/>
      <c r="D1260" s="3"/>
      <c r="E1260" s="1"/>
    </row>
    <row r="1261" spans="1:5" x14ac:dyDescent="0.25">
      <c r="A1261" s="1"/>
      <c r="B1261" s="1"/>
      <c r="C1261" s="1"/>
      <c r="D1261" s="3"/>
      <c r="E1261" s="1"/>
    </row>
    <row r="1262" spans="1:5" x14ac:dyDescent="0.25">
      <c r="A1262" s="1"/>
      <c r="B1262" s="1"/>
      <c r="C1262" s="1"/>
      <c r="D1262" s="3"/>
      <c r="E1262" s="1"/>
    </row>
    <row r="1263" spans="1:5" x14ac:dyDescent="0.25">
      <c r="A1263" s="1"/>
      <c r="B1263" s="1"/>
      <c r="C1263" s="1"/>
      <c r="D1263" s="3"/>
      <c r="E1263" s="1"/>
    </row>
    <row r="1264" spans="1:5" x14ac:dyDescent="0.25">
      <c r="A1264" s="1"/>
      <c r="B1264" s="1"/>
      <c r="C1264" s="1"/>
      <c r="D1264" s="3"/>
      <c r="E1264" s="1"/>
    </row>
    <row r="1265" spans="1:5" x14ac:dyDescent="0.25">
      <c r="A1265" s="1"/>
      <c r="B1265" s="1"/>
      <c r="C1265" s="1"/>
      <c r="D1265" s="3"/>
      <c r="E1265" s="1"/>
    </row>
    <row r="1266" spans="1:5" x14ac:dyDescent="0.25">
      <c r="A1266" s="1"/>
      <c r="B1266" s="1"/>
      <c r="C1266" s="1"/>
      <c r="D1266" s="3"/>
      <c r="E1266" s="1"/>
    </row>
    <row r="1267" spans="1:5" x14ac:dyDescent="0.25">
      <c r="A1267" s="1"/>
      <c r="B1267" s="1"/>
      <c r="C1267" s="1"/>
      <c r="D1267" s="3"/>
      <c r="E1267" s="1"/>
    </row>
    <row r="1268" spans="1:5" x14ac:dyDescent="0.25">
      <c r="A1268" s="1"/>
      <c r="B1268" s="1"/>
      <c r="C1268" s="1"/>
      <c r="D1268" s="3"/>
      <c r="E1268" s="1"/>
    </row>
    <row r="1269" spans="1:5" x14ac:dyDescent="0.25">
      <c r="A1269" s="1"/>
      <c r="B1269" s="1"/>
      <c r="C1269" s="1"/>
      <c r="D1269" s="3"/>
      <c r="E1269" s="1"/>
    </row>
    <row r="1270" spans="1:5" x14ac:dyDescent="0.25">
      <c r="A1270" s="1"/>
      <c r="B1270" s="1"/>
      <c r="C1270" s="1"/>
      <c r="D1270" s="3"/>
      <c r="E1270" s="1"/>
    </row>
    <row r="1271" spans="1:5" x14ac:dyDescent="0.25">
      <c r="A1271" s="1"/>
      <c r="B1271" s="1"/>
      <c r="C1271" s="1"/>
      <c r="D1271" s="3"/>
      <c r="E1271" s="1"/>
    </row>
    <row r="1272" spans="1:5" x14ac:dyDescent="0.25">
      <c r="A1272" s="1"/>
      <c r="B1272" s="1"/>
      <c r="C1272" s="1"/>
      <c r="D1272" s="3"/>
      <c r="E1272" s="1"/>
    </row>
    <row r="1273" spans="1:5" x14ac:dyDescent="0.25">
      <c r="A1273" s="1"/>
      <c r="B1273" s="1"/>
      <c r="C1273" s="1"/>
      <c r="D1273" s="3"/>
      <c r="E1273" s="1"/>
    </row>
    <row r="1274" spans="1:5" x14ac:dyDescent="0.25">
      <c r="A1274" s="1"/>
      <c r="B1274" s="1"/>
      <c r="C1274" s="1"/>
      <c r="D1274" s="3"/>
      <c r="E1274" s="1"/>
    </row>
    <row r="1275" spans="1:5" x14ac:dyDescent="0.25">
      <c r="A1275" s="1"/>
      <c r="B1275" s="1"/>
      <c r="C1275" s="1"/>
      <c r="D1275" s="3"/>
      <c r="E1275" s="1"/>
    </row>
    <row r="1276" spans="1:5" x14ac:dyDescent="0.25">
      <c r="A1276" s="1"/>
      <c r="B1276" s="1"/>
      <c r="C1276" s="1"/>
      <c r="D1276" s="3"/>
      <c r="E1276" s="1"/>
    </row>
    <row r="1277" spans="1:5" x14ac:dyDescent="0.25">
      <c r="A1277" s="1"/>
      <c r="B1277" s="1"/>
      <c r="C1277" s="1"/>
      <c r="D1277" s="3"/>
      <c r="E1277" s="1"/>
    </row>
    <row r="1278" spans="1:5" x14ac:dyDescent="0.25">
      <c r="A1278" s="1"/>
      <c r="B1278" s="1"/>
      <c r="C1278" s="1"/>
      <c r="D1278" s="3"/>
      <c r="E1278" s="1"/>
    </row>
    <row r="1279" spans="1:5" x14ac:dyDescent="0.25">
      <c r="A1279" s="1"/>
      <c r="B1279" s="1"/>
      <c r="C1279" s="1"/>
      <c r="D1279" s="3"/>
      <c r="E1279" s="1"/>
    </row>
    <row r="1280" spans="1:5" x14ac:dyDescent="0.25">
      <c r="A1280" s="1"/>
      <c r="B1280" s="1"/>
      <c r="C1280" s="1"/>
      <c r="D1280" s="3"/>
      <c r="E1280" s="1"/>
    </row>
    <row r="1281" spans="1:5" x14ac:dyDescent="0.25">
      <c r="A1281" s="1"/>
      <c r="B1281" s="1"/>
      <c r="C1281" s="1"/>
      <c r="D1281" s="3"/>
      <c r="E1281" s="1"/>
    </row>
    <row r="1282" spans="1:5" x14ac:dyDescent="0.25">
      <c r="A1282" s="1"/>
      <c r="B1282" s="1"/>
      <c r="C1282" s="1"/>
      <c r="D1282" s="3"/>
      <c r="E1282" s="1"/>
    </row>
    <row r="1283" spans="1:5" x14ac:dyDescent="0.25">
      <c r="A1283" s="1"/>
      <c r="B1283" s="1"/>
      <c r="C1283" s="1"/>
      <c r="D1283" s="3"/>
      <c r="E1283" s="1"/>
    </row>
    <row r="1284" spans="1:5" x14ac:dyDescent="0.25">
      <c r="A1284" s="1"/>
      <c r="B1284" s="1"/>
      <c r="C1284" s="1"/>
      <c r="D1284" s="3"/>
      <c r="E1284" s="1"/>
    </row>
    <row r="1285" spans="1:5" x14ac:dyDescent="0.25">
      <c r="A1285" s="1"/>
      <c r="B1285" s="1"/>
      <c r="C1285" s="1"/>
      <c r="D1285" s="3"/>
      <c r="E1285" s="1"/>
    </row>
    <row r="1286" spans="1:5" x14ac:dyDescent="0.25">
      <c r="A1286" s="1"/>
      <c r="B1286" s="1"/>
      <c r="C1286" s="1"/>
      <c r="D1286" s="3"/>
      <c r="E1286" s="1"/>
    </row>
    <row r="1287" spans="1:5" x14ac:dyDescent="0.25">
      <c r="A1287" s="1"/>
      <c r="B1287" s="1"/>
      <c r="C1287" s="1"/>
      <c r="D1287" s="3"/>
      <c r="E1287" s="1"/>
    </row>
    <row r="1288" spans="1:5" x14ac:dyDescent="0.25">
      <c r="A1288" s="1"/>
      <c r="B1288" s="1"/>
      <c r="C1288" s="1"/>
      <c r="D1288" s="3"/>
      <c r="E1288" s="1"/>
    </row>
    <row r="1289" spans="1:5" x14ac:dyDescent="0.25">
      <c r="A1289" s="1"/>
      <c r="B1289" s="1"/>
      <c r="C1289" s="1"/>
      <c r="D1289" s="3"/>
      <c r="E1289" s="1"/>
    </row>
    <row r="1290" spans="1:5" x14ac:dyDescent="0.25">
      <c r="A1290" s="1"/>
      <c r="B1290" s="1"/>
      <c r="C1290" s="1"/>
      <c r="D1290" s="3"/>
      <c r="E1290" s="1"/>
    </row>
    <row r="1291" spans="1:5" x14ac:dyDescent="0.25">
      <c r="A1291" s="1"/>
      <c r="B1291" s="1"/>
      <c r="C1291" s="1"/>
      <c r="D1291" s="3"/>
      <c r="E1291" s="1"/>
    </row>
    <row r="1292" spans="1:5" x14ac:dyDescent="0.25">
      <c r="A1292" s="1"/>
      <c r="B1292" s="1"/>
      <c r="C1292" s="1"/>
      <c r="D1292" s="3"/>
      <c r="E1292" s="1"/>
    </row>
    <row r="1293" spans="1:5" x14ac:dyDescent="0.25">
      <c r="A1293" s="1"/>
      <c r="B1293" s="1"/>
      <c r="C1293" s="1"/>
      <c r="D1293" s="3"/>
      <c r="E1293" s="1"/>
    </row>
    <row r="1294" spans="1:5" x14ac:dyDescent="0.25">
      <c r="A1294" s="1"/>
      <c r="B1294" s="1"/>
      <c r="C1294" s="1"/>
      <c r="D1294" s="3"/>
      <c r="E1294" s="1"/>
    </row>
    <row r="1295" spans="1:5" x14ac:dyDescent="0.25">
      <c r="A1295" s="1"/>
      <c r="B1295" s="1"/>
      <c r="C1295" s="1"/>
      <c r="D1295" s="3"/>
      <c r="E1295" s="1"/>
    </row>
    <row r="1296" spans="1:5" x14ac:dyDescent="0.25">
      <c r="A1296" s="1"/>
      <c r="B1296" s="1"/>
      <c r="C1296" s="1"/>
      <c r="D1296" s="3"/>
      <c r="E1296" s="1"/>
    </row>
    <row r="1297" spans="1:5" x14ac:dyDescent="0.25">
      <c r="A1297" s="1"/>
      <c r="B1297" s="1"/>
      <c r="C1297" s="1"/>
      <c r="D1297" s="3"/>
      <c r="E1297" s="1"/>
    </row>
    <row r="1298" spans="1:5" x14ac:dyDescent="0.25">
      <c r="A1298" s="1"/>
      <c r="B1298" s="1"/>
      <c r="C1298" s="1"/>
      <c r="D1298" s="3"/>
      <c r="E1298" s="1"/>
    </row>
    <row r="1299" spans="1:5" x14ac:dyDescent="0.25">
      <c r="A1299" s="1"/>
      <c r="B1299" s="1"/>
      <c r="C1299" s="1"/>
      <c r="D1299" s="3"/>
      <c r="E1299" s="1"/>
    </row>
    <row r="1300" spans="1:5" x14ac:dyDescent="0.25">
      <c r="A1300" s="1"/>
      <c r="B1300" s="1"/>
      <c r="C1300" s="1"/>
      <c r="D1300" s="3"/>
      <c r="E1300" s="1"/>
    </row>
    <row r="1301" spans="1:5" x14ac:dyDescent="0.25">
      <c r="A1301" s="1"/>
      <c r="B1301" s="1"/>
      <c r="C1301" s="1"/>
      <c r="D1301" s="3"/>
      <c r="E1301" s="1"/>
    </row>
    <row r="1302" spans="1:5" x14ac:dyDescent="0.25">
      <c r="A1302" s="1"/>
      <c r="B1302" s="1"/>
      <c r="C1302" s="1"/>
      <c r="D1302" s="3"/>
      <c r="E1302" s="1"/>
    </row>
    <row r="1303" spans="1:5" x14ac:dyDescent="0.25">
      <c r="A1303" s="1"/>
      <c r="B1303" s="1"/>
      <c r="C1303" s="1"/>
      <c r="D1303" s="3"/>
      <c r="E1303" s="1"/>
    </row>
    <row r="1304" spans="1:5" x14ac:dyDescent="0.25">
      <c r="A1304" s="1"/>
      <c r="B1304" s="1"/>
      <c r="C1304" s="1"/>
      <c r="D1304" s="3"/>
      <c r="E1304" s="1"/>
    </row>
    <row r="1305" spans="1:5" x14ac:dyDescent="0.25">
      <c r="A1305" s="1"/>
      <c r="B1305" s="1"/>
      <c r="C1305" s="1"/>
      <c r="D1305" s="3"/>
      <c r="E1305" s="1"/>
    </row>
    <row r="1306" spans="1:5" x14ac:dyDescent="0.25">
      <c r="A1306" s="1"/>
      <c r="B1306" s="1"/>
      <c r="C1306" s="1"/>
      <c r="D1306" s="3"/>
      <c r="E1306" s="1"/>
    </row>
    <row r="1307" spans="1:5" x14ac:dyDescent="0.25">
      <c r="A1307" s="1"/>
      <c r="B1307" s="1"/>
      <c r="C1307" s="1"/>
      <c r="D1307" s="3"/>
      <c r="E1307" s="1"/>
    </row>
    <row r="1308" spans="1:5" x14ac:dyDescent="0.25">
      <c r="A1308" s="1"/>
      <c r="B1308" s="1"/>
      <c r="C1308" s="1"/>
      <c r="D1308" s="3"/>
      <c r="E1308" s="1"/>
    </row>
    <row r="1309" spans="1:5" x14ac:dyDescent="0.25">
      <c r="A1309" s="1"/>
      <c r="B1309" s="1"/>
      <c r="C1309" s="1"/>
      <c r="D1309" s="3"/>
      <c r="E1309" s="1"/>
    </row>
    <row r="1310" spans="1:5" x14ac:dyDescent="0.25">
      <c r="A1310" s="1"/>
      <c r="B1310" s="1"/>
      <c r="C1310" s="1"/>
      <c r="D1310" s="3"/>
      <c r="E1310" s="1"/>
    </row>
    <row r="1311" spans="1:5" x14ac:dyDescent="0.25">
      <c r="A1311" s="1"/>
      <c r="B1311" s="1"/>
      <c r="C1311" s="1"/>
      <c r="D1311" s="3"/>
      <c r="E1311" s="1"/>
    </row>
    <row r="1312" spans="1:5" x14ac:dyDescent="0.25">
      <c r="A1312" s="1"/>
      <c r="B1312" s="1"/>
      <c r="C1312" s="1"/>
      <c r="D1312" s="3"/>
      <c r="E1312" s="1"/>
    </row>
    <row r="1313" spans="1:5" x14ac:dyDescent="0.25">
      <c r="A1313" s="1"/>
      <c r="B1313" s="1"/>
      <c r="C1313" s="1"/>
      <c r="D1313" s="3"/>
      <c r="E1313" s="1"/>
    </row>
    <row r="1314" spans="1:5" x14ac:dyDescent="0.25">
      <c r="A1314" s="1"/>
      <c r="B1314" s="1"/>
      <c r="C1314" s="1"/>
      <c r="D1314" s="3"/>
      <c r="E1314" s="1"/>
    </row>
    <row r="1315" spans="1:5" x14ac:dyDescent="0.25">
      <c r="A1315" s="1"/>
      <c r="B1315" s="1"/>
      <c r="C1315" s="1"/>
      <c r="D1315" s="3"/>
      <c r="E1315" s="1"/>
    </row>
    <row r="1316" spans="1:5" x14ac:dyDescent="0.25">
      <c r="A1316" s="1"/>
      <c r="B1316" s="1"/>
      <c r="C1316" s="1"/>
      <c r="D1316" s="3"/>
      <c r="E1316" s="1"/>
    </row>
    <row r="1317" spans="1:5" x14ac:dyDescent="0.25">
      <c r="A1317" s="1"/>
      <c r="B1317" s="1"/>
      <c r="C1317" s="1"/>
      <c r="D1317" s="3"/>
      <c r="E1317" s="1"/>
    </row>
    <row r="1318" spans="1:5" x14ac:dyDescent="0.25">
      <c r="A1318" s="1"/>
      <c r="B1318" s="1"/>
      <c r="C1318" s="1"/>
      <c r="D1318" s="3"/>
      <c r="E1318" s="1"/>
    </row>
    <row r="1319" spans="1:5" x14ac:dyDescent="0.25">
      <c r="A1319" s="1"/>
      <c r="B1319" s="1"/>
      <c r="C1319" s="1"/>
      <c r="D1319" s="3"/>
      <c r="E1319" s="1"/>
    </row>
    <row r="1320" spans="1:5" x14ac:dyDescent="0.25">
      <c r="A1320" s="1"/>
      <c r="B1320" s="1"/>
      <c r="C1320" s="1"/>
      <c r="D1320" s="3"/>
      <c r="E1320" s="1"/>
    </row>
    <row r="1321" spans="1:5" x14ac:dyDescent="0.25">
      <c r="A1321" s="1"/>
      <c r="B1321" s="1"/>
      <c r="C1321" s="1"/>
      <c r="D1321" s="3"/>
      <c r="E1321" s="1"/>
    </row>
    <row r="1322" spans="1:5" x14ac:dyDescent="0.25">
      <c r="A1322" s="1"/>
      <c r="B1322" s="1"/>
      <c r="C1322" s="1"/>
      <c r="D1322" s="3"/>
      <c r="E1322" s="1"/>
    </row>
    <row r="1323" spans="1:5" x14ac:dyDescent="0.25">
      <c r="A1323" s="1"/>
      <c r="B1323" s="1"/>
      <c r="C1323" s="1"/>
      <c r="D1323" s="3"/>
      <c r="E1323" s="1"/>
    </row>
    <row r="1324" spans="1:5" x14ac:dyDescent="0.25">
      <c r="A1324" s="1"/>
      <c r="B1324" s="1"/>
      <c r="C1324" s="1"/>
      <c r="D1324" s="3"/>
      <c r="E1324" s="1"/>
    </row>
    <row r="1325" spans="1:5" x14ac:dyDescent="0.25">
      <c r="A1325" s="1"/>
      <c r="B1325" s="1"/>
      <c r="C1325" s="1"/>
      <c r="D1325" s="3"/>
      <c r="E1325" s="1"/>
    </row>
    <row r="1326" spans="1:5" x14ac:dyDescent="0.25">
      <c r="A1326" s="1"/>
      <c r="B1326" s="1"/>
      <c r="C1326" s="1"/>
      <c r="D1326" s="3"/>
      <c r="E1326" s="1"/>
    </row>
    <row r="1327" spans="1:5" x14ac:dyDescent="0.25">
      <c r="A1327" s="1"/>
      <c r="B1327" s="1"/>
      <c r="C1327" s="1"/>
      <c r="D1327" s="3"/>
      <c r="E1327" s="1"/>
    </row>
    <row r="1328" spans="1:5" x14ac:dyDescent="0.25">
      <c r="A1328" s="1"/>
      <c r="B1328" s="1"/>
      <c r="C1328" s="1"/>
      <c r="D1328" s="3"/>
      <c r="E1328" s="1"/>
    </row>
    <row r="1329" spans="1:5" x14ac:dyDescent="0.25">
      <c r="A1329" s="1"/>
      <c r="B1329" s="1"/>
      <c r="C1329" s="1"/>
      <c r="D1329" s="3"/>
      <c r="E1329" s="1"/>
    </row>
    <row r="1330" spans="1:5" x14ac:dyDescent="0.25">
      <c r="A1330" s="1"/>
      <c r="B1330" s="1"/>
      <c r="C1330" s="1"/>
      <c r="D1330" s="3"/>
      <c r="E1330" s="1"/>
    </row>
    <row r="1331" spans="1:5" x14ac:dyDescent="0.25">
      <c r="A1331" s="1"/>
      <c r="B1331" s="1"/>
      <c r="C1331" s="1"/>
      <c r="D1331" s="3"/>
      <c r="E1331" s="1"/>
    </row>
    <row r="1332" spans="1:5" x14ac:dyDescent="0.25">
      <c r="A1332" s="1"/>
      <c r="B1332" s="1"/>
      <c r="C1332" s="1"/>
      <c r="D1332" s="3"/>
      <c r="E1332" s="1"/>
    </row>
    <row r="1333" spans="1:5" x14ac:dyDescent="0.25">
      <c r="A1333" s="1"/>
      <c r="B1333" s="1"/>
      <c r="C1333" s="1"/>
      <c r="D1333" s="3"/>
      <c r="E1333" s="1"/>
    </row>
    <row r="1334" spans="1:5" x14ac:dyDescent="0.25">
      <c r="A1334" s="1"/>
      <c r="B1334" s="1"/>
      <c r="C1334" s="1"/>
      <c r="D1334" s="3"/>
      <c r="E1334" s="1"/>
    </row>
    <row r="1335" spans="1:5" x14ac:dyDescent="0.25">
      <c r="A1335" s="1"/>
      <c r="B1335" s="1"/>
      <c r="C1335" s="1"/>
      <c r="D1335" s="3"/>
      <c r="E1335" s="1"/>
    </row>
    <row r="1336" spans="1:5" x14ac:dyDescent="0.25">
      <c r="A1336" s="1"/>
      <c r="B1336" s="1"/>
      <c r="C1336" s="1"/>
      <c r="D1336" s="3"/>
      <c r="E1336" s="1"/>
    </row>
    <row r="1337" spans="1:5" x14ac:dyDescent="0.25">
      <c r="A1337" s="1"/>
      <c r="B1337" s="1"/>
      <c r="C1337" s="1"/>
      <c r="D1337" s="3"/>
      <c r="E1337" s="1"/>
    </row>
    <row r="1338" spans="1:5" x14ac:dyDescent="0.25">
      <c r="A1338" s="1"/>
      <c r="B1338" s="1"/>
      <c r="C1338" s="1"/>
      <c r="D1338" s="3"/>
      <c r="E1338" s="1"/>
    </row>
    <row r="1339" spans="1:5" x14ac:dyDescent="0.25">
      <c r="A1339" s="1"/>
      <c r="B1339" s="1"/>
      <c r="C1339" s="1"/>
      <c r="D1339" s="3"/>
      <c r="E1339" s="1"/>
    </row>
    <row r="1340" spans="1:5" x14ac:dyDescent="0.25">
      <c r="A1340" s="1"/>
      <c r="B1340" s="1"/>
      <c r="C1340" s="1"/>
      <c r="D1340" s="3"/>
      <c r="E1340" s="1"/>
    </row>
    <row r="1341" spans="1:5" x14ac:dyDescent="0.25">
      <c r="A1341" s="1"/>
      <c r="B1341" s="1"/>
      <c r="C1341" s="1"/>
      <c r="D1341" s="3"/>
      <c r="E1341" s="1"/>
    </row>
    <row r="1342" spans="1:5" x14ac:dyDescent="0.25">
      <c r="A1342" s="1"/>
      <c r="B1342" s="1"/>
      <c r="C1342" s="1"/>
      <c r="D1342" s="3"/>
      <c r="E1342" s="1"/>
    </row>
    <row r="1343" spans="1:5" x14ac:dyDescent="0.25">
      <c r="A1343" s="1"/>
      <c r="B1343" s="1"/>
      <c r="C1343" s="1"/>
      <c r="D1343" s="3"/>
      <c r="E1343" s="1"/>
    </row>
    <row r="1344" spans="1:5" x14ac:dyDescent="0.25">
      <c r="A1344" s="1"/>
      <c r="B1344" s="1"/>
      <c r="C1344" s="1"/>
      <c r="D1344" s="3"/>
      <c r="E1344" s="1"/>
    </row>
    <row r="1345" spans="1:5" x14ac:dyDescent="0.25">
      <c r="A1345" s="1"/>
      <c r="B1345" s="1"/>
      <c r="C1345" s="1"/>
      <c r="D1345" s="3"/>
      <c r="E1345" s="1"/>
    </row>
    <row r="1346" spans="1:5" x14ac:dyDescent="0.25">
      <c r="A1346" s="1"/>
      <c r="B1346" s="1"/>
      <c r="C1346" s="1"/>
      <c r="D1346" s="3"/>
      <c r="E1346" s="1"/>
    </row>
    <row r="1347" spans="1:5" x14ac:dyDescent="0.25">
      <c r="A1347" s="1"/>
      <c r="B1347" s="1"/>
      <c r="C1347" s="1"/>
      <c r="D1347" s="3"/>
      <c r="E1347" s="1"/>
    </row>
    <row r="1348" spans="1:5" x14ac:dyDescent="0.25">
      <c r="A1348" s="1"/>
      <c r="B1348" s="1"/>
      <c r="C1348" s="1"/>
      <c r="D1348" s="3"/>
      <c r="E1348" s="1"/>
    </row>
    <row r="1349" spans="1:5" x14ac:dyDescent="0.25">
      <c r="A1349" s="1"/>
      <c r="B1349" s="1"/>
      <c r="C1349" s="1"/>
      <c r="D1349" s="3"/>
      <c r="E1349" s="1"/>
    </row>
    <row r="1350" spans="1:5" x14ac:dyDescent="0.25">
      <c r="A1350" s="1"/>
      <c r="B1350" s="1"/>
      <c r="C1350" s="1"/>
      <c r="D1350" s="3"/>
      <c r="E1350" s="1"/>
    </row>
    <row r="1351" spans="1:5" x14ac:dyDescent="0.25">
      <c r="A1351" s="1"/>
      <c r="B1351" s="1"/>
      <c r="C1351" s="1"/>
      <c r="D1351" s="3"/>
      <c r="E1351" s="1"/>
    </row>
    <row r="1352" spans="1:5" x14ac:dyDescent="0.25">
      <c r="A1352" s="1"/>
      <c r="B1352" s="1"/>
      <c r="C1352" s="1"/>
      <c r="D1352" s="3"/>
      <c r="E1352" s="1"/>
    </row>
    <row r="1353" spans="1:5" x14ac:dyDescent="0.25">
      <c r="A1353" s="1"/>
      <c r="B1353" s="1"/>
      <c r="C1353" s="1"/>
      <c r="D1353" s="3"/>
      <c r="E1353" s="1"/>
    </row>
    <row r="1354" spans="1:5" x14ac:dyDescent="0.25">
      <c r="A1354" s="1"/>
      <c r="B1354" s="1"/>
      <c r="C1354" s="1"/>
      <c r="D1354" s="3"/>
      <c r="E1354" s="1"/>
    </row>
    <row r="1355" spans="1:5" x14ac:dyDescent="0.25">
      <c r="A1355" s="1"/>
      <c r="B1355" s="1"/>
      <c r="C1355" s="1"/>
      <c r="D1355" s="3"/>
      <c r="E1355" s="1"/>
    </row>
    <row r="1356" spans="1:5" x14ac:dyDescent="0.25">
      <c r="A1356" s="1"/>
      <c r="B1356" s="1"/>
      <c r="C1356" s="1"/>
      <c r="D1356" s="3"/>
      <c r="E1356" s="1"/>
    </row>
    <row r="1357" spans="1:5" x14ac:dyDescent="0.25">
      <c r="A1357" s="1"/>
      <c r="B1357" s="1"/>
      <c r="C1357" s="1"/>
      <c r="D1357" s="3"/>
      <c r="E1357" s="1"/>
    </row>
    <row r="1358" spans="1:5" x14ac:dyDescent="0.25">
      <c r="A1358" s="1"/>
      <c r="B1358" s="1"/>
      <c r="C1358" s="1"/>
      <c r="D1358" s="3"/>
      <c r="E1358" s="1"/>
    </row>
    <row r="1359" spans="1:5" x14ac:dyDescent="0.25">
      <c r="A1359" s="1"/>
      <c r="B1359" s="1"/>
      <c r="C1359" s="1"/>
      <c r="D1359" s="3"/>
      <c r="E1359" s="1"/>
    </row>
    <row r="1360" spans="1:5" x14ac:dyDescent="0.25">
      <c r="A1360" s="1"/>
      <c r="B1360" s="1"/>
      <c r="C1360" s="1"/>
      <c r="D1360" s="3"/>
      <c r="E1360" s="1"/>
    </row>
    <row r="1361" spans="1:5" x14ac:dyDescent="0.25">
      <c r="A1361" s="1"/>
      <c r="B1361" s="1"/>
      <c r="C1361" s="1"/>
      <c r="D1361" s="3"/>
      <c r="E1361" s="1"/>
    </row>
    <row r="1362" spans="1:5" x14ac:dyDescent="0.25">
      <c r="A1362" s="1"/>
      <c r="B1362" s="1"/>
      <c r="C1362" s="1"/>
      <c r="D1362" s="3"/>
      <c r="E1362" s="1"/>
    </row>
    <row r="1363" spans="1:5" x14ac:dyDescent="0.25">
      <c r="A1363" s="1"/>
      <c r="B1363" s="1"/>
      <c r="C1363" s="1"/>
      <c r="D1363" s="3"/>
      <c r="E1363" s="1"/>
    </row>
    <row r="1364" spans="1:5" x14ac:dyDescent="0.25">
      <c r="A1364" s="1"/>
      <c r="B1364" s="1"/>
      <c r="C1364" s="1"/>
      <c r="D1364" s="3"/>
      <c r="E1364" s="1"/>
    </row>
    <row r="1365" spans="1:5" x14ac:dyDescent="0.25">
      <c r="A1365" s="1"/>
      <c r="B1365" s="1"/>
      <c r="C1365" s="1"/>
      <c r="D1365" s="3"/>
      <c r="E1365" s="1"/>
    </row>
    <row r="1366" spans="1:5" x14ac:dyDescent="0.25">
      <c r="A1366" s="1"/>
      <c r="B1366" s="1"/>
      <c r="C1366" s="1"/>
      <c r="D1366" s="3"/>
      <c r="E1366" s="1"/>
    </row>
    <row r="1367" spans="1:5" x14ac:dyDescent="0.25">
      <c r="A1367" s="1"/>
      <c r="B1367" s="1"/>
      <c r="C1367" s="1"/>
      <c r="D1367" s="3"/>
      <c r="E1367" s="1"/>
    </row>
    <row r="1368" spans="1:5" x14ac:dyDescent="0.25">
      <c r="A1368" s="1"/>
      <c r="B1368" s="1"/>
      <c r="C1368" s="1"/>
      <c r="D1368" s="3"/>
      <c r="E1368" s="1"/>
    </row>
    <row r="1369" spans="1:5" x14ac:dyDescent="0.25">
      <c r="A1369" s="1"/>
      <c r="B1369" s="1"/>
      <c r="C1369" s="1"/>
      <c r="D1369" s="3"/>
      <c r="E1369" s="1"/>
    </row>
    <row r="1370" spans="1:5" x14ac:dyDescent="0.25">
      <c r="A1370" s="1"/>
      <c r="B1370" s="1"/>
      <c r="C1370" s="1"/>
      <c r="D1370" s="3"/>
      <c r="E1370" s="1"/>
    </row>
    <row r="1371" spans="1:5" x14ac:dyDescent="0.25">
      <c r="A1371" s="1"/>
      <c r="B1371" s="1"/>
      <c r="C1371" s="1"/>
      <c r="D1371" s="3"/>
      <c r="E1371" s="1"/>
    </row>
    <row r="1372" spans="1:5" x14ac:dyDescent="0.25">
      <c r="A1372" s="1"/>
      <c r="B1372" s="1"/>
      <c r="C1372" s="1"/>
      <c r="D1372" s="3"/>
      <c r="E1372" s="1"/>
    </row>
    <row r="1373" spans="1:5" x14ac:dyDescent="0.25">
      <c r="A1373" s="1"/>
      <c r="B1373" s="1"/>
      <c r="C1373" s="1"/>
      <c r="D1373" s="3"/>
      <c r="E1373" s="1"/>
    </row>
    <row r="1374" spans="1:5" x14ac:dyDescent="0.25">
      <c r="A1374" s="1"/>
      <c r="B1374" s="1"/>
      <c r="C1374" s="1"/>
      <c r="D1374" s="3"/>
      <c r="E1374" s="1"/>
    </row>
    <row r="1375" spans="1:5" x14ac:dyDescent="0.25">
      <c r="A1375" s="1"/>
      <c r="B1375" s="1"/>
      <c r="C1375" s="1"/>
      <c r="D1375" s="3"/>
      <c r="E1375" s="1"/>
    </row>
    <row r="1376" spans="1:5" x14ac:dyDescent="0.25">
      <c r="A1376" s="1"/>
      <c r="B1376" s="1"/>
      <c r="C1376" s="1"/>
      <c r="D1376" s="3"/>
      <c r="E1376" s="1"/>
    </row>
    <row r="1377" spans="1:5" x14ac:dyDescent="0.25">
      <c r="A1377" s="1"/>
      <c r="B1377" s="1"/>
      <c r="C1377" s="1"/>
      <c r="D1377" s="3"/>
      <c r="E1377" s="1"/>
    </row>
    <row r="1378" spans="1:5" x14ac:dyDescent="0.25">
      <c r="A1378" s="1"/>
      <c r="B1378" s="1"/>
      <c r="C1378" s="1"/>
      <c r="D1378" s="3"/>
      <c r="E1378" s="1"/>
    </row>
    <row r="1379" spans="1:5" x14ac:dyDescent="0.25">
      <c r="A1379" s="1"/>
      <c r="B1379" s="1"/>
      <c r="C1379" s="1"/>
      <c r="D1379" s="3"/>
      <c r="E1379" s="1"/>
    </row>
    <row r="1380" spans="1:5" x14ac:dyDescent="0.25">
      <c r="A1380" s="1"/>
      <c r="B1380" s="1"/>
      <c r="C1380" s="1"/>
      <c r="D1380" s="3"/>
      <c r="E1380" s="1"/>
    </row>
    <row r="1381" spans="1:5" x14ac:dyDescent="0.25">
      <c r="A1381" s="1"/>
      <c r="B1381" s="1"/>
      <c r="C1381" s="1"/>
      <c r="D1381" s="3"/>
      <c r="E1381" s="1"/>
    </row>
    <row r="1382" spans="1:5" x14ac:dyDescent="0.25">
      <c r="A1382" s="1"/>
      <c r="B1382" s="1"/>
      <c r="C1382" s="1"/>
      <c r="D1382" s="3"/>
      <c r="E1382" s="1"/>
    </row>
    <row r="1383" spans="1:5" x14ac:dyDescent="0.25">
      <c r="A1383" s="1"/>
      <c r="B1383" s="1"/>
      <c r="C1383" s="1"/>
      <c r="D1383" s="3"/>
      <c r="E1383" s="1"/>
    </row>
    <row r="1384" spans="1:5" x14ac:dyDescent="0.25">
      <c r="A1384" s="1"/>
      <c r="B1384" s="1"/>
      <c r="C1384" s="1"/>
      <c r="D1384" s="3"/>
      <c r="E1384" s="1"/>
    </row>
    <row r="1385" spans="1:5" x14ac:dyDescent="0.25">
      <c r="A1385" s="1"/>
      <c r="B1385" s="1"/>
      <c r="C1385" s="1"/>
      <c r="D1385" s="3"/>
      <c r="E1385" s="1"/>
    </row>
    <row r="1386" spans="1:5" x14ac:dyDescent="0.25">
      <c r="A1386" s="1"/>
      <c r="B1386" s="1"/>
      <c r="C1386" s="1"/>
      <c r="D1386" s="3"/>
      <c r="E1386" s="1"/>
    </row>
    <row r="1387" spans="1:5" x14ac:dyDescent="0.25">
      <c r="A1387" s="1"/>
      <c r="B1387" s="1"/>
      <c r="C1387" s="1"/>
      <c r="D1387" s="3"/>
      <c r="E1387" s="1"/>
    </row>
    <row r="1388" spans="1:5" x14ac:dyDescent="0.25">
      <c r="A1388" s="1"/>
      <c r="B1388" s="1"/>
      <c r="C1388" s="1"/>
      <c r="D1388" s="3"/>
      <c r="E1388" s="1"/>
    </row>
    <row r="1389" spans="1:5" x14ac:dyDescent="0.25">
      <c r="A1389" s="1"/>
      <c r="B1389" s="1"/>
      <c r="C1389" s="1"/>
      <c r="D1389" s="3"/>
      <c r="E1389" s="1"/>
    </row>
    <row r="1390" spans="1:5" x14ac:dyDescent="0.25">
      <c r="A1390" s="1"/>
      <c r="B1390" s="1"/>
      <c r="C1390" s="1"/>
      <c r="D1390" s="3"/>
      <c r="E1390" s="1"/>
    </row>
    <row r="1391" spans="1:5" x14ac:dyDescent="0.25">
      <c r="A1391" s="1"/>
      <c r="B1391" s="1"/>
      <c r="C1391" s="1"/>
      <c r="D1391" s="3"/>
      <c r="E1391" s="1"/>
    </row>
    <row r="1392" spans="1:5" x14ac:dyDescent="0.25">
      <c r="A1392" s="1"/>
      <c r="B1392" s="1"/>
      <c r="C1392" s="1"/>
      <c r="D1392" s="3"/>
      <c r="E1392" s="1"/>
    </row>
    <row r="1393" spans="1:5" x14ac:dyDescent="0.25">
      <c r="A1393" s="1"/>
      <c r="B1393" s="1"/>
      <c r="C1393" s="1"/>
      <c r="D1393" s="3"/>
      <c r="E1393" s="1"/>
    </row>
    <row r="1394" spans="1:5" x14ac:dyDescent="0.25">
      <c r="A1394" s="1"/>
      <c r="B1394" s="1"/>
      <c r="C1394" s="1"/>
      <c r="D1394" s="3"/>
      <c r="E1394" s="1"/>
    </row>
    <row r="1395" spans="1:5" x14ac:dyDescent="0.25">
      <c r="A1395" s="1"/>
      <c r="B1395" s="1"/>
      <c r="C1395" s="1"/>
      <c r="D1395" s="3"/>
      <c r="E1395" s="1"/>
    </row>
    <row r="1396" spans="1:5" x14ac:dyDescent="0.25">
      <c r="A1396" s="1"/>
      <c r="B1396" s="1"/>
      <c r="C1396" s="1"/>
      <c r="D1396" s="3"/>
      <c r="E1396" s="1"/>
    </row>
    <row r="1397" spans="1:5" x14ac:dyDescent="0.25">
      <c r="A1397" s="1"/>
      <c r="B1397" s="1"/>
      <c r="C1397" s="1"/>
      <c r="D1397" s="3"/>
      <c r="E1397" s="1"/>
    </row>
    <row r="1398" spans="1:5" x14ac:dyDescent="0.25">
      <c r="A1398" s="1"/>
      <c r="B1398" s="1"/>
      <c r="C1398" s="1"/>
      <c r="D1398" s="3"/>
      <c r="E1398" s="1"/>
    </row>
    <row r="1399" spans="1:5" x14ac:dyDescent="0.25">
      <c r="A1399" s="1"/>
      <c r="B1399" s="1"/>
      <c r="C1399" s="1"/>
      <c r="D1399" s="3"/>
      <c r="E1399" s="1"/>
    </row>
    <row r="1400" spans="1:5" x14ac:dyDescent="0.25">
      <c r="A1400" s="1"/>
      <c r="B1400" s="1"/>
      <c r="C1400" s="1"/>
      <c r="D1400" s="3"/>
      <c r="E1400" s="1"/>
    </row>
    <row r="1401" spans="1:5" x14ac:dyDescent="0.25">
      <c r="A1401" s="1"/>
      <c r="B1401" s="1"/>
      <c r="C1401" s="1"/>
      <c r="D1401" s="3"/>
      <c r="E1401" s="1"/>
    </row>
    <row r="1402" spans="1:5" x14ac:dyDescent="0.25">
      <c r="A1402" s="1"/>
      <c r="B1402" s="1"/>
      <c r="C1402" s="1"/>
      <c r="D1402" s="3"/>
      <c r="E1402" s="1"/>
    </row>
    <row r="1403" spans="1:5" x14ac:dyDescent="0.25">
      <c r="A1403" s="1"/>
      <c r="B1403" s="1"/>
      <c r="C1403" s="1"/>
      <c r="D1403" s="3"/>
      <c r="E1403" s="1"/>
    </row>
    <row r="1404" spans="1:5" x14ac:dyDescent="0.25">
      <c r="A1404" s="1"/>
      <c r="B1404" s="1"/>
      <c r="C1404" s="1"/>
      <c r="D1404" s="3"/>
      <c r="E1404" s="1"/>
    </row>
    <row r="1405" spans="1:5" x14ac:dyDescent="0.25">
      <c r="A1405" s="1"/>
      <c r="B1405" s="1"/>
      <c r="C1405" s="1"/>
      <c r="D1405" s="3"/>
      <c r="E1405" s="1"/>
    </row>
    <row r="1406" spans="1:5" x14ac:dyDescent="0.25">
      <c r="A1406" s="1"/>
      <c r="B1406" s="1"/>
      <c r="C1406" s="1"/>
      <c r="D1406" s="3"/>
      <c r="E1406" s="1"/>
    </row>
    <row r="1407" spans="1:5" x14ac:dyDescent="0.25">
      <c r="A1407" s="1"/>
      <c r="B1407" s="1"/>
      <c r="C1407" s="1"/>
      <c r="D1407" s="3"/>
      <c r="E1407" s="1"/>
    </row>
    <row r="1408" spans="1:5" x14ac:dyDescent="0.25">
      <c r="A1408" s="1"/>
      <c r="B1408" s="1"/>
      <c r="C1408" s="1"/>
      <c r="D1408" s="3"/>
      <c r="E1408" s="1"/>
    </row>
    <row r="1409" spans="1:5" x14ac:dyDescent="0.25">
      <c r="A1409" s="1"/>
      <c r="B1409" s="1"/>
      <c r="C1409" s="1"/>
      <c r="D1409" s="3"/>
      <c r="E1409" s="1"/>
    </row>
    <row r="1410" spans="1:5" x14ac:dyDescent="0.25">
      <c r="A1410" s="1"/>
      <c r="B1410" s="1"/>
      <c r="C1410" s="1"/>
      <c r="D1410" s="3"/>
      <c r="E1410" s="1"/>
    </row>
    <row r="1411" spans="1:5" x14ac:dyDescent="0.25">
      <c r="A1411" s="1"/>
      <c r="B1411" s="1"/>
      <c r="C1411" s="1"/>
      <c r="D1411" s="3"/>
      <c r="E1411" s="1"/>
    </row>
    <row r="1412" spans="1:5" x14ac:dyDescent="0.25">
      <c r="A1412" s="1"/>
      <c r="B1412" s="1"/>
      <c r="C1412" s="1"/>
      <c r="D1412" s="3"/>
      <c r="E1412" s="1"/>
    </row>
    <row r="1413" spans="1:5" x14ac:dyDescent="0.25">
      <c r="A1413" s="1"/>
      <c r="B1413" s="1"/>
      <c r="C1413" s="1"/>
      <c r="D1413" s="3"/>
      <c r="E1413" s="1"/>
    </row>
    <row r="1414" spans="1:5" x14ac:dyDescent="0.25">
      <c r="A1414" s="1"/>
      <c r="B1414" s="1"/>
      <c r="C1414" s="1"/>
      <c r="D1414" s="3"/>
      <c r="E1414" s="1"/>
    </row>
    <row r="1415" spans="1:5" x14ac:dyDescent="0.25">
      <c r="A1415" s="1"/>
      <c r="B1415" s="1"/>
      <c r="C1415" s="1"/>
      <c r="D1415" s="3"/>
      <c r="E1415" s="1"/>
    </row>
    <row r="1416" spans="1:5" x14ac:dyDescent="0.25">
      <c r="A1416" s="1"/>
      <c r="B1416" s="1"/>
      <c r="C1416" s="1"/>
      <c r="D1416" s="3"/>
      <c r="E1416" s="1"/>
    </row>
    <row r="1417" spans="1:5" x14ac:dyDescent="0.25">
      <c r="A1417" s="1"/>
      <c r="B1417" s="1"/>
      <c r="C1417" s="1"/>
      <c r="D1417" s="3"/>
      <c r="E1417" s="1"/>
    </row>
    <row r="1418" spans="1:5" x14ac:dyDescent="0.25">
      <c r="A1418" s="1"/>
      <c r="B1418" s="1"/>
      <c r="C1418" s="1"/>
      <c r="D1418" s="3"/>
      <c r="E1418" s="1"/>
    </row>
    <row r="1419" spans="1:5" x14ac:dyDescent="0.25">
      <c r="A1419" s="1"/>
      <c r="B1419" s="1"/>
      <c r="C1419" s="1"/>
      <c r="D1419" s="3"/>
      <c r="E1419" s="1"/>
    </row>
    <row r="1420" spans="1:5" x14ac:dyDescent="0.25">
      <c r="A1420" s="1"/>
      <c r="B1420" s="1"/>
      <c r="C1420" s="1"/>
      <c r="D1420" s="3"/>
      <c r="E1420" s="1"/>
    </row>
    <row r="1421" spans="1:5" x14ac:dyDescent="0.25">
      <c r="A1421" s="1"/>
      <c r="B1421" s="1"/>
      <c r="C1421" s="1"/>
      <c r="D1421" s="3"/>
      <c r="E1421" s="1"/>
    </row>
    <row r="1422" spans="1:5" x14ac:dyDescent="0.25">
      <c r="A1422" s="1"/>
      <c r="B1422" s="1"/>
      <c r="C1422" s="1"/>
      <c r="D1422" s="3"/>
      <c r="E1422" s="1"/>
    </row>
    <row r="1423" spans="1:5" x14ac:dyDescent="0.25">
      <c r="A1423" s="1"/>
      <c r="B1423" s="1"/>
      <c r="C1423" s="1"/>
      <c r="D1423" s="3"/>
      <c r="E1423" s="1"/>
    </row>
    <row r="1424" spans="1:5" x14ac:dyDescent="0.25">
      <c r="A1424" s="1"/>
      <c r="B1424" s="1"/>
      <c r="C1424" s="1"/>
      <c r="D1424" s="3"/>
      <c r="E1424" s="1"/>
    </row>
    <row r="1425" spans="1:5" x14ac:dyDescent="0.25">
      <c r="A1425" s="1"/>
      <c r="B1425" s="1"/>
      <c r="C1425" s="1"/>
      <c r="D1425" s="3"/>
      <c r="E1425" s="1"/>
    </row>
    <row r="1426" spans="1:5" x14ac:dyDescent="0.25">
      <c r="A1426" s="1"/>
      <c r="B1426" s="1"/>
      <c r="C1426" s="1"/>
      <c r="D1426" s="3"/>
      <c r="E1426" s="1"/>
    </row>
    <row r="1427" spans="1:5" x14ac:dyDescent="0.25">
      <c r="A1427" s="1"/>
      <c r="B1427" s="1"/>
      <c r="C1427" s="1"/>
      <c r="D1427" s="3"/>
      <c r="E1427" s="1"/>
    </row>
    <row r="1428" spans="1:5" x14ac:dyDescent="0.25">
      <c r="A1428" s="1"/>
      <c r="B1428" s="1"/>
      <c r="C1428" s="1"/>
      <c r="D1428" s="3"/>
      <c r="E1428" s="1"/>
    </row>
    <row r="1429" spans="1:5" x14ac:dyDescent="0.25">
      <c r="A1429" s="1"/>
      <c r="B1429" s="1"/>
      <c r="C1429" s="1"/>
      <c r="D1429" s="3"/>
      <c r="E1429" s="1"/>
    </row>
    <row r="1430" spans="1:5" x14ac:dyDescent="0.25">
      <c r="A1430" s="1"/>
      <c r="B1430" s="1"/>
      <c r="C1430" s="1"/>
      <c r="D1430" s="3"/>
      <c r="E1430" s="1"/>
    </row>
    <row r="1431" spans="1:5" x14ac:dyDescent="0.25">
      <c r="A1431" s="1"/>
      <c r="B1431" s="1"/>
      <c r="C1431" s="1"/>
      <c r="D1431" s="3"/>
      <c r="E1431" s="1"/>
    </row>
    <row r="1432" spans="1:5" x14ac:dyDescent="0.25">
      <c r="A1432" s="1"/>
      <c r="B1432" s="1"/>
      <c r="C1432" s="1"/>
      <c r="D1432" s="3"/>
      <c r="E1432" s="1"/>
    </row>
    <row r="1433" spans="1:5" x14ac:dyDescent="0.25">
      <c r="A1433" s="1"/>
      <c r="B1433" s="1"/>
      <c r="C1433" s="1"/>
      <c r="D1433" s="3"/>
      <c r="E1433" s="1"/>
    </row>
    <row r="1434" spans="1:5" x14ac:dyDescent="0.25">
      <c r="A1434" s="1"/>
      <c r="B1434" s="1"/>
      <c r="C1434" s="1"/>
      <c r="D1434" s="3"/>
      <c r="E1434" s="1"/>
    </row>
    <row r="1435" spans="1:5" x14ac:dyDescent="0.25">
      <c r="A1435" s="1"/>
      <c r="B1435" s="1"/>
      <c r="C1435" s="1"/>
      <c r="D1435" s="3"/>
      <c r="E1435" s="1"/>
    </row>
    <row r="1436" spans="1:5" x14ac:dyDescent="0.25">
      <c r="A1436" s="1"/>
      <c r="B1436" s="1"/>
      <c r="C1436" s="1"/>
      <c r="D1436" s="3"/>
      <c r="E1436" s="1"/>
    </row>
    <row r="1437" spans="1:5" x14ac:dyDescent="0.25">
      <c r="A1437" s="1"/>
      <c r="B1437" s="1"/>
      <c r="C1437" s="1"/>
      <c r="D1437" s="3"/>
      <c r="E1437" s="1"/>
    </row>
    <row r="1438" spans="1:5" x14ac:dyDescent="0.25">
      <c r="A1438" s="1"/>
      <c r="B1438" s="1"/>
      <c r="C1438" s="1"/>
      <c r="D1438" s="3"/>
      <c r="E1438" s="1"/>
    </row>
    <row r="1439" spans="1:5" x14ac:dyDescent="0.25">
      <c r="A1439" s="1"/>
      <c r="B1439" s="1"/>
      <c r="C1439" s="1"/>
      <c r="D1439" s="3"/>
      <c r="E1439" s="1"/>
    </row>
    <row r="1440" spans="1:5" x14ac:dyDescent="0.25">
      <c r="A1440" s="1"/>
      <c r="B1440" s="1"/>
      <c r="C1440" s="1"/>
      <c r="D1440" s="3"/>
      <c r="E1440" s="1"/>
    </row>
    <row r="1441" spans="1:5" x14ac:dyDescent="0.25">
      <c r="A1441" s="1"/>
      <c r="B1441" s="1"/>
      <c r="C1441" s="1"/>
      <c r="D1441" s="3"/>
      <c r="E1441" s="1"/>
    </row>
    <row r="1442" spans="1:5" x14ac:dyDescent="0.25">
      <c r="A1442" s="1"/>
      <c r="B1442" s="1"/>
      <c r="C1442" s="1"/>
      <c r="D1442" s="3"/>
      <c r="E1442" s="1"/>
    </row>
    <row r="1443" spans="1:5" x14ac:dyDescent="0.25">
      <c r="A1443" s="1"/>
      <c r="B1443" s="1"/>
      <c r="C1443" s="1"/>
      <c r="D1443" s="3"/>
      <c r="E1443" s="1"/>
    </row>
    <row r="1444" spans="1:5" x14ac:dyDescent="0.25">
      <c r="A1444" s="1"/>
      <c r="B1444" s="1"/>
      <c r="C1444" s="1"/>
      <c r="D1444" s="3"/>
      <c r="E1444" s="1"/>
    </row>
    <row r="1445" spans="1:5" x14ac:dyDescent="0.25">
      <c r="A1445" s="1"/>
      <c r="B1445" s="1"/>
      <c r="C1445" s="1"/>
      <c r="D1445" s="3"/>
      <c r="E1445" s="1"/>
    </row>
    <row r="1446" spans="1:5" x14ac:dyDescent="0.25">
      <c r="A1446" s="1"/>
      <c r="B1446" s="1"/>
      <c r="C1446" s="1"/>
      <c r="D1446" s="3"/>
      <c r="E1446" s="1"/>
    </row>
    <row r="1447" spans="1:5" x14ac:dyDescent="0.25">
      <c r="A1447" s="1"/>
      <c r="B1447" s="1"/>
      <c r="C1447" s="1"/>
      <c r="D1447" s="3"/>
      <c r="E1447" s="1"/>
    </row>
    <row r="1448" spans="1:5" x14ac:dyDescent="0.25">
      <c r="A1448" s="1"/>
      <c r="B1448" s="1"/>
      <c r="C1448" s="1"/>
      <c r="D1448" s="3"/>
      <c r="E1448" s="1"/>
    </row>
    <row r="1449" spans="1:5" x14ac:dyDescent="0.25">
      <c r="A1449" s="1"/>
      <c r="B1449" s="1"/>
      <c r="C1449" s="1"/>
      <c r="D1449" s="3"/>
      <c r="E1449" s="1"/>
    </row>
    <row r="1450" spans="1:5" x14ac:dyDescent="0.25">
      <c r="A1450" s="1"/>
      <c r="B1450" s="1"/>
      <c r="C1450" s="1"/>
      <c r="D1450" s="3"/>
      <c r="E1450" s="1"/>
    </row>
    <row r="1451" spans="1:5" x14ac:dyDescent="0.25">
      <c r="A1451" s="1"/>
      <c r="B1451" s="1"/>
      <c r="C1451" s="1"/>
      <c r="D1451" s="3"/>
      <c r="E1451" s="1"/>
    </row>
    <row r="1452" spans="1:5" x14ac:dyDescent="0.25">
      <c r="A1452" s="1"/>
      <c r="B1452" s="1"/>
      <c r="C1452" s="1"/>
      <c r="D1452" s="3"/>
      <c r="E1452" s="1"/>
    </row>
    <row r="1453" spans="1:5" x14ac:dyDescent="0.25">
      <c r="A1453" s="1"/>
      <c r="B1453" s="1"/>
      <c r="C1453" s="1"/>
      <c r="D1453" s="3"/>
      <c r="E1453" s="1"/>
    </row>
    <row r="1454" spans="1:5" x14ac:dyDescent="0.25">
      <c r="A1454" s="1"/>
      <c r="B1454" s="1"/>
      <c r="C1454" s="1"/>
      <c r="D1454" s="3"/>
      <c r="E1454" s="1"/>
    </row>
    <row r="1455" spans="1:5" x14ac:dyDescent="0.25">
      <c r="A1455" s="1"/>
      <c r="B1455" s="1"/>
      <c r="C1455" s="1"/>
      <c r="D1455" s="3"/>
      <c r="E1455" s="1"/>
    </row>
    <row r="1456" spans="1:5" x14ac:dyDescent="0.25">
      <c r="A1456" s="1"/>
      <c r="B1456" s="1"/>
      <c r="C1456" s="1"/>
      <c r="D1456" s="3"/>
      <c r="E1456" s="1"/>
    </row>
    <row r="1457" spans="1:5" x14ac:dyDescent="0.25">
      <c r="A1457" s="1"/>
      <c r="B1457" s="1"/>
      <c r="C1457" s="1"/>
      <c r="D1457" s="3"/>
      <c r="E1457" s="1"/>
    </row>
    <row r="1458" spans="1:5" x14ac:dyDescent="0.25">
      <c r="A1458" s="1"/>
      <c r="B1458" s="1"/>
      <c r="C1458" s="1"/>
      <c r="D1458" s="3"/>
      <c r="E1458" s="1"/>
    </row>
    <row r="1459" spans="1:5" x14ac:dyDescent="0.25">
      <c r="A1459" s="1"/>
      <c r="B1459" s="1"/>
      <c r="C1459" s="1"/>
      <c r="D1459" s="3"/>
      <c r="E1459" s="1"/>
    </row>
    <row r="1460" spans="1:5" x14ac:dyDescent="0.25">
      <c r="A1460" s="1"/>
      <c r="B1460" s="1"/>
      <c r="C1460" s="1"/>
      <c r="D1460" s="3"/>
      <c r="E1460" s="1"/>
    </row>
    <row r="1461" spans="1:5" x14ac:dyDescent="0.25">
      <c r="A1461" s="1"/>
      <c r="B1461" s="1"/>
      <c r="C1461" s="1"/>
      <c r="D1461" s="3"/>
      <c r="E1461" s="1"/>
    </row>
    <row r="1462" spans="1:5" x14ac:dyDescent="0.25">
      <c r="A1462" s="1"/>
      <c r="B1462" s="1"/>
      <c r="C1462" s="1"/>
      <c r="D1462" s="3"/>
      <c r="E1462" s="1"/>
    </row>
    <row r="1463" spans="1:5" x14ac:dyDescent="0.25">
      <c r="A1463" s="1"/>
      <c r="B1463" s="1"/>
      <c r="C1463" s="1"/>
      <c r="D1463" s="3"/>
      <c r="E1463" s="1"/>
    </row>
    <row r="1464" spans="1:5" x14ac:dyDescent="0.25">
      <c r="A1464" s="1"/>
      <c r="B1464" s="1"/>
      <c r="C1464" s="1"/>
      <c r="D1464" s="3"/>
      <c r="E1464" s="1"/>
    </row>
    <row r="1465" spans="1:5" x14ac:dyDescent="0.25">
      <c r="A1465" s="1"/>
      <c r="B1465" s="1"/>
      <c r="C1465" s="1"/>
      <c r="D1465" s="3"/>
      <c r="E1465" s="1"/>
    </row>
    <row r="1466" spans="1:5" x14ac:dyDescent="0.25">
      <c r="A1466" s="1"/>
      <c r="B1466" s="1"/>
      <c r="C1466" s="1"/>
      <c r="D1466" s="3"/>
      <c r="E1466" s="1"/>
    </row>
    <row r="1467" spans="1:5" x14ac:dyDescent="0.25">
      <c r="A1467" s="1"/>
      <c r="B1467" s="1"/>
      <c r="C1467" s="1"/>
      <c r="D1467" s="3"/>
      <c r="E1467" s="1"/>
    </row>
    <row r="1468" spans="1:5" x14ac:dyDescent="0.25">
      <c r="A1468" s="1"/>
      <c r="B1468" s="1"/>
      <c r="C1468" s="1"/>
      <c r="D1468" s="3"/>
      <c r="E1468" s="1"/>
    </row>
    <row r="1469" spans="1:5" x14ac:dyDescent="0.25">
      <c r="A1469" s="1"/>
      <c r="B1469" s="1"/>
      <c r="C1469" s="1"/>
      <c r="D1469" s="3"/>
      <c r="E1469" s="1"/>
    </row>
    <row r="1470" spans="1:5" x14ac:dyDescent="0.25">
      <c r="A1470" s="1"/>
      <c r="B1470" s="1"/>
      <c r="C1470" s="1"/>
      <c r="D1470" s="3"/>
      <c r="E1470" s="1"/>
    </row>
    <row r="1471" spans="1:5" x14ac:dyDescent="0.25">
      <c r="A1471" s="1"/>
      <c r="B1471" s="1"/>
      <c r="C1471" s="1"/>
      <c r="D1471" s="3"/>
      <c r="E1471" s="1"/>
    </row>
    <row r="1472" spans="1:5" x14ac:dyDescent="0.25">
      <c r="A1472" s="1"/>
      <c r="B1472" s="1"/>
      <c r="C1472" s="1"/>
      <c r="D1472" s="3"/>
      <c r="E1472" s="1"/>
    </row>
    <row r="1473" spans="1:5" x14ac:dyDescent="0.25">
      <c r="A1473" s="1"/>
      <c r="B1473" s="1"/>
      <c r="C1473" s="1"/>
      <c r="D1473" s="3"/>
      <c r="E1473" s="1"/>
    </row>
    <row r="1474" spans="1:5" x14ac:dyDescent="0.25">
      <c r="A1474" s="1"/>
      <c r="B1474" s="1"/>
      <c r="C1474" s="1"/>
      <c r="D1474" s="3"/>
      <c r="E1474" s="1"/>
    </row>
    <row r="1475" spans="1:5" x14ac:dyDescent="0.25">
      <c r="A1475" s="1"/>
      <c r="B1475" s="1"/>
      <c r="C1475" s="1"/>
      <c r="D1475" s="3"/>
      <c r="E1475" s="1"/>
    </row>
    <row r="1476" spans="1:5" x14ac:dyDescent="0.25">
      <c r="A1476" s="1"/>
      <c r="B1476" s="1"/>
      <c r="C1476" s="1"/>
      <c r="D1476" s="3"/>
      <c r="E1476" s="1"/>
    </row>
    <row r="1477" spans="1:5" x14ac:dyDescent="0.25">
      <c r="A1477" s="1"/>
      <c r="B1477" s="1"/>
      <c r="C1477" s="1"/>
      <c r="D1477" s="3"/>
      <c r="E1477" s="1"/>
    </row>
    <row r="1478" spans="1:5" x14ac:dyDescent="0.25">
      <c r="A1478" s="1"/>
      <c r="B1478" s="1"/>
      <c r="C1478" s="1"/>
      <c r="D1478" s="3"/>
      <c r="E1478" s="1"/>
    </row>
    <row r="1479" spans="1:5" x14ac:dyDescent="0.25">
      <c r="A1479" s="1"/>
      <c r="B1479" s="1"/>
      <c r="C1479" s="1"/>
      <c r="D1479" s="3"/>
      <c r="E1479" s="1"/>
    </row>
    <row r="1480" spans="1:5" x14ac:dyDescent="0.25">
      <c r="A1480" s="1"/>
      <c r="B1480" s="1"/>
      <c r="C1480" s="1"/>
      <c r="D1480" s="3"/>
      <c r="E1480" s="1"/>
    </row>
    <row r="1481" spans="1:5" x14ac:dyDescent="0.25">
      <c r="A1481" s="1"/>
      <c r="B1481" s="1"/>
      <c r="C1481" s="1"/>
      <c r="D1481" s="3"/>
      <c r="E1481" s="1"/>
    </row>
    <row r="1482" spans="1:5" x14ac:dyDescent="0.25">
      <c r="A1482" s="1"/>
      <c r="B1482" s="1"/>
      <c r="C1482" s="1"/>
      <c r="D1482" s="3"/>
      <c r="E1482" s="1"/>
    </row>
    <row r="1483" spans="1:5" x14ac:dyDescent="0.25">
      <c r="A1483" s="1"/>
      <c r="B1483" s="1"/>
      <c r="C1483" s="1"/>
      <c r="D1483" s="3"/>
      <c r="E1483" s="1"/>
    </row>
    <row r="1484" spans="1:5" x14ac:dyDescent="0.25">
      <c r="A1484" s="1"/>
      <c r="B1484" s="1"/>
      <c r="C1484" s="1"/>
      <c r="D1484" s="3"/>
      <c r="E1484" s="1"/>
    </row>
    <row r="1485" spans="1:5" x14ac:dyDescent="0.25">
      <c r="A1485" s="1"/>
      <c r="B1485" s="1"/>
      <c r="C1485" s="1"/>
      <c r="D1485" s="3"/>
      <c r="E1485" s="1"/>
    </row>
    <row r="1486" spans="1:5" x14ac:dyDescent="0.25">
      <c r="A1486" s="1"/>
      <c r="B1486" s="1"/>
      <c r="C1486" s="1"/>
      <c r="D1486" s="3"/>
      <c r="E1486" s="1"/>
    </row>
    <row r="1487" spans="1:5" x14ac:dyDescent="0.25">
      <c r="A1487" s="1"/>
      <c r="B1487" s="1"/>
      <c r="C1487" s="1"/>
      <c r="D1487" s="3"/>
      <c r="E1487" s="1"/>
    </row>
    <row r="1488" spans="1:5" x14ac:dyDescent="0.25">
      <c r="A1488" s="1"/>
      <c r="B1488" s="1"/>
      <c r="C1488" s="1"/>
      <c r="D1488" s="3"/>
      <c r="E1488" s="1"/>
    </row>
    <row r="1489" spans="1:5" x14ac:dyDescent="0.25">
      <c r="A1489" s="1"/>
      <c r="B1489" s="1"/>
      <c r="C1489" s="1"/>
      <c r="D1489" s="3"/>
      <c r="E1489" s="1"/>
    </row>
    <row r="1490" spans="1:5" x14ac:dyDescent="0.25">
      <c r="A1490" s="1"/>
      <c r="B1490" s="1"/>
      <c r="C1490" s="1"/>
      <c r="D1490" s="3"/>
      <c r="E1490" s="1"/>
    </row>
    <row r="1491" spans="1:5" x14ac:dyDescent="0.25">
      <c r="A1491" s="1"/>
      <c r="B1491" s="1"/>
      <c r="C1491" s="1"/>
      <c r="D1491" s="3"/>
      <c r="E1491" s="1"/>
    </row>
    <row r="1492" spans="1:5" x14ac:dyDescent="0.25">
      <c r="A1492" s="1"/>
      <c r="B1492" s="1"/>
      <c r="C1492" s="1"/>
      <c r="D1492" s="3"/>
      <c r="E1492" s="1"/>
    </row>
    <row r="1493" spans="1:5" x14ac:dyDescent="0.25">
      <c r="A1493" s="1"/>
      <c r="B1493" s="1"/>
      <c r="C1493" s="1"/>
      <c r="D1493" s="3"/>
      <c r="E1493" s="1"/>
    </row>
    <row r="1494" spans="1:5" x14ac:dyDescent="0.25">
      <c r="A1494" s="1"/>
      <c r="B1494" s="1"/>
      <c r="C1494" s="1"/>
      <c r="D1494" s="3"/>
      <c r="E1494" s="1"/>
    </row>
    <row r="1495" spans="1:5" x14ac:dyDescent="0.25">
      <c r="A1495" s="1"/>
      <c r="B1495" s="1"/>
      <c r="C1495" s="1"/>
      <c r="D1495" s="3"/>
      <c r="E1495" s="1"/>
    </row>
    <row r="1496" spans="1:5" x14ac:dyDescent="0.25">
      <c r="A1496" s="1"/>
      <c r="B1496" s="1"/>
      <c r="C1496" s="1"/>
      <c r="D1496" s="3"/>
      <c r="E1496" s="1"/>
    </row>
    <row r="1497" spans="1:5" x14ac:dyDescent="0.25">
      <c r="A1497" s="1"/>
      <c r="B1497" s="1"/>
      <c r="C1497" s="1"/>
      <c r="D1497" s="3"/>
      <c r="E1497" s="1"/>
    </row>
    <row r="1498" spans="1:5" x14ac:dyDescent="0.25">
      <c r="A1498" s="1"/>
      <c r="B1498" s="1"/>
      <c r="C1498" s="1"/>
      <c r="D1498" s="3"/>
      <c r="E1498" s="1"/>
    </row>
    <row r="1499" spans="1:5" x14ac:dyDescent="0.25">
      <c r="A1499" s="1"/>
      <c r="B1499" s="1"/>
      <c r="C1499" s="1"/>
      <c r="D1499" s="3"/>
      <c r="E1499" s="1"/>
    </row>
    <row r="1500" spans="1:5" x14ac:dyDescent="0.25">
      <c r="A1500" s="1"/>
      <c r="B1500" s="1"/>
      <c r="C1500" s="1"/>
      <c r="D1500" s="3"/>
      <c r="E1500" s="1"/>
    </row>
    <row r="1501" spans="1:5" x14ac:dyDescent="0.25">
      <c r="A1501" s="1"/>
      <c r="B1501" s="1"/>
      <c r="C1501" s="1"/>
      <c r="D1501" s="3"/>
      <c r="E1501" s="1"/>
    </row>
    <row r="1502" spans="1:5" x14ac:dyDescent="0.25">
      <c r="A1502" s="1"/>
      <c r="B1502" s="1"/>
      <c r="C1502" s="1"/>
      <c r="D1502" s="3"/>
      <c r="E1502" s="1"/>
    </row>
    <row r="1503" spans="1:5" x14ac:dyDescent="0.25">
      <c r="A1503" s="1"/>
      <c r="B1503" s="1"/>
      <c r="C1503" s="1"/>
      <c r="D1503" s="3"/>
      <c r="E1503" s="1"/>
    </row>
    <row r="1504" spans="1:5" x14ac:dyDescent="0.25">
      <c r="A1504" s="1"/>
      <c r="B1504" s="1"/>
      <c r="C1504" s="1"/>
      <c r="D1504" s="3"/>
      <c r="E1504" s="1"/>
    </row>
    <row r="1505" spans="1:5" x14ac:dyDescent="0.25">
      <c r="A1505" s="1"/>
      <c r="B1505" s="1"/>
      <c r="C1505" s="1"/>
      <c r="D1505" s="3"/>
      <c r="E1505" s="1"/>
    </row>
    <row r="1506" spans="1:5" x14ac:dyDescent="0.25">
      <c r="A1506" s="1"/>
      <c r="B1506" s="1"/>
      <c r="C1506" s="1"/>
      <c r="D1506" s="3"/>
      <c r="E1506" s="1"/>
    </row>
    <row r="1507" spans="1:5" x14ac:dyDescent="0.25">
      <c r="A1507" s="1"/>
      <c r="B1507" s="1"/>
      <c r="C1507" s="1"/>
      <c r="D1507" s="3"/>
      <c r="E1507" s="1"/>
    </row>
    <row r="1508" spans="1:5" x14ac:dyDescent="0.25">
      <c r="A1508" s="1"/>
      <c r="B1508" s="1"/>
      <c r="C1508" s="1"/>
      <c r="D1508" s="3"/>
      <c r="E1508" s="1"/>
    </row>
    <row r="1509" spans="1:5" x14ac:dyDescent="0.25">
      <c r="A1509" s="1"/>
      <c r="B1509" s="1"/>
      <c r="C1509" s="1"/>
      <c r="D1509" s="3"/>
      <c r="E1509" s="1"/>
    </row>
    <row r="1510" spans="1:5" x14ac:dyDescent="0.25">
      <c r="A1510" s="1"/>
      <c r="B1510" s="1"/>
      <c r="C1510" s="1"/>
      <c r="D1510" s="3"/>
      <c r="E1510" s="1"/>
    </row>
    <row r="1511" spans="1:5" x14ac:dyDescent="0.25">
      <c r="A1511" s="1"/>
      <c r="B1511" s="1"/>
      <c r="C1511" s="1"/>
      <c r="D1511" s="3"/>
      <c r="E1511" s="1"/>
    </row>
    <row r="1512" spans="1:5" x14ac:dyDescent="0.25">
      <c r="A1512" s="1"/>
      <c r="B1512" s="1"/>
      <c r="C1512" s="1"/>
      <c r="D1512" s="3"/>
      <c r="E1512" s="1"/>
    </row>
    <row r="1513" spans="1:5" x14ac:dyDescent="0.25">
      <c r="A1513" s="1"/>
      <c r="B1513" s="1"/>
      <c r="C1513" s="1"/>
      <c r="D1513" s="3"/>
      <c r="E1513" s="1"/>
    </row>
    <row r="1514" spans="1:5" x14ac:dyDescent="0.25">
      <c r="A1514" s="1"/>
      <c r="B1514" s="1"/>
      <c r="C1514" s="1"/>
      <c r="D1514" s="3"/>
      <c r="E1514" s="1"/>
    </row>
    <row r="1515" spans="1:5" x14ac:dyDescent="0.25">
      <c r="A1515" s="1"/>
      <c r="B1515" s="1"/>
      <c r="C1515" s="1"/>
      <c r="D1515" s="3"/>
      <c r="E1515" s="1"/>
    </row>
    <row r="1516" spans="1:5" x14ac:dyDescent="0.25">
      <c r="A1516" s="1"/>
      <c r="B1516" s="1"/>
      <c r="C1516" s="1"/>
      <c r="D1516" s="3"/>
      <c r="E1516" s="1"/>
    </row>
    <row r="1517" spans="1:5" x14ac:dyDescent="0.25">
      <c r="A1517" s="1"/>
      <c r="B1517" s="1"/>
      <c r="C1517" s="1"/>
      <c r="D1517" s="3"/>
      <c r="E1517" s="1"/>
    </row>
    <row r="1518" spans="1:5" x14ac:dyDescent="0.25">
      <c r="A1518" s="1"/>
      <c r="B1518" s="1"/>
      <c r="C1518" s="1"/>
      <c r="D1518" s="3"/>
      <c r="E1518" s="1"/>
    </row>
    <row r="1519" spans="1:5" x14ac:dyDescent="0.25">
      <c r="A1519" s="1"/>
      <c r="B1519" s="1"/>
      <c r="C1519" s="1"/>
      <c r="D1519" s="3"/>
      <c r="E1519" s="1"/>
    </row>
    <row r="1520" spans="1:5" x14ac:dyDescent="0.25">
      <c r="A1520" s="1"/>
      <c r="B1520" s="1"/>
      <c r="C1520" s="1"/>
      <c r="D1520" s="3"/>
      <c r="E1520" s="1"/>
    </row>
    <row r="1521" spans="1:5" x14ac:dyDescent="0.25">
      <c r="A1521" s="1"/>
      <c r="B1521" s="1"/>
      <c r="C1521" s="1"/>
      <c r="D1521" s="3"/>
      <c r="E1521" s="1"/>
    </row>
    <row r="1522" spans="1:5" x14ac:dyDescent="0.25">
      <c r="A1522" s="1"/>
      <c r="B1522" s="1"/>
      <c r="C1522" s="1"/>
      <c r="D1522" s="3"/>
      <c r="E1522" s="1"/>
    </row>
    <row r="1523" spans="1:5" x14ac:dyDescent="0.25">
      <c r="A1523" s="1"/>
      <c r="B1523" s="1"/>
      <c r="C1523" s="1"/>
      <c r="D1523" s="3"/>
      <c r="E1523" s="1"/>
    </row>
    <row r="1524" spans="1:5" x14ac:dyDescent="0.25">
      <c r="A1524" s="1"/>
      <c r="B1524" s="1"/>
      <c r="C1524" s="1"/>
      <c r="D1524" s="3"/>
      <c r="E1524" s="1"/>
    </row>
    <row r="1525" spans="1:5" x14ac:dyDescent="0.25">
      <c r="A1525" s="1"/>
      <c r="B1525" s="1"/>
      <c r="C1525" s="1"/>
      <c r="D1525" s="3"/>
      <c r="E1525" s="1"/>
    </row>
    <row r="1526" spans="1:5" x14ac:dyDescent="0.25">
      <c r="A1526" s="1"/>
      <c r="B1526" s="1"/>
      <c r="C1526" s="1"/>
      <c r="D1526" s="3"/>
      <c r="E1526" s="1"/>
    </row>
    <row r="1527" spans="1:5" x14ac:dyDescent="0.25">
      <c r="A1527" s="1"/>
      <c r="B1527" s="1"/>
      <c r="C1527" s="1"/>
      <c r="D1527" s="3"/>
      <c r="E1527" s="1"/>
    </row>
    <row r="1528" spans="1:5" x14ac:dyDescent="0.25">
      <c r="A1528" s="1"/>
      <c r="B1528" s="1"/>
      <c r="C1528" s="1"/>
      <c r="D1528" s="3"/>
      <c r="E1528" s="1"/>
    </row>
    <row r="1529" spans="1:5" x14ac:dyDescent="0.25">
      <c r="A1529" s="1"/>
      <c r="B1529" s="1"/>
      <c r="C1529" s="1"/>
      <c r="D1529" s="3"/>
      <c r="E1529" s="1"/>
    </row>
    <row r="1530" spans="1:5" x14ac:dyDescent="0.25">
      <c r="A1530" s="1"/>
      <c r="B1530" s="1"/>
      <c r="C1530" s="1"/>
      <c r="D1530" s="3"/>
      <c r="E1530" s="1"/>
    </row>
    <row r="1531" spans="1:5" x14ac:dyDescent="0.25">
      <c r="A1531" s="1"/>
      <c r="B1531" s="1"/>
      <c r="C1531" s="1"/>
      <c r="D1531" s="3"/>
      <c r="E1531" s="1"/>
    </row>
    <row r="1532" spans="1:5" x14ac:dyDescent="0.25">
      <c r="A1532" s="1"/>
      <c r="B1532" s="1"/>
      <c r="C1532" s="1"/>
      <c r="D1532" s="3"/>
      <c r="E1532" s="1"/>
    </row>
    <row r="1533" spans="1:5" x14ac:dyDescent="0.25">
      <c r="A1533" s="1"/>
      <c r="B1533" s="1"/>
      <c r="C1533" s="1"/>
      <c r="D1533" s="3"/>
      <c r="E1533" s="1"/>
    </row>
    <row r="1534" spans="1:5" x14ac:dyDescent="0.25">
      <c r="A1534" s="1"/>
      <c r="B1534" s="1"/>
      <c r="C1534" s="1"/>
      <c r="D1534" s="3"/>
      <c r="E1534" s="1"/>
    </row>
    <row r="1535" spans="1:5" x14ac:dyDescent="0.25">
      <c r="A1535" s="1"/>
      <c r="B1535" s="1"/>
      <c r="C1535" s="1"/>
      <c r="D1535" s="3"/>
      <c r="E1535" s="1"/>
    </row>
    <row r="1536" spans="1:5" x14ac:dyDescent="0.25">
      <c r="A1536" s="1"/>
      <c r="B1536" s="1"/>
      <c r="C1536" s="1"/>
      <c r="D1536" s="3"/>
      <c r="E1536" s="1"/>
    </row>
    <row r="1537" spans="1:5" x14ac:dyDescent="0.25">
      <c r="A1537" s="1"/>
      <c r="B1537" s="1"/>
      <c r="C1537" s="1"/>
      <c r="D1537" s="3"/>
      <c r="E1537" s="1"/>
    </row>
    <row r="1538" spans="1:5" x14ac:dyDescent="0.25">
      <c r="A1538" s="1"/>
      <c r="B1538" s="1"/>
      <c r="C1538" s="1"/>
      <c r="D1538" s="3"/>
      <c r="E1538" s="1"/>
    </row>
    <row r="1539" spans="1:5" x14ac:dyDescent="0.25">
      <c r="A1539" s="1"/>
      <c r="B1539" s="1"/>
      <c r="C1539" s="1"/>
      <c r="D1539" s="3"/>
      <c r="E1539" s="1"/>
    </row>
    <row r="1540" spans="1:5" x14ac:dyDescent="0.25">
      <c r="A1540" s="1"/>
      <c r="B1540" s="1"/>
      <c r="C1540" s="1"/>
      <c r="D1540" s="3"/>
      <c r="E1540" s="1"/>
    </row>
    <row r="1541" spans="1:5" x14ac:dyDescent="0.25">
      <c r="A1541" s="1"/>
      <c r="B1541" s="1"/>
      <c r="C1541" s="1"/>
      <c r="D1541" s="3"/>
      <c r="E1541" s="1"/>
    </row>
    <row r="1542" spans="1:5" x14ac:dyDescent="0.25">
      <c r="A1542" s="1"/>
      <c r="B1542" s="1"/>
      <c r="C1542" s="1"/>
      <c r="D1542" s="3"/>
      <c r="E1542" s="1"/>
    </row>
    <row r="1543" spans="1:5" x14ac:dyDescent="0.25">
      <c r="A1543" s="1"/>
      <c r="B1543" s="1"/>
      <c r="C1543" s="1"/>
      <c r="D1543" s="3"/>
      <c r="E1543" s="1"/>
    </row>
    <row r="1544" spans="1:5" x14ac:dyDescent="0.25">
      <c r="A1544" s="1"/>
      <c r="B1544" s="1"/>
      <c r="C1544" s="1"/>
      <c r="D1544" s="3"/>
      <c r="E1544" s="1"/>
    </row>
    <row r="1545" spans="1:5" x14ac:dyDescent="0.25">
      <c r="A1545" s="1"/>
      <c r="B1545" s="1"/>
      <c r="C1545" s="1"/>
      <c r="D1545" s="3"/>
      <c r="E1545" s="1"/>
    </row>
    <row r="1546" spans="1:5" x14ac:dyDescent="0.25">
      <c r="A1546" s="1"/>
      <c r="B1546" s="1"/>
      <c r="C1546" s="1"/>
      <c r="D1546" s="3"/>
      <c r="E1546" s="1"/>
    </row>
    <row r="1547" spans="1:5" x14ac:dyDescent="0.25">
      <c r="A1547" s="1"/>
      <c r="B1547" s="1"/>
      <c r="C1547" s="1"/>
      <c r="D1547" s="3"/>
      <c r="E1547" s="1"/>
    </row>
    <row r="1548" spans="1:5" x14ac:dyDescent="0.25">
      <c r="A1548" s="1"/>
      <c r="B1548" s="1"/>
      <c r="C1548" s="1"/>
      <c r="D1548" s="3"/>
      <c r="E1548" s="1"/>
    </row>
    <row r="1549" spans="1:5" x14ac:dyDescent="0.25">
      <c r="A1549" s="1"/>
      <c r="B1549" s="1"/>
      <c r="C1549" s="1"/>
      <c r="D1549" s="3"/>
      <c r="E1549" s="1"/>
    </row>
    <row r="1550" spans="1:5" x14ac:dyDescent="0.25">
      <c r="A1550" s="1"/>
      <c r="B1550" s="1"/>
      <c r="C1550" s="1"/>
      <c r="D1550" s="3"/>
      <c r="E1550" s="1"/>
    </row>
    <row r="1551" spans="1:5" x14ac:dyDescent="0.25">
      <c r="A1551" s="1"/>
      <c r="B1551" s="1"/>
      <c r="C1551" s="1"/>
      <c r="D1551" s="3"/>
      <c r="E1551" s="1"/>
    </row>
    <row r="1552" spans="1:5" x14ac:dyDescent="0.25">
      <c r="A1552" s="1"/>
      <c r="B1552" s="1"/>
      <c r="C1552" s="1"/>
      <c r="D1552" s="3"/>
      <c r="E1552" s="1"/>
    </row>
    <row r="1553" spans="1:5" x14ac:dyDescent="0.25">
      <c r="A1553" s="1"/>
      <c r="B1553" s="1"/>
      <c r="C1553" s="1"/>
      <c r="D1553" s="3"/>
      <c r="E1553" s="1"/>
    </row>
    <row r="1554" spans="1:5" x14ac:dyDescent="0.25">
      <c r="A1554" s="1"/>
      <c r="B1554" s="1"/>
      <c r="C1554" s="1"/>
      <c r="D1554" s="3"/>
      <c r="E1554" s="1"/>
    </row>
    <row r="1555" spans="1:5" x14ac:dyDescent="0.25">
      <c r="A1555" s="1"/>
      <c r="B1555" s="1"/>
      <c r="C1555" s="1"/>
      <c r="D1555" s="3"/>
      <c r="E1555" s="1"/>
    </row>
    <row r="1556" spans="1:5" x14ac:dyDescent="0.25">
      <c r="A1556" s="1"/>
      <c r="B1556" s="1"/>
      <c r="C1556" s="1"/>
      <c r="D1556" s="3"/>
      <c r="E1556" s="1"/>
    </row>
    <row r="1557" spans="1:5" x14ac:dyDescent="0.25">
      <c r="A1557" s="1"/>
      <c r="B1557" s="1"/>
      <c r="C1557" s="1"/>
      <c r="D1557" s="3"/>
      <c r="E1557" s="1"/>
    </row>
    <row r="1558" spans="1:5" x14ac:dyDescent="0.25">
      <c r="A1558" s="1"/>
      <c r="B1558" s="1"/>
      <c r="C1558" s="1"/>
      <c r="D1558" s="3"/>
      <c r="E1558" s="1"/>
    </row>
    <row r="1559" spans="1:5" x14ac:dyDescent="0.25">
      <c r="A1559" s="1"/>
      <c r="B1559" s="1"/>
      <c r="C1559" s="1"/>
      <c r="D1559" s="3"/>
      <c r="E1559" s="1"/>
    </row>
    <row r="1560" spans="1:5" x14ac:dyDescent="0.25">
      <c r="A1560" s="1"/>
      <c r="B1560" s="1"/>
      <c r="C1560" s="1"/>
      <c r="D1560" s="3"/>
      <c r="E1560" s="1"/>
    </row>
    <row r="1561" spans="1:5" x14ac:dyDescent="0.25">
      <c r="A1561" s="1"/>
      <c r="B1561" s="1"/>
      <c r="C1561" s="1"/>
      <c r="D1561" s="3"/>
      <c r="E1561" s="1"/>
    </row>
    <row r="1562" spans="1:5" x14ac:dyDescent="0.25">
      <c r="A1562" s="1"/>
      <c r="B1562" s="1"/>
      <c r="C1562" s="1"/>
      <c r="D1562" s="3"/>
      <c r="E1562" s="1"/>
    </row>
    <row r="1563" spans="1:5" x14ac:dyDescent="0.25">
      <c r="A1563" s="1"/>
      <c r="B1563" s="1"/>
      <c r="C1563" s="1"/>
      <c r="D1563" s="3"/>
      <c r="E1563" s="1"/>
    </row>
    <row r="1564" spans="1:5" x14ac:dyDescent="0.25">
      <c r="A1564" s="1"/>
      <c r="B1564" s="1"/>
      <c r="C1564" s="1"/>
      <c r="D1564" s="3"/>
      <c r="E1564" s="1"/>
    </row>
    <row r="1565" spans="1:5" x14ac:dyDescent="0.25">
      <c r="A1565" s="1"/>
      <c r="B1565" s="1"/>
      <c r="C1565" s="1"/>
      <c r="D1565" s="3"/>
      <c r="E1565" s="1"/>
    </row>
    <row r="1566" spans="1:5" x14ac:dyDescent="0.25">
      <c r="A1566" s="1"/>
      <c r="B1566" s="1"/>
      <c r="C1566" s="1"/>
      <c r="D1566" s="3"/>
      <c r="E1566" s="1"/>
    </row>
    <row r="1567" spans="1:5" x14ac:dyDescent="0.25">
      <c r="A1567" s="1"/>
      <c r="B1567" s="1"/>
      <c r="C1567" s="1"/>
      <c r="D1567" s="3"/>
      <c r="E1567" s="1"/>
    </row>
    <row r="1568" spans="1:5" x14ac:dyDescent="0.25">
      <c r="A1568" s="1"/>
      <c r="B1568" s="1"/>
      <c r="C1568" s="1"/>
      <c r="D1568" s="3"/>
      <c r="E1568" s="1"/>
    </row>
    <row r="1569" spans="1:5" x14ac:dyDescent="0.25">
      <c r="A1569" s="1"/>
      <c r="B1569" s="1"/>
      <c r="C1569" s="1"/>
      <c r="D1569" s="3"/>
      <c r="E1569" s="1"/>
    </row>
    <row r="1570" spans="1:5" x14ac:dyDescent="0.25">
      <c r="A1570" s="1"/>
      <c r="B1570" s="1"/>
      <c r="C1570" s="1"/>
      <c r="D1570" s="3"/>
      <c r="E1570" s="1"/>
    </row>
    <row r="1571" spans="1:5" x14ac:dyDescent="0.25">
      <c r="A1571" s="1"/>
      <c r="B1571" s="1"/>
      <c r="C1571" s="1"/>
      <c r="D1571" s="3"/>
      <c r="E1571" s="1"/>
    </row>
    <row r="1572" spans="1:5" x14ac:dyDescent="0.25">
      <c r="A1572" s="1"/>
      <c r="B1572" s="1"/>
      <c r="C1572" s="1"/>
      <c r="D1572" s="3"/>
      <c r="E1572" s="1"/>
    </row>
    <row r="1573" spans="1:5" x14ac:dyDescent="0.25">
      <c r="A1573" s="1"/>
      <c r="B1573" s="1"/>
      <c r="C1573" s="1"/>
      <c r="D1573" s="3"/>
      <c r="E1573" s="1"/>
    </row>
    <row r="1574" spans="1:5" x14ac:dyDescent="0.25">
      <c r="A1574" s="1"/>
      <c r="B1574" s="1"/>
      <c r="C1574" s="1"/>
      <c r="D1574" s="3"/>
      <c r="E1574" s="1"/>
    </row>
    <row r="1575" spans="1:5" x14ac:dyDescent="0.25">
      <c r="A1575" s="1"/>
      <c r="B1575" s="1"/>
      <c r="C1575" s="1"/>
      <c r="D1575" s="3"/>
      <c r="E1575" s="1"/>
    </row>
    <row r="1576" spans="1:5" x14ac:dyDescent="0.25">
      <c r="A1576" s="1"/>
      <c r="B1576" s="1"/>
      <c r="C1576" s="1"/>
      <c r="D1576" s="3"/>
      <c r="E1576" s="1"/>
    </row>
    <row r="1577" spans="1:5" x14ac:dyDescent="0.25">
      <c r="A1577" s="1"/>
      <c r="B1577" s="1"/>
      <c r="C1577" s="1"/>
      <c r="D1577" s="3"/>
      <c r="E1577" s="1"/>
    </row>
    <row r="1578" spans="1:5" x14ac:dyDescent="0.25">
      <c r="A1578" s="1"/>
      <c r="B1578" s="1"/>
      <c r="C1578" s="1"/>
      <c r="D1578" s="3"/>
      <c r="E1578" s="1"/>
    </row>
    <row r="1579" spans="1:5" x14ac:dyDescent="0.25">
      <c r="A1579" s="1"/>
      <c r="B1579" s="1"/>
      <c r="C1579" s="1"/>
      <c r="D1579" s="3"/>
      <c r="E1579" s="1"/>
    </row>
    <row r="1580" spans="1:5" x14ac:dyDescent="0.25">
      <c r="A1580" s="1"/>
      <c r="B1580" s="1"/>
      <c r="C1580" s="1"/>
      <c r="D1580" s="3"/>
      <c r="E1580" s="1"/>
    </row>
    <row r="1581" spans="1:5" x14ac:dyDescent="0.25">
      <c r="A1581" s="1"/>
      <c r="B1581" s="1"/>
      <c r="C1581" s="1"/>
      <c r="D1581" s="3"/>
      <c r="E1581" s="1"/>
    </row>
    <row r="1582" spans="1:5" x14ac:dyDescent="0.25">
      <c r="A1582" s="1"/>
      <c r="B1582" s="1"/>
      <c r="C1582" s="1"/>
      <c r="D1582" s="3"/>
      <c r="E1582" s="1"/>
    </row>
    <row r="1583" spans="1:5" x14ac:dyDescent="0.25">
      <c r="A1583" s="1"/>
      <c r="B1583" s="1"/>
      <c r="C1583" s="1"/>
      <c r="D1583" s="3"/>
      <c r="E1583" s="1"/>
    </row>
    <row r="1584" spans="1:5" x14ac:dyDescent="0.25">
      <c r="A1584" s="1"/>
      <c r="B1584" s="1"/>
      <c r="C1584" s="1"/>
      <c r="D1584" s="3"/>
      <c r="E1584" s="1"/>
    </row>
    <row r="1585" spans="1:5" x14ac:dyDescent="0.25">
      <c r="A1585" s="1"/>
      <c r="B1585" s="1"/>
      <c r="C1585" s="1"/>
      <c r="D1585" s="3"/>
      <c r="E1585" s="1"/>
    </row>
    <row r="1586" spans="1:5" x14ac:dyDescent="0.25">
      <c r="A1586" s="1"/>
      <c r="B1586" s="1"/>
      <c r="C1586" s="1"/>
      <c r="D1586" s="3"/>
      <c r="E1586" s="1"/>
    </row>
    <row r="1587" spans="1:5" x14ac:dyDescent="0.25">
      <c r="A1587" s="1"/>
      <c r="B1587" s="1"/>
      <c r="C1587" s="1"/>
      <c r="D1587" s="3"/>
      <c r="E1587" s="1"/>
    </row>
    <row r="1588" spans="1:5" x14ac:dyDescent="0.25">
      <c r="A1588" s="1"/>
      <c r="B1588" s="1"/>
      <c r="C1588" s="1"/>
      <c r="D1588" s="3"/>
      <c r="E1588" s="1"/>
    </row>
    <row r="1589" spans="1:5" x14ac:dyDescent="0.25">
      <c r="A1589" s="1"/>
      <c r="B1589" s="1"/>
      <c r="C1589" s="1"/>
      <c r="D1589" s="3"/>
      <c r="E1589" s="1"/>
    </row>
    <row r="1590" spans="1:5" x14ac:dyDescent="0.25">
      <c r="A1590" s="1"/>
      <c r="B1590" s="1"/>
      <c r="C1590" s="1"/>
      <c r="D1590" s="3"/>
      <c r="E1590" s="1"/>
    </row>
    <row r="1591" spans="1:5" x14ac:dyDescent="0.25">
      <c r="A1591" s="1"/>
      <c r="B1591" s="1"/>
      <c r="C1591" s="1"/>
      <c r="D1591" s="3"/>
      <c r="E1591" s="1"/>
    </row>
    <row r="1592" spans="1:5" x14ac:dyDescent="0.25">
      <c r="A1592" s="1"/>
      <c r="B1592" s="1"/>
      <c r="C1592" s="1"/>
      <c r="D1592" s="3"/>
      <c r="E1592" s="1"/>
    </row>
    <row r="1593" spans="1:5" x14ac:dyDescent="0.25">
      <c r="A1593" s="1"/>
      <c r="B1593" s="1"/>
      <c r="C1593" s="1"/>
      <c r="D1593" s="3"/>
      <c r="E1593" s="1"/>
    </row>
    <row r="1594" spans="1:5" x14ac:dyDescent="0.25">
      <c r="A1594" s="1"/>
      <c r="B1594" s="1"/>
      <c r="C1594" s="1"/>
      <c r="D1594" s="3"/>
      <c r="E1594" s="1"/>
    </row>
    <row r="1595" spans="1:5" x14ac:dyDescent="0.25">
      <c r="A1595" s="1"/>
      <c r="B1595" s="1"/>
      <c r="C1595" s="1"/>
      <c r="D1595" s="3"/>
      <c r="E1595" s="1"/>
    </row>
    <row r="1596" spans="1:5" x14ac:dyDescent="0.25">
      <c r="A1596" s="1"/>
      <c r="B1596" s="1"/>
      <c r="C1596" s="1"/>
      <c r="D1596" s="3"/>
      <c r="E1596" s="1"/>
    </row>
    <row r="1597" spans="1:5" x14ac:dyDescent="0.25">
      <c r="A1597" s="1"/>
      <c r="B1597" s="1"/>
      <c r="C1597" s="1"/>
      <c r="D1597" s="3"/>
      <c r="E1597" s="1"/>
    </row>
    <row r="1598" spans="1:5" x14ac:dyDescent="0.25">
      <c r="A1598" s="1"/>
      <c r="B1598" s="1"/>
      <c r="C1598" s="1"/>
      <c r="D1598" s="3"/>
      <c r="E1598" s="1"/>
    </row>
    <row r="1599" spans="1:5" x14ac:dyDescent="0.25">
      <c r="A1599" s="1"/>
      <c r="B1599" s="1"/>
      <c r="C1599" s="1"/>
      <c r="D1599" s="3"/>
      <c r="E1599" s="1"/>
    </row>
    <row r="1600" spans="1:5" x14ac:dyDescent="0.25">
      <c r="A1600" s="1"/>
      <c r="B1600" s="1"/>
      <c r="C1600" s="1"/>
      <c r="D1600" s="3"/>
      <c r="E1600" s="1"/>
    </row>
    <row r="1601" spans="1:5" x14ac:dyDescent="0.25">
      <c r="A1601" s="1"/>
      <c r="B1601" s="1"/>
      <c r="C1601" s="1"/>
      <c r="D1601" s="3"/>
      <c r="E1601" s="1"/>
    </row>
    <row r="1602" spans="1:5" x14ac:dyDescent="0.25">
      <c r="A1602" s="1"/>
      <c r="B1602" s="1"/>
      <c r="C1602" s="1"/>
      <c r="D1602" s="3"/>
      <c r="E1602" s="1"/>
    </row>
    <row r="1603" spans="1:5" x14ac:dyDescent="0.25">
      <c r="A1603" s="1"/>
      <c r="B1603" s="1"/>
      <c r="C1603" s="1"/>
      <c r="D1603" s="3"/>
      <c r="E1603" s="1"/>
    </row>
    <row r="1604" spans="1:5" x14ac:dyDescent="0.25">
      <c r="A1604" s="1"/>
      <c r="B1604" s="1"/>
      <c r="C1604" s="1"/>
      <c r="D1604" s="3"/>
      <c r="E1604" s="1"/>
    </row>
    <row r="1605" spans="1:5" x14ac:dyDescent="0.25">
      <c r="A1605" s="1"/>
      <c r="B1605" s="1"/>
      <c r="C1605" s="1"/>
      <c r="D1605" s="3"/>
      <c r="E1605" s="1"/>
    </row>
    <row r="1606" spans="1:5" x14ac:dyDescent="0.25">
      <c r="A1606" s="1"/>
      <c r="B1606" s="1"/>
      <c r="C1606" s="1"/>
      <c r="D1606" s="3"/>
      <c r="E1606" s="1"/>
    </row>
    <row r="1607" spans="1:5" x14ac:dyDescent="0.25">
      <c r="A1607" s="1"/>
      <c r="B1607" s="1"/>
      <c r="C1607" s="1"/>
      <c r="D1607" s="3"/>
      <c r="E1607" s="1"/>
    </row>
    <row r="1608" spans="1:5" x14ac:dyDescent="0.25">
      <c r="A1608" s="1"/>
      <c r="B1608" s="1"/>
      <c r="C1608" s="1"/>
      <c r="D1608" s="3"/>
      <c r="E1608" s="1"/>
    </row>
    <row r="1609" spans="1:5" x14ac:dyDescent="0.25">
      <c r="A1609" s="1"/>
      <c r="B1609" s="1"/>
      <c r="C1609" s="1"/>
      <c r="D1609" s="3"/>
      <c r="E1609" s="1"/>
    </row>
    <row r="1610" spans="1:5" x14ac:dyDescent="0.25">
      <c r="A1610" s="1"/>
      <c r="B1610" s="1"/>
      <c r="C1610" s="1"/>
      <c r="D1610" s="3"/>
      <c r="E1610" s="1"/>
    </row>
    <row r="1611" spans="1:5" x14ac:dyDescent="0.25">
      <c r="A1611" s="1"/>
      <c r="B1611" s="1"/>
      <c r="C1611" s="1"/>
      <c r="D1611" s="3"/>
      <c r="E1611" s="1"/>
    </row>
    <row r="1612" spans="1:5" x14ac:dyDescent="0.25">
      <c r="A1612" s="1"/>
      <c r="B1612" s="1"/>
      <c r="C1612" s="1"/>
      <c r="D1612" s="3"/>
      <c r="E1612" s="1"/>
    </row>
    <row r="1613" spans="1:5" x14ac:dyDescent="0.25">
      <c r="A1613" s="1"/>
      <c r="B1613" s="1"/>
      <c r="C1613" s="1"/>
      <c r="D1613" s="3"/>
      <c r="E1613" s="1"/>
    </row>
    <row r="1614" spans="1:5" x14ac:dyDescent="0.25">
      <c r="A1614" s="1"/>
      <c r="B1614" s="1"/>
      <c r="C1614" s="1"/>
      <c r="D1614" s="3"/>
      <c r="E1614" s="1"/>
    </row>
    <row r="1615" spans="1:5" x14ac:dyDescent="0.25">
      <c r="A1615" s="1"/>
      <c r="B1615" s="1"/>
      <c r="C1615" s="1"/>
      <c r="D1615" s="3"/>
      <c r="E1615" s="1"/>
    </row>
    <row r="1616" spans="1:5" x14ac:dyDescent="0.25">
      <c r="A1616" s="1"/>
      <c r="B1616" s="1"/>
      <c r="C1616" s="1"/>
      <c r="D1616" s="3"/>
      <c r="E1616" s="1"/>
    </row>
    <row r="1617" spans="1:5" x14ac:dyDescent="0.25">
      <c r="A1617" s="1"/>
      <c r="B1617" s="1"/>
      <c r="C1617" s="1"/>
      <c r="D1617" s="3"/>
      <c r="E1617" s="1"/>
    </row>
    <row r="1618" spans="1:5" x14ac:dyDescent="0.25">
      <c r="A1618" s="1"/>
      <c r="B1618" s="1"/>
      <c r="C1618" s="1"/>
      <c r="D1618" s="3"/>
      <c r="E1618" s="1"/>
    </row>
    <row r="1619" spans="1:5" x14ac:dyDescent="0.25">
      <c r="A1619" s="1"/>
      <c r="B1619" s="1"/>
      <c r="C1619" s="1"/>
      <c r="D1619" s="3"/>
      <c r="E1619" s="1"/>
    </row>
    <row r="1620" spans="1:5" x14ac:dyDescent="0.25">
      <c r="A1620" s="1"/>
      <c r="B1620" s="1"/>
      <c r="C1620" s="1"/>
      <c r="D1620" s="3"/>
      <c r="E1620" s="1"/>
    </row>
    <row r="1621" spans="1:5" x14ac:dyDescent="0.25">
      <c r="A1621" s="1"/>
      <c r="B1621" s="1"/>
      <c r="C1621" s="1"/>
      <c r="D1621" s="3"/>
      <c r="E1621" s="1"/>
    </row>
    <row r="1622" spans="1:5" x14ac:dyDescent="0.25">
      <c r="A1622" s="1"/>
      <c r="B1622" s="1"/>
      <c r="C1622" s="1"/>
      <c r="D1622" s="3"/>
      <c r="E1622" s="1"/>
    </row>
    <row r="1623" spans="1:5" x14ac:dyDescent="0.25">
      <c r="A1623" s="1"/>
      <c r="B1623" s="1"/>
      <c r="C1623" s="1"/>
      <c r="D1623" s="3"/>
      <c r="E1623" s="1"/>
    </row>
    <row r="1624" spans="1:5" x14ac:dyDescent="0.25">
      <c r="A1624" s="1"/>
      <c r="B1624" s="1"/>
      <c r="C1624" s="1"/>
      <c r="D1624" s="3"/>
      <c r="E1624" s="1"/>
    </row>
    <row r="1625" spans="1:5" x14ac:dyDescent="0.25">
      <c r="A1625" s="1"/>
      <c r="B1625" s="1"/>
      <c r="C1625" s="1"/>
      <c r="D1625" s="3"/>
      <c r="E1625" s="1"/>
    </row>
    <row r="1626" spans="1:5" x14ac:dyDescent="0.25">
      <c r="A1626" s="1"/>
      <c r="B1626" s="1"/>
      <c r="C1626" s="1"/>
      <c r="D1626" s="3"/>
      <c r="E1626" s="1"/>
    </row>
    <row r="1627" spans="1:5" x14ac:dyDescent="0.25">
      <c r="A1627" s="1"/>
      <c r="B1627" s="1"/>
      <c r="C1627" s="1"/>
      <c r="D1627" s="3"/>
      <c r="E1627" s="1"/>
    </row>
    <row r="1628" spans="1:5" x14ac:dyDescent="0.25">
      <c r="A1628" s="1"/>
      <c r="B1628" s="1"/>
      <c r="C1628" s="1"/>
      <c r="D1628" s="3"/>
      <c r="E1628" s="1"/>
    </row>
    <row r="1629" spans="1:5" x14ac:dyDescent="0.25">
      <c r="A1629" s="1"/>
      <c r="B1629" s="1"/>
      <c r="C1629" s="1"/>
      <c r="D1629" s="3"/>
      <c r="E1629" s="1"/>
    </row>
    <row r="1630" spans="1:5" x14ac:dyDescent="0.25">
      <c r="A1630" s="1"/>
      <c r="B1630" s="1"/>
      <c r="C1630" s="1"/>
      <c r="D1630" s="3"/>
      <c r="E1630" s="1"/>
    </row>
    <row r="1631" spans="1:5" x14ac:dyDescent="0.25">
      <c r="A1631" s="1"/>
      <c r="B1631" s="1"/>
      <c r="C1631" s="1"/>
      <c r="D1631" s="3"/>
      <c r="E1631" s="1"/>
    </row>
    <row r="1632" spans="1:5" x14ac:dyDescent="0.25">
      <c r="A1632" s="1"/>
      <c r="B1632" s="1"/>
      <c r="C1632" s="1"/>
      <c r="D1632" s="3"/>
      <c r="E1632" s="1"/>
    </row>
    <row r="1633" spans="1:5" x14ac:dyDescent="0.25">
      <c r="A1633" s="1"/>
      <c r="B1633" s="1"/>
      <c r="C1633" s="1"/>
      <c r="D1633" s="3"/>
      <c r="E1633" s="1"/>
    </row>
    <row r="1634" spans="1:5" x14ac:dyDescent="0.25">
      <c r="A1634" s="1"/>
      <c r="B1634" s="1"/>
      <c r="C1634" s="1"/>
      <c r="D1634" s="3"/>
      <c r="E1634" s="1"/>
    </row>
    <row r="1635" spans="1:5" x14ac:dyDescent="0.25">
      <c r="A1635" s="1"/>
      <c r="B1635" s="1"/>
      <c r="C1635" s="1"/>
      <c r="D1635" s="3"/>
      <c r="E1635" s="1"/>
    </row>
    <row r="1636" spans="1:5" x14ac:dyDescent="0.25">
      <c r="A1636" s="1"/>
      <c r="B1636" s="1"/>
      <c r="C1636" s="1"/>
      <c r="D1636" s="3"/>
      <c r="E1636" s="1"/>
    </row>
    <row r="1637" spans="1:5" x14ac:dyDescent="0.25">
      <c r="A1637" s="1"/>
      <c r="B1637" s="1"/>
      <c r="C1637" s="1"/>
      <c r="D1637" s="3"/>
      <c r="E1637" s="1"/>
    </row>
    <row r="1638" spans="1:5" x14ac:dyDescent="0.25">
      <c r="A1638" s="1"/>
      <c r="B1638" s="1"/>
      <c r="C1638" s="1"/>
      <c r="D1638" s="3"/>
      <c r="E1638" s="1"/>
    </row>
    <row r="1639" spans="1:5" x14ac:dyDescent="0.25">
      <c r="A1639" s="1"/>
      <c r="B1639" s="1"/>
      <c r="C1639" s="1"/>
      <c r="D1639" s="3"/>
      <c r="E1639" s="1"/>
    </row>
    <row r="1640" spans="1:5" x14ac:dyDescent="0.25">
      <c r="A1640" s="1"/>
      <c r="B1640" s="1"/>
      <c r="C1640" s="1"/>
      <c r="D1640" s="3"/>
      <c r="E1640" s="1"/>
    </row>
    <row r="1641" spans="1:5" x14ac:dyDescent="0.25">
      <c r="A1641" s="1"/>
      <c r="B1641" s="1"/>
      <c r="C1641" s="1"/>
      <c r="D1641" s="3"/>
      <c r="E1641" s="1"/>
    </row>
    <row r="1642" spans="1:5" x14ac:dyDescent="0.25">
      <c r="A1642" s="1"/>
      <c r="B1642" s="1"/>
      <c r="C1642" s="1"/>
      <c r="D1642" s="3"/>
      <c r="E1642" s="1"/>
    </row>
    <row r="1643" spans="1:5" x14ac:dyDescent="0.25">
      <c r="A1643" s="1"/>
      <c r="B1643" s="1"/>
      <c r="C1643" s="1"/>
      <c r="D1643" s="3"/>
      <c r="E1643" s="1"/>
    </row>
    <row r="1644" spans="1:5" x14ac:dyDescent="0.25">
      <c r="A1644" s="1"/>
      <c r="B1644" s="1"/>
      <c r="C1644" s="1"/>
      <c r="D1644" s="3"/>
      <c r="E1644" s="1"/>
    </row>
    <row r="1645" spans="1:5" x14ac:dyDescent="0.25">
      <c r="A1645" s="1"/>
      <c r="B1645" s="1"/>
      <c r="C1645" s="1"/>
      <c r="D1645" s="3"/>
      <c r="E1645" s="1"/>
    </row>
    <row r="1646" spans="1:5" x14ac:dyDescent="0.25">
      <c r="A1646" s="1"/>
      <c r="B1646" s="1"/>
      <c r="C1646" s="1"/>
      <c r="D1646" s="3"/>
      <c r="E1646" s="1"/>
    </row>
    <row r="1647" spans="1:5" x14ac:dyDescent="0.25">
      <c r="A1647" s="1"/>
      <c r="B1647" s="1"/>
      <c r="C1647" s="1"/>
      <c r="D1647" s="3"/>
      <c r="E1647" s="1"/>
    </row>
    <row r="1648" spans="1:5" x14ac:dyDescent="0.25">
      <c r="A1648" s="1"/>
      <c r="B1648" s="1"/>
      <c r="C1648" s="1"/>
      <c r="D1648" s="3"/>
      <c r="E1648" s="1"/>
    </row>
    <row r="1649" spans="1:5" x14ac:dyDescent="0.25">
      <c r="A1649" s="1"/>
      <c r="B1649" s="1"/>
      <c r="C1649" s="1"/>
      <c r="D1649" s="3"/>
      <c r="E1649" s="1"/>
    </row>
    <row r="1650" spans="1:5" x14ac:dyDescent="0.25">
      <c r="A1650" s="1"/>
      <c r="B1650" s="1"/>
      <c r="C1650" s="1"/>
      <c r="D1650" s="3"/>
      <c r="E1650" s="1"/>
    </row>
    <row r="1651" spans="1:5" x14ac:dyDescent="0.25">
      <c r="A1651" s="1"/>
      <c r="B1651" s="1"/>
      <c r="C1651" s="1"/>
      <c r="D1651" s="3"/>
      <c r="E1651" s="1"/>
    </row>
    <row r="1652" spans="1:5" x14ac:dyDescent="0.25">
      <c r="A1652" s="1"/>
      <c r="B1652" s="1"/>
      <c r="C1652" s="1"/>
      <c r="D1652" s="3"/>
      <c r="E1652" s="1"/>
    </row>
    <row r="1653" spans="1:5" x14ac:dyDescent="0.25">
      <c r="A1653" s="1"/>
      <c r="B1653" s="1"/>
      <c r="C1653" s="1"/>
      <c r="D1653" s="3"/>
      <c r="E1653" s="1"/>
    </row>
    <row r="1654" spans="1:5" x14ac:dyDescent="0.25">
      <c r="A1654" s="1"/>
      <c r="B1654" s="1"/>
      <c r="C1654" s="1"/>
      <c r="D1654" s="3"/>
      <c r="E1654" s="1"/>
    </row>
    <row r="1655" spans="1:5" x14ac:dyDescent="0.25">
      <c r="A1655" s="1"/>
      <c r="B1655" s="1"/>
      <c r="C1655" s="1"/>
      <c r="D1655" s="3"/>
      <c r="E1655" s="1"/>
    </row>
    <row r="1656" spans="1:5" x14ac:dyDescent="0.25">
      <c r="A1656" s="1"/>
      <c r="B1656" s="1"/>
      <c r="C1656" s="1"/>
      <c r="D1656" s="3"/>
      <c r="E1656" s="1"/>
    </row>
    <row r="1657" spans="1:5" x14ac:dyDescent="0.25">
      <c r="A1657" s="1"/>
      <c r="B1657" s="1"/>
      <c r="C1657" s="1"/>
      <c r="D1657" s="3"/>
      <c r="E1657" s="1"/>
    </row>
    <row r="1658" spans="1:5" x14ac:dyDescent="0.25">
      <c r="A1658" s="1"/>
      <c r="B1658" s="1"/>
      <c r="C1658" s="1"/>
      <c r="D1658" s="3"/>
      <c r="E1658" s="1"/>
    </row>
    <row r="1659" spans="1:5" x14ac:dyDescent="0.25">
      <c r="A1659" s="1"/>
      <c r="B1659" s="1"/>
      <c r="C1659" s="1"/>
      <c r="D1659" s="3"/>
      <c r="E1659" s="1"/>
    </row>
    <row r="1660" spans="1:5" x14ac:dyDescent="0.25">
      <c r="A1660" s="1"/>
      <c r="B1660" s="1"/>
      <c r="C1660" s="1"/>
      <c r="D1660" s="3"/>
      <c r="E1660" s="1"/>
    </row>
    <row r="1661" spans="1:5" x14ac:dyDescent="0.25">
      <c r="A1661" s="1"/>
      <c r="B1661" s="1"/>
      <c r="C1661" s="1"/>
      <c r="D1661" s="3"/>
      <c r="E1661" s="1"/>
    </row>
    <row r="1662" spans="1:5" x14ac:dyDescent="0.25">
      <c r="A1662" s="1"/>
      <c r="B1662" s="1"/>
      <c r="C1662" s="1"/>
      <c r="D1662" s="3"/>
      <c r="E1662" s="1"/>
    </row>
    <row r="1663" spans="1:5" x14ac:dyDescent="0.25">
      <c r="A1663" s="1"/>
      <c r="B1663" s="1"/>
      <c r="C1663" s="1"/>
      <c r="D1663" s="3"/>
      <c r="E1663" s="1"/>
    </row>
    <row r="1664" spans="1:5" x14ac:dyDescent="0.25">
      <c r="A1664" s="1"/>
      <c r="B1664" s="1"/>
      <c r="C1664" s="1"/>
      <c r="D1664" s="3"/>
      <c r="E1664" s="1"/>
    </row>
    <row r="1665" spans="1:5" x14ac:dyDescent="0.25">
      <c r="A1665" s="1"/>
      <c r="B1665" s="1"/>
      <c r="C1665" s="1"/>
      <c r="D1665" s="3"/>
      <c r="E1665" s="1"/>
    </row>
    <row r="1666" spans="1:5" x14ac:dyDescent="0.25">
      <c r="A1666" s="1"/>
      <c r="B1666" s="1"/>
      <c r="C1666" s="1"/>
      <c r="D1666" s="3"/>
      <c r="E1666" s="1"/>
    </row>
    <row r="1667" spans="1:5" x14ac:dyDescent="0.25">
      <c r="A1667" s="1"/>
      <c r="B1667" s="1"/>
      <c r="C1667" s="1"/>
      <c r="D1667" s="3"/>
      <c r="E1667" s="1"/>
    </row>
    <row r="1668" spans="1:5" x14ac:dyDescent="0.25">
      <c r="A1668" s="1"/>
      <c r="B1668" s="1"/>
      <c r="C1668" s="1"/>
      <c r="D1668" s="3"/>
      <c r="E1668" s="1"/>
    </row>
    <row r="1669" spans="1:5" x14ac:dyDescent="0.25">
      <c r="A1669" s="1"/>
      <c r="B1669" s="1"/>
      <c r="C1669" s="1"/>
      <c r="D1669" s="3"/>
      <c r="E1669" s="1"/>
    </row>
    <row r="1670" spans="1:5" x14ac:dyDescent="0.25">
      <c r="A1670" s="1"/>
      <c r="B1670" s="1"/>
      <c r="C1670" s="1"/>
      <c r="D1670" s="3"/>
      <c r="E1670" s="1"/>
    </row>
    <row r="1671" spans="1:5" x14ac:dyDescent="0.25">
      <c r="A1671" s="1"/>
      <c r="B1671" s="1"/>
      <c r="C1671" s="1"/>
      <c r="D1671" s="3"/>
      <c r="E1671" s="1"/>
    </row>
    <row r="1672" spans="1:5" x14ac:dyDescent="0.25">
      <c r="A1672" s="1"/>
      <c r="B1672" s="1"/>
      <c r="C1672" s="1"/>
      <c r="D1672" s="3"/>
      <c r="E1672" s="1"/>
    </row>
    <row r="1673" spans="1:5" x14ac:dyDescent="0.25">
      <c r="A1673" s="1"/>
      <c r="B1673" s="1"/>
      <c r="C1673" s="1"/>
      <c r="D1673" s="3"/>
      <c r="E1673" s="1"/>
    </row>
    <row r="1674" spans="1:5" x14ac:dyDescent="0.25">
      <c r="A1674" s="1"/>
      <c r="B1674" s="1"/>
      <c r="C1674" s="1"/>
      <c r="D1674" s="3"/>
      <c r="E1674" s="1"/>
    </row>
    <row r="1675" spans="1:5" x14ac:dyDescent="0.25">
      <c r="A1675" s="1"/>
      <c r="B1675" s="1"/>
      <c r="C1675" s="1"/>
      <c r="D1675" s="3"/>
      <c r="E1675" s="1"/>
    </row>
    <row r="1676" spans="1:5" x14ac:dyDescent="0.25">
      <c r="A1676" s="1"/>
      <c r="B1676" s="1"/>
      <c r="C1676" s="1"/>
      <c r="D1676" s="3"/>
      <c r="E1676" s="1"/>
    </row>
    <row r="1677" spans="1:5" x14ac:dyDescent="0.25">
      <c r="A1677" s="1"/>
      <c r="B1677" s="1"/>
      <c r="C1677" s="1"/>
      <c r="D1677" s="3"/>
      <c r="E1677" s="1"/>
    </row>
    <row r="1678" spans="1:5" x14ac:dyDescent="0.25">
      <c r="A1678" s="1"/>
      <c r="B1678" s="1"/>
      <c r="C1678" s="1"/>
      <c r="D1678" s="3"/>
      <c r="E1678" s="1"/>
    </row>
    <row r="1679" spans="1:5" x14ac:dyDescent="0.25">
      <c r="A1679" s="1"/>
      <c r="B1679" s="1"/>
      <c r="C1679" s="1"/>
      <c r="D1679" s="3"/>
      <c r="E1679" s="1"/>
    </row>
    <row r="1680" spans="1:5" x14ac:dyDescent="0.25">
      <c r="A1680" s="1"/>
      <c r="B1680" s="1"/>
      <c r="C1680" s="1"/>
      <c r="D1680" s="3"/>
      <c r="E1680" s="1"/>
    </row>
    <row r="1681" spans="1:5" x14ac:dyDescent="0.25">
      <c r="A1681" s="1"/>
      <c r="B1681" s="1"/>
      <c r="C1681" s="1"/>
      <c r="D1681" s="3"/>
      <c r="E1681" s="1"/>
    </row>
    <row r="1682" spans="1:5" x14ac:dyDescent="0.25">
      <c r="A1682" s="1"/>
      <c r="B1682" s="1"/>
      <c r="C1682" s="1"/>
      <c r="D1682" s="3"/>
      <c r="E1682" s="1"/>
    </row>
    <row r="1683" spans="1:5" x14ac:dyDescent="0.25">
      <c r="A1683" s="1"/>
      <c r="B1683" s="1"/>
      <c r="C1683" s="1"/>
      <c r="D1683" s="3"/>
      <c r="E1683" s="1"/>
    </row>
    <row r="1684" spans="1:5" x14ac:dyDescent="0.25">
      <c r="A1684" s="1"/>
      <c r="B1684" s="1"/>
      <c r="C1684" s="1"/>
      <c r="D1684" s="3"/>
      <c r="E1684" s="1"/>
    </row>
    <row r="1685" spans="1:5" x14ac:dyDescent="0.25">
      <c r="A1685" s="1"/>
      <c r="B1685" s="1"/>
      <c r="C1685" s="1"/>
      <c r="D1685" s="3"/>
      <c r="E1685" s="1"/>
    </row>
    <row r="1686" spans="1:5" x14ac:dyDescent="0.25">
      <c r="A1686" s="1"/>
      <c r="B1686" s="1"/>
      <c r="C1686" s="1"/>
      <c r="D1686" s="3"/>
      <c r="E1686" s="1"/>
    </row>
    <row r="1687" spans="1:5" x14ac:dyDescent="0.25">
      <c r="A1687" s="1"/>
      <c r="B1687" s="1"/>
      <c r="C1687" s="1"/>
      <c r="D1687" s="3"/>
      <c r="E1687" s="1"/>
    </row>
    <row r="1688" spans="1:5" x14ac:dyDescent="0.25">
      <c r="A1688" s="1"/>
      <c r="B1688" s="1"/>
      <c r="C1688" s="1"/>
      <c r="D1688" s="3"/>
      <c r="E1688" s="1"/>
    </row>
    <row r="1689" spans="1:5" x14ac:dyDescent="0.25">
      <c r="A1689" s="1"/>
      <c r="B1689" s="1"/>
      <c r="C1689" s="1"/>
      <c r="D1689" s="3"/>
      <c r="E1689" s="1"/>
    </row>
    <row r="1690" spans="1:5" x14ac:dyDescent="0.25">
      <c r="A1690" s="1"/>
      <c r="B1690" s="1"/>
      <c r="C1690" s="1"/>
      <c r="D1690" s="3"/>
      <c r="E1690" s="1"/>
    </row>
    <row r="1691" spans="1:5" x14ac:dyDescent="0.25">
      <c r="A1691" s="1"/>
      <c r="B1691" s="1"/>
      <c r="C1691" s="1"/>
      <c r="D1691" s="3"/>
      <c r="E1691" s="1"/>
    </row>
    <row r="1692" spans="1:5" x14ac:dyDescent="0.25">
      <c r="A1692" s="1"/>
      <c r="B1692" s="1"/>
      <c r="C1692" s="1"/>
      <c r="D1692" s="3"/>
      <c r="E1692" s="1"/>
    </row>
    <row r="1693" spans="1:5" x14ac:dyDescent="0.25">
      <c r="A1693" s="1"/>
      <c r="B1693" s="1"/>
      <c r="C1693" s="1"/>
      <c r="D1693" s="3"/>
      <c r="E1693" s="1"/>
    </row>
    <row r="1694" spans="1:5" x14ac:dyDescent="0.25">
      <c r="A1694" s="1"/>
      <c r="B1694" s="1"/>
      <c r="C1694" s="1"/>
      <c r="D1694" s="3"/>
      <c r="E1694" s="1"/>
    </row>
    <row r="1695" spans="1:5" x14ac:dyDescent="0.25">
      <c r="A1695" s="1"/>
      <c r="B1695" s="1"/>
      <c r="C1695" s="1"/>
      <c r="D1695" s="3"/>
      <c r="E1695" s="1"/>
    </row>
    <row r="1696" spans="1:5" x14ac:dyDescent="0.25">
      <c r="A1696" s="1"/>
      <c r="B1696" s="1"/>
      <c r="C1696" s="1"/>
      <c r="D1696" s="3"/>
      <c r="E1696" s="1"/>
    </row>
    <row r="1697" spans="1:5" x14ac:dyDescent="0.25">
      <c r="A1697" s="1"/>
      <c r="B1697" s="1"/>
      <c r="C1697" s="1"/>
      <c r="D1697" s="3"/>
      <c r="E1697" s="1"/>
    </row>
    <row r="1698" spans="1:5" x14ac:dyDescent="0.25">
      <c r="A1698" s="1"/>
      <c r="B1698" s="1"/>
      <c r="C1698" s="1"/>
      <c r="D1698" s="3"/>
      <c r="E1698" s="1"/>
    </row>
    <row r="1699" spans="1:5" x14ac:dyDescent="0.25">
      <c r="A1699" s="1"/>
      <c r="B1699" s="1"/>
      <c r="C1699" s="1"/>
      <c r="D1699" s="3"/>
      <c r="E1699" s="1"/>
    </row>
    <row r="1700" spans="1:5" x14ac:dyDescent="0.25">
      <c r="A1700" s="1"/>
      <c r="B1700" s="1"/>
      <c r="C1700" s="1"/>
      <c r="D1700" s="3"/>
      <c r="E1700" s="1"/>
    </row>
    <row r="1701" spans="1:5" x14ac:dyDescent="0.25">
      <c r="A1701" s="1"/>
      <c r="B1701" s="1"/>
      <c r="C1701" s="1"/>
      <c r="D1701" s="3"/>
      <c r="E1701" s="1"/>
    </row>
    <row r="1702" spans="1:5" x14ac:dyDescent="0.25">
      <c r="A1702" s="1"/>
      <c r="B1702" s="1"/>
      <c r="C1702" s="1"/>
      <c r="D1702" s="3"/>
      <c r="E1702" s="1"/>
    </row>
    <row r="1703" spans="1:5" x14ac:dyDescent="0.25">
      <c r="A1703" s="1"/>
      <c r="B1703" s="1"/>
      <c r="C1703" s="1"/>
      <c r="D1703" s="3"/>
      <c r="E1703" s="1"/>
    </row>
    <row r="1704" spans="1:5" x14ac:dyDescent="0.25">
      <c r="A1704" s="1"/>
      <c r="B1704" s="1"/>
      <c r="C1704" s="1"/>
      <c r="D1704" s="3"/>
      <c r="E1704" s="1"/>
    </row>
    <row r="1705" spans="1:5" x14ac:dyDescent="0.25">
      <c r="A1705" s="1"/>
      <c r="B1705" s="1"/>
      <c r="C1705" s="1"/>
      <c r="D1705" s="3"/>
      <c r="E1705" s="1"/>
    </row>
    <row r="1706" spans="1:5" x14ac:dyDescent="0.25">
      <c r="A1706" s="1"/>
      <c r="B1706" s="1"/>
      <c r="C1706" s="1"/>
      <c r="D1706" s="3"/>
      <c r="E1706" s="1"/>
    </row>
    <row r="1707" spans="1:5" x14ac:dyDescent="0.25">
      <c r="A1707" s="1"/>
      <c r="B1707" s="1"/>
      <c r="C1707" s="1"/>
      <c r="D1707" s="3"/>
      <c r="E1707" s="1"/>
    </row>
    <row r="1708" spans="1:5" x14ac:dyDescent="0.25">
      <c r="A1708" s="1"/>
      <c r="B1708" s="1"/>
      <c r="C1708" s="1"/>
      <c r="D1708" s="3"/>
      <c r="E1708" s="1"/>
    </row>
    <row r="1709" spans="1:5" x14ac:dyDescent="0.25">
      <c r="A1709" s="1"/>
      <c r="B1709" s="1"/>
      <c r="C1709" s="1"/>
      <c r="D1709" s="3"/>
      <c r="E1709" s="1"/>
    </row>
    <row r="1710" spans="1:5" x14ac:dyDescent="0.25">
      <c r="A1710" s="1"/>
      <c r="B1710" s="1"/>
      <c r="C1710" s="1"/>
      <c r="D1710" s="3"/>
      <c r="E1710" s="1"/>
    </row>
    <row r="1711" spans="1:5" x14ac:dyDescent="0.25">
      <c r="A1711" s="1"/>
      <c r="B1711" s="1"/>
      <c r="C1711" s="1"/>
      <c r="D1711" s="3"/>
      <c r="E1711" s="1"/>
    </row>
    <row r="1712" spans="1:5" x14ac:dyDescent="0.25">
      <c r="A1712" s="1"/>
      <c r="B1712" s="1"/>
      <c r="C1712" s="1"/>
      <c r="D1712" s="3"/>
      <c r="E1712" s="1"/>
    </row>
    <row r="1713" spans="1:5" x14ac:dyDescent="0.25">
      <c r="A1713" s="1"/>
      <c r="B1713" s="1"/>
      <c r="C1713" s="1"/>
      <c r="D1713" s="3"/>
      <c r="E1713" s="1"/>
    </row>
    <row r="1714" spans="1:5" x14ac:dyDescent="0.25">
      <c r="A1714" s="1"/>
      <c r="B1714" s="1"/>
      <c r="C1714" s="1"/>
      <c r="D1714" s="3"/>
      <c r="E1714" s="1"/>
    </row>
    <row r="1715" spans="1:5" x14ac:dyDescent="0.25">
      <c r="A1715" s="1"/>
      <c r="B1715" s="1"/>
      <c r="C1715" s="1"/>
      <c r="D1715" s="3"/>
      <c r="E1715" s="1"/>
    </row>
    <row r="1716" spans="1:5" x14ac:dyDescent="0.25">
      <c r="A1716" s="1"/>
      <c r="B1716" s="1"/>
      <c r="C1716" s="1"/>
      <c r="D1716" s="3"/>
      <c r="E1716" s="1"/>
    </row>
    <row r="1717" spans="1:5" x14ac:dyDescent="0.25">
      <c r="A1717" s="1"/>
      <c r="B1717" s="1"/>
      <c r="C1717" s="1"/>
      <c r="D1717" s="3"/>
      <c r="E1717" s="1"/>
    </row>
    <row r="1718" spans="1:5" x14ac:dyDescent="0.25">
      <c r="A1718" s="1"/>
      <c r="B1718" s="1"/>
      <c r="C1718" s="1"/>
      <c r="D1718" s="3"/>
      <c r="E1718" s="1"/>
    </row>
    <row r="1719" spans="1:5" x14ac:dyDescent="0.25">
      <c r="A1719" s="1"/>
      <c r="B1719" s="1"/>
      <c r="C1719" s="1"/>
      <c r="D1719" s="3"/>
      <c r="E1719" s="1"/>
    </row>
    <row r="1720" spans="1:5" x14ac:dyDescent="0.25">
      <c r="A1720" s="1"/>
      <c r="B1720" s="1"/>
      <c r="C1720" s="1"/>
      <c r="D1720" s="3"/>
      <c r="E1720" s="1"/>
    </row>
    <row r="1721" spans="1:5" x14ac:dyDescent="0.25">
      <c r="A1721" s="1"/>
      <c r="B1721" s="1"/>
      <c r="C1721" s="1"/>
      <c r="D1721" s="3"/>
      <c r="E1721" s="1"/>
    </row>
    <row r="1722" spans="1:5" x14ac:dyDescent="0.25">
      <c r="A1722" s="1"/>
      <c r="B1722" s="1"/>
      <c r="C1722" s="1"/>
      <c r="D1722" s="3"/>
      <c r="E1722" s="1"/>
    </row>
    <row r="1723" spans="1:5" x14ac:dyDescent="0.25">
      <c r="A1723" s="1"/>
      <c r="B1723" s="1"/>
      <c r="C1723" s="1"/>
      <c r="D1723" s="3"/>
      <c r="E1723" s="1"/>
    </row>
    <row r="1724" spans="1:5" x14ac:dyDescent="0.25">
      <c r="A1724" s="1"/>
      <c r="B1724" s="1"/>
      <c r="C1724" s="1"/>
      <c r="D1724" s="3"/>
      <c r="E1724" s="1"/>
    </row>
    <row r="1725" spans="1:5" x14ac:dyDescent="0.25">
      <c r="A1725" s="1"/>
      <c r="B1725" s="1"/>
      <c r="C1725" s="1"/>
      <c r="D1725" s="3"/>
      <c r="E1725" s="1"/>
    </row>
    <row r="1726" spans="1:5" x14ac:dyDescent="0.25">
      <c r="A1726" s="1"/>
      <c r="B1726" s="1"/>
      <c r="C1726" s="1"/>
      <c r="D1726" s="3"/>
      <c r="E1726" s="1"/>
    </row>
    <row r="1727" spans="1:5" x14ac:dyDescent="0.25">
      <c r="A1727" s="1"/>
      <c r="B1727" s="1"/>
      <c r="C1727" s="1"/>
      <c r="D1727" s="3"/>
      <c r="E1727" s="1"/>
    </row>
    <row r="1728" spans="1:5" x14ac:dyDescent="0.25">
      <c r="A1728" s="1"/>
      <c r="B1728" s="1"/>
      <c r="C1728" s="1"/>
      <c r="D1728" s="3"/>
      <c r="E1728" s="1"/>
    </row>
    <row r="1729" spans="1:5" x14ac:dyDescent="0.25">
      <c r="A1729" s="1"/>
      <c r="B1729" s="1"/>
      <c r="C1729" s="1"/>
      <c r="D1729" s="3"/>
      <c r="E1729" s="1"/>
    </row>
    <row r="1730" spans="1:5" x14ac:dyDescent="0.25">
      <c r="A1730" s="1"/>
      <c r="B1730" s="1"/>
      <c r="C1730" s="1"/>
      <c r="D1730" s="3"/>
      <c r="E1730" s="1"/>
    </row>
    <row r="1731" spans="1:5" x14ac:dyDescent="0.25">
      <c r="A1731" s="1"/>
      <c r="B1731" s="1"/>
      <c r="C1731" s="1"/>
      <c r="D1731" s="3"/>
      <c r="E1731" s="1"/>
    </row>
    <row r="1732" spans="1:5" x14ac:dyDescent="0.25">
      <c r="A1732" s="1"/>
      <c r="B1732" s="1"/>
      <c r="C1732" s="1"/>
      <c r="D1732" s="3"/>
      <c r="E1732" s="1"/>
    </row>
    <row r="1733" spans="1:5" x14ac:dyDescent="0.25">
      <c r="A1733" s="1"/>
      <c r="B1733" s="1"/>
      <c r="C1733" s="1"/>
      <c r="D1733" s="3"/>
      <c r="E1733" s="1"/>
    </row>
    <row r="1734" spans="1:5" x14ac:dyDescent="0.25">
      <c r="A1734" s="1"/>
      <c r="B1734" s="1"/>
      <c r="C1734" s="1"/>
      <c r="D1734" s="3"/>
      <c r="E1734" s="1"/>
    </row>
    <row r="1735" spans="1:5" x14ac:dyDescent="0.25">
      <c r="A1735" s="1"/>
      <c r="B1735" s="1"/>
      <c r="C1735" s="1"/>
      <c r="D1735" s="3"/>
      <c r="E1735" s="1"/>
    </row>
    <row r="1736" spans="1:5" x14ac:dyDescent="0.25">
      <c r="A1736" s="1"/>
      <c r="B1736" s="1"/>
      <c r="C1736" s="1"/>
      <c r="D1736" s="3"/>
      <c r="E1736" s="1"/>
    </row>
    <row r="1737" spans="1:5" x14ac:dyDescent="0.25">
      <c r="A1737" s="1"/>
      <c r="B1737" s="1"/>
      <c r="C1737" s="1"/>
      <c r="D1737" s="3"/>
      <c r="E1737" s="1"/>
    </row>
    <row r="1738" spans="1:5" x14ac:dyDescent="0.25">
      <c r="A1738" s="1"/>
      <c r="B1738" s="1"/>
      <c r="C1738" s="1"/>
      <c r="D1738" s="3"/>
      <c r="E1738" s="1"/>
    </row>
    <row r="1739" spans="1:5" x14ac:dyDescent="0.25">
      <c r="A1739" s="1"/>
      <c r="B1739" s="1"/>
      <c r="C1739" s="1"/>
      <c r="D1739" s="3"/>
      <c r="E1739" s="1"/>
    </row>
    <row r="1740" spans="1:5" x14ac:dyDescent="0.25">
      <c r="A1740" s="1"/>
      <c r="B1740" s="1"/>
      <c r="C1740" s="1"/>
      <c r="D1740" s="3"/>
      <c r="E1740" s="1"/>
    </row>
    <row r="1741" spans="1:5" x14ac:dyDescent="0.25">
      <c r="A1741" s="1"/>
      <c r="B1741" s="1"/>
      <c r="C1741" s="1"/>
      <c r="D1741" s="3"/>
      <c r="E1741" s="1"/>
    </row>
    <row r="1742" spans="1:5" x14ac:dyDescent="0.25">
      <c r="A1742" s="1"/>
      <c r="B1742" s="1"/>
      <c r="C1742" s="1"/>
      <c r="D1742" s="3"/>
      <c r="E1742" s="1"/>
    </row>
    <row r="1743" spans="1:5" x14ac:dyDescent="0.25">
      <c r="A1743" s="1"/>
      <c r="B1743" s="1"/>
      <c r="C1743" s="1"/>
      <c r="D1743" s="3"/>
      <c r="E1743" s="1"/>
    </row>
    <row r="1744" spans="1:5" x14ac:dyDescent="0.25">
      <c r="A1744" s="1"/>
      <c r="B1744" s="1"/>
      <c r="C1744" s="1"/>
      <c r="D1744" s="3"/>
      <c r="E1744" s="1"/>
    </row>
    <row r="1745" spans="1:5" x14ac:dyDescent="0.25">
      <c r="A1745" s="1"/>
      <c r="B1745" s="1"/>
      <c r="C1745" s="1"/>
      <c r="D1745" s="3"/>
      <c r="E1745" s="1"/>
    </row>
    <row r="1746" spans="1:5" x14ac:dyDescent="0.25">
      <c r="A1746" s="1"/>
      <c r="B1746" s="1"/>
      <c r="C1746" s="1"/>
      <c r="D1746" s="3"/>
      <c r="E1746" s="1"/>
    </row>
    <row r="1747" spans="1:5" x14ac:dyDescent="0.25">
      <c r="A1747" s="1"/>
      <c r="B1747" s="1"/>
      <c r="C1747" s="1"/>
      <c r="D1747" s="3"/>
      <c r="E1747" s="1"/>
    </row>
    <row r="1748" spans="1:5" x14ac:dyDescent="0.25">
      <c r="A1748" s="1"/>
      <c r="B1748" s="1"/>
      <c r="C1748" s="1"/>
      <c r="D1748" s="3"/>
      <c r="E1748" s="1"/>
    </row>
    <row r="1749" spans="1:5" x14ac:dyDescent="0.25">
      <c r="A1749" s="1"/>
      <c r="B1749" s="1"/>
      <c r="C1749" s="1"/>
      <c r="D1749" s="3"/>
      <c r="E1749" s="1"/>
    </row>
    <row r="1750" spans="1:5" x14ac:dyDescent="0.25">
      <c r="A1750" s="1"/>
      <c r="B1750" s="1"/>
      <c r="C1750" s="1"/>
      <c r="D1750" s="3"/>
      <c r="E1750" s="1"/>
    </row>
    <row r="1751" spans="1:5" x14ac:dyDescent="0.25">
      <c r="A1751" s="1"/>
      <c r="B1751" s="1"/>
      <c r="C1751" s="1"/>
      <c r="D1751" s="3"/>
      <c r="E1751" s="1"/>
    </row>
    <row r="1752" spans="1:5" x14ac:dyDescent="0.25">
      <c r="A1752" s="1"/>
      <c r="B1752" s="1"/>
      <c r="C1752" s="1"/>
      <c r="D1752" s="3"/>
      <c r="E1752" s="1"/>
    </row>
    <row r="1753" spans="1:5" x14ac:dyDescent="0.25">
      <c r="A1753" s="1"/>
      <c r="B1753" s="1"/>
      <c r="C1753" s="1"/>
      <c r="D1753" s="3"/>
      <c r="E1753" s="1"/>
    </row>
    <row r="1754" spans="1:5" x14ac:dyDescent="0.25">
      <c r="A1754" s="1"/>
      <c r="B1754" s="1"/>
      <c r="C1754" s="1"/>
      <c r="D1754" s="3"/>
      <c r="E1754" s="1"/>
    </row>
    <row r="1755" spans="1:5" x14ac:dyDescent="0.25">
      <c r="A1755" s="1"/>
      <c r="B1755" s="1"/>
      <c r="C1755" s="1"/>
      <c r="D1755" s="3"/>
      <c r="E1755" s="1"/>
    </row>
    <row r="1756" spans="1:5" x14ac:dyDescent="0.25">
      <c r="A1756" s="1"/>
      <c r="B1756" s="1"/>
      <c r="C1756" s="1"/>
      <c r="D1756" s="3"/>
      <c r="E1756" s="1"/>
    </row>
    <row r="1757" spans="1:5" x14ac:dyDescent="0.25">
      <c r="A1757" s="1"/>
      <c r="B1757" s="1"/>
      <c r="C1757" s="1"/>
      <c r="D1757" s="3"/>
      <c r="E1757" s="1"/>
    </row>
    <row r="1758" spans="1:5" x14ac:dyDescent="0.25">
      <c r="A1758" s="1"/>
      <c r="B1758" s="1"/>
      <c r="C1758" s="1"/>
      <c r="D1758" s="3"/>
      <c r="E1758" s="1"/>
    </row>
    <row r="1759" spans="1:5" x14ac:dyDescent="0.25">
      <c r="A1759" s="1"/>
      <c r="B1759" s="1"/>
      <c r="C1759" s="1"/>
      <c r="D1759" s="3"/>
      <c r="E1759" s="1"/>
    </row>
    <row r="1760" spans="1:5" x14ac:dyDescent="0.25">
      <c r="A1760" s="1"/>
      <c r="B1760" s="1"/>
      <c r="C1760" s="1"/>
      <c r="D1760" s="3"/>
      <c r="E1760" s="1"/>
    </row>
    <row r="1761" spans="1:5" x14ac:dyDescent="0.25">
      <c r="A1761" s="1"/>
      <c r="B1761" s="1"/>
      <c r="C1761" s="1"/>
      <c r="D1761" s="3"/>
      <c r="E1761" s="1"/>
    </row>
    <row r="1762" spans="1:5" x14ac:dyDescent="0.25">
      <c r="A1762" s="1"/>
      <c r="B1762" s="1"/>
      <c r="C1762" s="1"/>
      <c r="D1762" s="3"/>
      <c r="E1762" s="1"/>
    </row>
    <row r="1763" spans="1:5" x14ac:dyDescent="0.25">
      <c r="A1763" s="1"/>
      <c r="B1763" s="1"/>
      <c r="C1763" s="1"/>
      <c r="D1763" s="3"/>
      <c r="E1763" s="1"/>
    </row>
    <row r="1764" spans="1:5" x14ac:dyDescent="0.25">
      <c r="A1764" s="1"/>
      <c r="B1764" s="1"/>
      <c r="C1764" s="1"/>
      <c r="D1764" s="3"/>
      <c r="E1764" s="1"/>
    </row>
    <row r="1765" spans="1:5" x14ac:dyDescent="0.25">
      <c r="A1765" s="1"/>
      <c r="B1765" s="1"/>
      <c r="C1765" s="1"/>
      <c r="D1765" s="3"/>
      <c r="E1765" s="1"/>
    </row>
    <row r="1766" spans="1:5" x14ac:dyDescent="0.25">
      <c r="A1766" s="1"/>
      <c r="B1766" s="1"/>
      <c r="C1766" s="1"/>
      <c r="D1766" s="3"/>
      <c r="E1766" s="1"/>
    </row>
    <row r="1767" spans="1:5" x14ac:dyDescent="0.25">
      <c r="A1767" s="1"/>
      <c r="B1767" s="1"/>
      <c r="C1767" s="1"/>
      <c r="D1767" s="3"/>
      <c r="E1767" s="1"/>
    </row>
    <row r="1768" spans="1:5" x14ac:dyDescent="0.25">
      <c r="A1768" s="1"/>
      <c r="B1768" s="1"/>
      <c r="C1768" s="1"/>
      <c r="D1768" s="3"/>
      <c r="E1768" s="1"/>
    </row>
    <row r="1769" spans="1:5" x14ac:dyDescent="0.25">
      <c r="A1769" s="1"/>
      <c r="B1769" s="1"/>
      <c r="C1769" s="1"/>
      <c r="D1769" s="3"/>
      <c r="E1769" s="1"/>
    </row>
    <row r="1770" spans="1:5" x14ac:dyDescent="0.25">
      <c r="A1770" s="1"/>
      <c r="B1770" s="1"/>
      <c r="C1770" s="1"/>
      <c r="D1770" s="3"/>
      <c r="E1770" s="1"/>
    </row>
    <row r="1771" spans="1:5" x14ac:dyDescent="0.25">
      <c r="A1771" s="1"/>
      <c r="B1771" s="1"/>
      <c r="C1771" s="1"/>
      <c r="D1771" s="3"/>
      <c r="E1771" s="1"/>
    </row>
    <row r="1772" spans="1:5" x14ac:dyDescent="0.25">
      <c r="A1772" s="1"/>
      <c r="B1772" s="1"/>
      <c r="C1772" s="1"/>
      <c r="D1772" s="3"/>
      <c r="E1772" s="1"/>
    </row>
    <row r="1773" spans="1:5" x14ac:dyDescent="0.25">
      <c r="A1773" s="1"/>
      <c r="B1773" s="1"/>
      <c r="C1773" s="1"/>
      <c r="D1773" s="3"/>
      <c r="E1773" s="1"/>
    </row>
    <row r="1774" spans="1:5" x14ac:dyDescent="0.25">
      <c r="A1774" s="1"/>
      <c r="B1774" s="1"/>
      <c r="C1774" s="1"/>
      <c r="D1774" s="3"/>
      <c r="E1774" s="1"/>
    </row>
    <row r="1775" spans="1:5" x14ac:dyDescent="0.25">
      <c r="A1775" s="1"/>
      <c r="B1775" s="1"/>
      <c r="C1775" s="1"/>
      <c r="D1775" s="3"/>
      <c r="E1775" s="1"/>
    </row>
    <row r="1776" spans="1:5" x14ac:dyDescent="0.25">
      <c r="A1776" s="1"/>
      <c r="B1776" s="1"/>
      <c r="C1776" s="1"/>
      <c r="D1776" s="3"/>
      <c r="E1776" s="1"/>
    </row>
    <row r="1777" spans="1:5" x14ac:dyDescent="0.25">
      <c r="A1777" s="1"/>
      <c r="B1777" s="1"/>
      <c r="C1777" s="1"/>
      <c r="D1777" s="3"/>
      <c r="E1777" s="1"/>
    </row>
    <row r="1778" spans="1:5" x14ac:dyDescent="0.25">
      <c r="A1778" s="1"/>
      <c r="B1778" s="1"/>
      <c r="C1778" s="1"/>
      <c r="D1778" s="3"/>
      <c r="E1778" s="1"/>
    </row>
    <row r="1779" spans="1:5" x14ac:dyDescent="0.25">
      <c r="A1779" s="1"/>
      <c r="B1779" s="1"/>
      <c r="C1779" s="1"/>
      <c r="D1779" s="3"/>
      <c r="E1779" s="1"/>
    </row>
    <row r="1780" spans="1:5" x14ac:dyDescent="0.25">
      <c r="A1780" s="1"/>
      <c r="B1780" s="1"/>
      <c r="C1780" s="1"/>
      <c r="D1780" s="3"/>
      <c r="E1780" s="1"/>
    </row>
    <row r="1781" spans="1:5" x14ac:dyDescent="0.25">
      <c r="A1781" s="1"/>
      <c r="B1781" s="1"/>
      <c r="C1781" s="1"/>
      <c r="D1781" s="3"/>
      <c r="E1781" s="1"/>
    </row>
    <row r="1782" spans="1:5" x14ac:dyDescent="0.25">
      <c r="A1782" s="1"/>
      <c r="B1782" s="1"/>
      <c r="C1782" s="1"/>
      <c r="D1782" s="3"/>
      <c r="E1782" s="1"/>
    </row>
    <row r="1783" spans="1:5" x14ac:dyDescent="0.25">
      <c r="A1783" s="1"/>
      <c r="B1783" s="1"/>
      <c r="C1783" s="1"/>
      <c r="D1783" s="3"/>
      <c r="E1783" s="1"/>
    </row>
    <row r="1784" spans="1:5" x14ac:dyDescent="0.25">
      <c r="A1784" s="1"/>
      <c r="B1784" s="1"/>
      <c r="C1784" s="1"/>
      <c r="D1784" s="3"/>
      <c r="E1784" s="1"/>
    </row>
    <row r="1785" spans="1:5" x14ac:dyDescent="0.25">
      <c r="A1785" s="1"/>
      <c r="B1785" s="1"/>
      <c r="C1785" s="1"/>
      <c r="D1785" s="3"/>
      <c r="E1785" s="1"/>
    </row>
    <row r="1786" spans="1:5" x14ac:dyDescent="0.25">
      <c r="A1786" s="1"/>
      <c r="B1786" s="1"/>
      <c r="C1786" s="1"/>
      <c r="D1786" s="3"/>
      <c r="E1786" s="1"/>
    </row>
    <row r="1787" spans="1:5" x14ac:dyDescent="0.25">
      <c r="A1787" s="1"/>
      <c r="B1787" s="1"/>
      <c r="C1787" s="1"/>
      <c r="D1787" s="3"/>
      <c r="E1787" s="1"/>
    </row>
    <row r="1788" spans="1:5" x14ac:dyDescent="0.25">
      <c r="A1788" s="1"/>
      <c r="B1788" s="1"/>
      <c r="C1788" s="1"/>
      <c r="D1788" s="3"/>
      <c r="E1788" s="1"/>
    </row>
    <row r="1789" spans="1:5" x14ac:dyDescent="0.25">
      <c r="A1789" s="1"/>
      <c r="B1789" s="1"/>
      <c r="C1789" s="1"/>
      <c r="D1789" s="3"/>
      <c r="E1789" s="1"/>
    </row>
    <row r="1790" spans="1:5" x14ac:dyDescent="0.25">
      <c r="A1790" s="1"/>
      <c r="B1790" s="1"/>
      <c r="C1790" s="1"/>
      <c r="D1790" s="3"/>
      <c r="E1790" s="1"/>
    </row>
    <row r="1791" spans="1:5" x14ac:dyDescent="0.25">
      <c r="A1791" s="1"/>
      <c r="B1791" s="1"/>
      <c r="C1791" s="1"/>
      <c r="D1791" s="3"/>
      <c r="E1791" s="1"/>
    </row>
    <row r="1792" spans="1:5" x14ac:dyDescent="0.25">
      <c r="A1792" s="1"/>
      <c r="B1792" s="1"/>
      <c r="C1792" s="1"/>
      <c r="D1792" s="3"/>
      <c r="E1792" s="1"/>
    </row>
    <row r="1793" spans="1:5" x14ac:dyDescent="0.25">
      <c r="A1793" s="1"/>
      <c r="B1793" s="1"/>
      <c r="C1793" s="1"/>
      <c r="D1793" s="3"/>
      <c r="E1793" s="1"/>
    </row>
    <row r="1794" spans="1:5" x14ac:dyDescent="0.25">
      <c r="A1794" s="1"/>
      <c r="B1794" s="1"/>
      <c r="C1794" s="1"/>
      <c r="D1794" s="3"/>
      <c r="E1794" s="1"/>
    </row>
    <row r="1795" spans="1:5" x14ac:dyDescent="0.25">
      <c r="A1795" s="1"/>
      <c r="B1795" s="1"/>
      <c r="C1795" s="1"/>
      <c r="D1795" s="3"/>
      <c r="E1795" s="1"/>
    </row>
    <row r="1796" spans="1:5" x14ac:dyDescent="0.25">
      <c r="A1796" s="1"/>
      <c r="B1796" s="1"/>
      <c r="C1796" s="1"/>
      <c r="D1796" s="3"/>
      <c r="E1796" s="1"/>
    </row>
    <row r="1797" spans="1:5" x14ac:dyDescent="0.25">
      <c r="A1797" s="1"/>
      <c r="B1797" s="1"/>
      <c r="C1797" s="1"/>
      <c r="D1797" s="3"/>
      <c r="E1797" s="1"/>
    </row>
    <row r="1798" spans="1:5" x14ac:dyDescent="0.25">
      <c r="A1798" s="1"/>
      <c r="B1798" s="1"/>
      <c r="C1798" s="1"/>
      <c r="D1798" s="3"/>
      <c r="E1798" s="1"/>
    </row>
    <row r="1799" spans="1:5" x14ac:dyDescent="0.25">
      <c r="A1799" s="1"/>
      <c r="B1799" s="1"/>
      <c r="C1799" s="1"/>
      <c r="D1799" s="3"/>
      <c r="E1799" s="1"/>
    </row>
    <row r="1800" spans="1:5" x14ac:dyDescent="0.25">
      <c r="A1800" s="1"/>
      <c r="B1800" s="1"/>
      <c r="C1800" s="1"/>
      <c r="D1800" s="3"/>
      <c r="E1800" s="1"/>
    </row>
    <row r="1801" spans="1:5" x14ac:dyDescent="0.25">
      <c r="A1801" s="1"/>
      <c r="B1801" s="1"/>
      <c r="C1801" s="1"/>
      <c r="D1801" s="3"/>
      <c r="E1801" s="1"/>
    </row>
    <row r="1802" spans="1:5" x14ac:dyDescent="0.25">
      <c r="A1802" s="1"/>
      <c r="B1802" s="1"/>
      <c r="C1802" s="1"/>
      <c r="D1802" s="3"/>
      <c r="E1802" s="1"/>
    </row>
    <row r="1803" spans="1:5" x14ac:dyDescent="0.25">
      <c r="A1803" s="1"/>
      <c r="B1803" s="1"/>
      <c r="C1803" s="1"/>
      <c r="D1803" s="3"/>
      <c r="E1803" s="1"/>
    </row>
    <row r="1804" spans="1:5" x14ac:dyDescent="0.25">
      <c r="A1804" s="1"/>
      <c r="B1804" s="1"/>
      <c r="C1804" s="1"/>
      <c r="D1804" s="3"/>
      <c r="E1804" s="1"/>
    </row>
    <row r="1805" spans="1:5" x14ac:dyDescent="0.25">
      <c r="A1805" s="1"/>
      <c r="B1805" s="1"/>
      <c r="C1805" s="1"/>
      <c r="D1805" s="3"/>
      <c r="E1805" s="1"/>
    </row>
    <row r="1806" spans="1:5" x14ac:dyDescent="0.25">
      <c r="A1806" s="1"/>
      <c r="B1806" s="1"/>
      <c r="C1806" s="1"/>
      <c r="D1806" s="3"/>
      <c r="E1806" s="1"/>
    </row>
    <row r="1807" spans="1:5" x14ac:dyDescent="0.25">
      <c r="A1807" s="1"/>
      <c r="B1807" s="1"/>
      <c r="C1807" s="1"/>
      <c r="D1807" s="3"/>
      <c r="E1807" s="1"/>
    </row>
    <row r="1808" spans="1:5" x14ac:dyDescent="0.25">
      <c r="A1808" s="1"/>
      <c r="B1808" s="1"/>
      <c r="C1808" s="1"/>
      <c r="D1808" s="3"/>
      <c r="E1808" s="1"/>
    </row>
    <row r="1809" spans="1:5" x14ac:dyDescent="0.25">
      <c r="A1809" s="1"/>
      <c r="B1809" s="1"/>
      <c r="C1809" s="1"/>
      <c r="D1809" s="3"/>
      <c r="E1809" s="1"/>
    </row>
    <row r="1810" spans="1:5" x14ac:dyDescent="0.25">
      <c r="A1810" s="1"/>
      <c r="B1810" s="1"/>
      <c r="C1810" s="1"/>
      <c r="D1810" s="3"/>
      <c r="E1810" s="1"/>
    </row>
    <row r="1811" spans="1:5" x14ac:dyDescent="0.25">
      <c r="A1811" s="1"/>
      <c r="B1811" s="1"/>
      <c r="C1811" s="1"/>
      <c r="D1811" s="3"/>
      <c r="E1811" s="1"/>
    </row>
    <row r="1812" spans="1:5" x14ac:dyDescent="0.25">
      <c r="A1812" s="1"/>
      <c r="B1812" s="1"/>
      <c r="C1812" s="1"/>
      <c r="D1812" s="3"/>
      <c r="E1812" s="1"/>
    </row>
    <row r="1813" spans="1:5" x14ac:dyDescent="0.25">
      <c r="A1813" s="1"/>
      <c r="B1813" s="1"/>
      <c r="C1813" s="1"/>
      <c r="D1813" s="3"/>
      <c r="E1813" s="1"/>
    </row>
    <row r="1814" spans="1:5" x14ac:dyDescent="0.25">
      <c r="A1814" s="1"/>
      <c r="B1814" s="1"/>
      <c r="C1814" s="1"/>
      <c r="D1814" s="3"/>
      <c r="E1814" s="1"/>
    </row>
    <row r="1815" spans="1:5" x14ac:dyDescent="0.25">
      <c r="A1815" s="1"/>
      <c r="B1815" s="1"/>
      <c r="C1815" s="1"/>
      <c r="D1815" s="3"/>
      <c r="E1815" s="1"/>
    </row>
    <row r="1816" spans="1:5" x14ac:dyDescent="0.25">
      <c r="A1816" s="1"/>
      <c r="B1816" s="1"/>
      <c r="C1816" s="1"/>
      <c r="D1816" s="3"/>
      <c r="E1816" s="1"/>
    </row>
    <row r="1817" spans="1:5" x14ac:dyDescent="0.25">
      <c r="A1817" s="1"/>
      <c r="B1817" s="1"/>
      <c r="C1817" s="1"/>
      <c r="D1817" s="3"/>
      <c r="E1817" s="1"/>
    </row>
    <row r="1818" spans="1:5" x14ac:dyDescent="0.25">
      <c r="A1818" s="1"/>
      <c r="B1818" s="1"/>
      <c r="C1818" s="1"/>
      <c r="D1818" s="3"/>
      <c r="E1818" s="1"/>
    </row>
    <row r="1819" spans="1:5" x14ac:dyDescent="0.25">
      <c r="A1819" s="1"/>
      <c r="B1819" s="1"/>
      <c r="C1819" s="1"/>
      <c r="D1819" s="3"/>
      <c r="E1819" s="1"/>
    </row>
    <row r="1820" spans="1:5" x14ac:dyDescent="0.25">
      <c r="A1820" s="1"/>
      <c r="B1820" s="1"/>
      <c r="C1820" s="1"/>
      <c r="D1820" s="3"/>
      <c r="E1820" s="1"/>
    </row>
    <row r="1821" spans="1:5" x14ac:dyDescent="0.25">
      <c r="A1821" s="1"/>
      <c r="B1821" s="1"/>
      <c r="C1821" s="1"/>
      <c r="D1821" s="3"/>
      <c r="E1821" s="1"/>
    </row>
    <row r="1822" spans="1:5" x14ac:dyDescent="0.25">
      <c r="A1822" s="1"/>
      <c r="B1822" s="1"/>
      <c r="C1822" s="1"/>
      <c r="D1822" s="3"/>
      <c r="E1822" s="1"/>
    </row>
    <row r="1823" spans="1:5" x14ac:dyDescent="0.25">
      <c r="A1823" s="1"/>
      <c r="B1823" s="1"/>
      <c r="C1823" s="1"/>
      <c r="D1823" s="3"/>
      <c r="E1823" s="1"/>
    </row>
    <row r="1824" spans="1:5" x14ac:dyDescent="0.25">
      <c r="A1824" s="1"/>
      <c r="B1824" s="1"/>
      <c r="C1824" s="1"/>
      <c r="D1824" s="3"/>
      <c r="E1824" s="1"/>
    </row>
    <row r="1825" spans="1:5" x14ac:dyDescent="0.25">
      <c r="A1825" s="1"/>
      <c r="B1825" s="1"/>
      <c r="C1825" s="1"/>
      <c r="D1825" s="3"/>
      <c r="E1825" s="1"/>
    </row>
    <row r="1826" spans="1:5" x14ac:dyDescent="0.25">
      <c r="A1826" s="1"/>
      <c r="B1826" s="1"/>
      <c r="C1826" s="1"/>
      <c r="D1826" s="3"/>
      <c r="E1826" s="1"/>
    </row>
    <row r="1827" spans="1:5" x14ac:dyDescent="0.25">
      <c r="A1827" s="1"/>
      <c r="B1827" s="1"/>
      <c r="C1827" s="1"/>
      <c r="D1827" s="3"/>
      <c r="E1827" s="1"/>
    </row>
    <row r="1828" spans="1:5" x14ac:dyDescent="0.25">
      <c r="A1828" s="1"/>
      <c r="B1828" s="1"/>
      <c r="C1828" s="1"/>
      <c r="D1828" s="3"/>
      <c r="E1828" s="1"/>
    </row>
    <row r="1829" spans="1:5" x14ac:dyDescent="0.25">
      <c r="A1829" s="1"/>
      <c r="B1829" s="1"/>
      <c r="C1829" s="1"/>
      <c r="D1829" s="3"/>
      <c r="E1829" s="1"/>
    </row>
    <row r="1830" spans="1:5" x14ac:dyDescent="0.25">
      <c r="A1830" s="1"/>
      <c r="B1830" s="1"/>
      <c r="C1830" s="1"/>
      <c r="D1830" s="3"/>
      <c r="E1830" s="1"/>
    </row>
    <row r="1831" spans="1:5" x14ac:dyDescent="0.25">
      <c r="A1831" s="1"/>
      <c r="B1831" s="1"/>
      <c r="C1831" s="1"/>
      <c r="D1831" s="3"/>
      <c r="E1831" s="1"/>
    </row>
    <row r="1832" spans="1:5" x14ac:dyDescent="0.25">
      <c r="A1832" s="1"/>
      <c r="B1832" s="1"/>
      <c r="C1832" s="1"/>
      <c r="D1832" s="3"/>
      <c r="E1832" s="1"/>
    </row>
    <row r="1833" spans="1:5" x14ac:dyDescent="0.25">
      <c r="A1833" s="1"/>
      <c r="B1833" s="1"/>
      <c r="C1833" s="1"/>
      <c r="D1833" s="3"/>
      <c r="E1833" s="1"/>
    </row>
    <row r="1834" spans="1:5" x14ac:dyDescent="0.25">
      <c r="A1834" s="1"/>
      <c r="B1834" s="1"/>
      <c r="C1834" s="1"/>
      <c r="D1834" s="3"/>
      <c r="E1834" s="1"/>
    </row>
    <row r="1835" spans="1:5" x14ac:dyDescent="0.25">
      <c r="A1835" s="1"/>
      <c r="B1835" s="1"/>
      <c r="C1835" s="1"/>
      <c r="D1835" s="3"/>
      <c r="E1835" s="1"/>
    </row>
    <row r="1836" spans="1:5" x14ac:dyDescent="0.25">
      <c r="A1836" s="1"/>
      <c r="B1836" s="1"/>
      <c r="C1836" s="1"/>
      <c r="D1836" s="3"/>
      <c r="E1836" s="1"/>
    </row>
    <row r="1837" spans="1:5" x14ac:dyDescent="0.25">
      <c r="A1837" s="1"/>
      <c r="B1837" s="1"/>
      <c r="C1837" s="1"/>
      <c r="D1837" s="3"/>
      <c r="E1837" s="1"/>
    </row>
    <row r="1838" spans="1:5" x14ac:dyDescent="0.25">
      <c r="A1838" s="1"/>
      <c r="B1838" s="1"/>
      <c r="C1838" s="1"/>
      <c r="D1838" s="3"/>
      <c r="E1838" s="1"/>
    </row>
    <row r="1839" spans="1:5" x14ac:dyDescent="0.25">
      <c r="A1839" s="1"/>
      <c r="B1839" s="1"/>
      <c r="C1839" s="1"/>
      <c r="D1839" s="3"/>
      <c r="E1839" s="1"/>
    </row>
    <row r="1840" spans="1:5" x14ac:dyDescent="0.25">
      <c r="A1840" s="1"/>
      <c r="B1840" s="1"/>
      <c r="C1840" s="1"/>
      <c r="D1840" s="3"/>
      <c r="E1840" s="1"/>
    </row>
    <row r="1841" spans="1:5" x14ac:dyDescent="0.25">
      <c r="A1841" s="1"/>
      <c r="B1841" s="1"/>
      <c r="C1841" s="1"/>
      <c r="D1841" s="3"/>
      <c r="E1841" s="1"/>
    </row>
    <row r="1842" spans="1:5" x14ac:dyDescent="0.25">
      <c r="A1842" s="1"/>
      <c r="B1842" s="1"/>
      <c r="C1842" s="1"/>
      <c r="D1842" s="3"/>
      <c r="E1842" s="1"/>
    </row>
    <row r="1843" spans="1:5" x14ac:dyDescent="0.25">
      <c r="A1843" s="1"/>
      <c r="B1843" s="1"/>
      <c r="C1843" s="1"/>
      <c r="D1843" s="3"/>
      <c r="E1843" s="1"/>
    </row>
    <row r="1844" spans="1:5" x14ac:dyDescent="0.25">
      <c r="A1844" s="1"/>
      <c r="B1844" s="1"/>
      <c r="C1844" s="1"/>
      <c r="D1844" s="3"/>
      <c r="E1844" s="1"/>
    </row>
    <row r="1845" spans="1:5" x14ac:dyDescent="0.25">
      <c r="A1845" s="1"/>
      <c r="B1845" s="1"/>
      <c r="C1845" s="1"/>
      <c r="D1845" s="3"/>
      <c r="E1845" s="1"/>
    </row>
    <row r="1846" spans="1:5" x14ac:dyDescent="0.25">
      <c r="A1846" s="1"/>
      <c r="B1846" s="1"/>
      <c r="C1846" s="1"/>
      <c r="D1846" s="3"/>
      <c r="E1846" s="1"/>
    </row>
    <row r="1847" spans="1:5" x14ac:dyDescent="0.25">
      <c r="A1847" s="1"/>
      <c r="B1847" s="1"/>
      <c r="C1847" s="1"/>
      <c r="D1847" s="3"/>
      <c r="E1847" s="1"/>
    </row>
    <row r="1848" spans="1:5" x14ac:dyDescent="0.25">
      <c r="A1848" s="1"/>
      <c r="B1848" s="1"/>
      <c r="C1848" s="1"/>
      <c r="D1848" s="3"/>
      <c r="E1848" s="1"/>
    </row>
    <row r="1849" spans="1:5" x14ac:dyDescent="0.25">
      <c r="A1849" s="1"/>
      <c r="B1849" s="1"/>
      <c r="C1849" s="1"/>
      <c r="D1849" s="3"/>
      <c r="E1849" s="1"/>
    </row>
    <row r="1850" spans="1:5" x14ac:dyDescent="0.25">
      <c r="A1850" s="1"/>
      <c r="B1850" s="1"/>
      <c r="C1850" s="1"/>
      <c r="D1850" s="3"/>
      <c r="E1850" s="1"/>
    </row>
    <row r="1851" spans="1:5" x14ac:dyDescent="0.25">
      <c r="A1851" s="1"/>
      <c r="B1851" s="1"/>
      <c r="C1851" s="1"/>
      <c r="D1851" s="3"/>
      <c r="E1851" s="1"/>
    </row>
    <row r="1852" spans="1:5" x14ac:dyDescent="0.25">
      <c r="A1852" s="1"/>
      <c r="B1852" s="1"/>
      <c r="C1852" s="1"/>
      <c r="D1852" s="3"/>
      <c r="E1852" s="1"/>
    </row>
    <row r="1853" spans="1:5" x14ac:dyDescent="0.25">
      <c r="A1853" s="1"/>
      <c r="B1853" s="1"/>
      <c r="C1853" s="1"/>
      <c r="D1853" s="3"/>
      <c r="E1853" s="1"/>
    </row>
    <row r="1854" spans="1:5" x14ac:dyDescent="0.25">
      <c r="A1854" s="1"/>
      <c r="B1854" s="1"/>
      <c r="C1854" s="1"/>
      <c r="D1854" s="3"/>
      <c r="E1854" s="1"/>
    </row>
    <row r="1855" spans="1:5" x14ac:dyDescent="0.25">
      <c r="A1855" s="1"/>
      <c r="B1855" s="1"/>
      <c r="C1855" s="1"/>
      <c r="D1855" s="3"/>
      <c r="E1855" s="1"/>
    </row>
    <row r="1856" spans="1:5" x14ac:dyDescent="0.25">
      <c r="A1856" s="1"/>
      <c r="B1856" s="1"/>
      <c r="C1856" s="1"/>
      <c r="D1856" s="3"/>
      <c r="E1856" s="1"/>
    </row>
    <row r="1857" spans="1:5" x14ac:dyDescent="0.25">
      <c r="A1857" s="1"/>
      <c r="B1857" s="1"/>
      <c r="C1857" s="1"/>
      <c r="D1857" s="3"/>
      <c r="E1857" s="1"/>
    </row>
    <row r="1858" spans="1:5" x14ac:dyDescent="0.25">
      <c r="A1858" s="1"/>
      <c r="B1858" s="1"/>
      <c r="C1858" s="1"/>
      <c r="D1858" s="3"/>
      <c r="E1858" s="1"/>
    </row>
    <row r="1859" spans="1:5" x14ac:dyDescent="0.25">
      <c r="A1859" s="1"/>
      <c r="B1859" s="1"/>
      <c r="C1859" s="1"/>
      <c r="D1859" s="3"/>
      <c r="E1859" s="1"/>
    </row>
    <row r="1860" spans="1:5" x14ac:dyDescent="0.25">
      <c r="A1860" s="1"/>
      <c r="B1860" s="1"/>
      <c r="C1860" s="1"/>
      <c r="D1860" s="3"/>
      <c r="E1860" s="1"/>
    </row>
    <row r="1861" spans="1:5" x14ac:dyDescent="0.25">
      <c r="A1861" s="1"/>
      <c r="B1861" s="1"/>
      <c r="C1861" s="1"/>
      <c r="D1861" s="3"/>
      <c r="E1861" s="1"/>
    </row>
    <row r="1862" spans="1:5" x14ac:dyDescent="0.25">
      <c r="A1862" s="1"/>
      <c r="B1862" s="1"/>
      <c r="C1862" s="1"/>
      <c r="D1862" s="3"/>
      <c r="E1862" s="1"/>
    </row>
    <row r="1863" spans="1:5" x14ac:dyDescent="0.25">
      <c r="A1863" s="1"/>
      <c r="B1863" s="1"/>
      <c r="C1863" s="1"/>
      <c r="D1863" s="3"/>
      <c r="E1863" s="1"/>
    </row>
    <row r="1864" spans="1:5" x14ac:dyDescent="0.25">
      <c r="A1864" s="1"/>
      <c r="B1864" s="1"/>
      <c r="C1864" s="1"/>
      <c r="D1864" s="3"/>
      <c r="E1864" s="1"/>
    </row>
    <row r="1865" spans="1:5" x14ac:dyDescent="0.25">
      <c r="A1865" s="1"/>
      <c r="B1865" s="1"/>
      <c r="C1865" s="1"/>
      <c r="D1865" s="3"/>
      <c r="E1865" s="1"/>
    </row>
    <row r="1866" spans="1:5" x14ac:dyDescent="0.25">
      <c r="A1866" s="1"/>
      <c r="B1866" s="1"/>
      <c r="C1866" s="1"/>
      <c r="D1866" s="3"/>
      <c r="E1866" s="1"/>
    </row>
    <row r="1867" spans="1:5" x14ac:dyDescent="0.25">
      <c r="A1867" s="1"/>
      <c r="B1867" s="1"/>
      <c r="C1867" s="1"/>
      <c r="D1867" s="3"/>
      <c r="E1867" s="1"/>
    </row>
    <row r="1868" spans="1:5" x14ac:dyDescent="0.25">
      <c r="A1868" s="1"/>
      <c r="B1868" s="1"/>
      <c r="C1868" s="1"/>
      <c r="D1868" s="3"/>
      <c r="E1868" s="1"/>
    </row>
    <row r="1869" spans="1:5" x14ac:dyDescent="0.25">
      <c r="A1869" s="1"/>
      <c r="B1869" s="1"/>
      <c r="C1869" s="1"/>
      <c r="D1869" s="3"/>
      <c r="E1869" s="1"/>
    </row>
    <row r="1870" spans="1:5" x14ac:dyDescent="0.25">
      <c r="A1870" s="1"/>
      <c r="B1870" s="1"/>
      <c r="C1870" s="1"/>
      <c r="D1870" s="3"/>
      <c r="E1870" s="1"/>
    </row>
    <row r="1871" spans="1:5" x14ac:dyDescent="0.25">
      <c r="A1871" s="1"/>
      <c r="B1871" s="1"/>
      <c r="C1871" s="1"/>
      <c r="D1871" s="3"/>
      <c r="E1871" s="1"/>
    </row>
    <row r="1872" spans="1:5" x14ac:dyDescent="0.25">
      <c r="A1872" s="1"/>
      <c r="B1872" s="1"/>
      <c r="C1872" s="1"/>
      <c r="D1872" s="3"/>
      <c r="E1872" s="1"/>
    </row>
    <row r="1873" spans="1:5" x14ac:dyDescent="0.25">
      <c r="A1873" s="1"/>
      <c r="B1873" s="1"/>
      <c r="C1873" s="1"/>
      <c r="D1873" s="3"/>
      <c r="E1873" s="1"/>
    </row>
    <row r="1874" spans="1:5" x14ac:dyDescent="0.25">
      <c r="A1874" s="1"/>
      <c r="B1874" s="1"/>
      <c r="C1874" s="1"/>
      <c r="D1874" s="3"/>
      <c r="E1874" s="1"/>
    </row>
    <row r="1875" spans="1:5" x14ac:dyDescent="0.25">
      <c r="A1875" s="1"/>
      <c r="B1875" s="1"/>
      <c r="C1875" s="1"/>
      <c r="D1875" s="3"/>
      <c r="E1875" s="1"/>
    </row>
    <row r="1876" spans="1:5" x14ac:dyDescent="0.25">
      <c r="A1876" s="1"/>
      <c r="B1876" s="1"/>
      <c r="C1876" s="1"/>
      <c r="D1876" s="3"/>
      <c r="E1876" s="1"/>
    </row>
    <row r="1877" spans="1:5" x14ac:dyDescent="0.25">
      <c r="A1877" s="1"/>
      <c r="B1877" s="1"/>
      <c r="C1877" s="1"/>
      <c r="D1877" s="3"/>
      <c r="E1877" s="1"/>
    </row>
    <row r="1878" spans="1:5" x14ac:dyDescent="0.25">
      <c r="A1878" s="1"/>
      <c r="B1878" s="1"/>
      <c r="C1878" s="1"/>
      <c r="D1878" s="3"/>
      <c r="E1878" s="1"/>
    </row>
    <row r="1879" spans="1:5" x14ac:dyDescent="0.25">
      <c r="A1879" s="1"/>
      <c r="B1879" s="1"/>
      <c r="C1879" s="1"/>
      <c r="D1879" s="3"/>
      <c r="E1879" s="1"/>
    </row>
    <row r="1880" spans="1:5" x14ac:dyDescent="0.25">
      <c r="A1880" s="1"/>
      <c r="B1880" s="1"/>
      <c r="C1880" s="1"/>
      <c r="D1880" s="3"/>
      <c r="E1880" s="1"/>
    </row>
    <row r="1881" spans="1:5" x14ac:dyDescent="0.25">
      <c r="A1881" s="1"/>
      <c r="B1881" s="1"/>
      <c r="C1881" s="1"/>
      <c r="D1881" s="3"/>
      <c r="E1881" s="1"/>
    </row>
    <row r="1882" spans="1:5" x14ac:dyDescent="0.25">
      <c r="A1882" s="1"/>
      <c r="B1882" s="1"/>
      <c r="C1882" s="1"/>
      <c r="D1882" s="3"/>
      <c r="E1882" s="1"/>
    </row>
    <row r="1883" spans="1:5" x14ac:dyDescent="0.25">
      <c r="A1883" s="1"/>
      <c r="B1883" s="1"/>
      <c r="C1883" s="1"/>
      <c r="D1883" s="3"/>
      <c r="E1883" s="1"/>
    </row>
    <row r="1884" spans="1:5" x14ac:dyDescent="0.25">
      <c r="A1884" s="1"/>
      <c r="B1884" s="1"/>
      <c r="C1884" s="1"/>
      <c r="D1884" s="3"/>
      <c r="E1884" s="1"/>
    </row>
    <row r="1885" spans="1:5" x14ac:dyDescent="0.25">
      <c r="A1885" s="1"/>
      <c r="B1885" s="1"/>
      <c r="C1885" s="1"/>
      <c r="D1885" s="3"/>
      <c r="E1885" s="1"/>
    </row>
    <row r="1886" spans="1:5" x14ac:dyDescent="0.25">
      <c r="A1886" s="1"/>
      <c r="B1886" s="1"/>
      <c r="C1886" s="1"/>
      <c r="D1886" s="3"/>
      <c r="E1886" s="1"/>
    </row>
    <row r="1887" spans="1:5" x14ac:dyDescent="0.25">
      <c r="A1887" s="1"/>
      <c r="B1887" s="1"/>
      <c r="C1887" s="1"/>
      <c r="D1887" s="3"/>
      <c r="E1887" s="1"/>
    </row>
    <row r="1888" spans="1:5" x14ac:dyDescent="0.25">
      <c r="A1888" s="1"/>
      <c r="B1888" s="1"/>
      <c r="C1888" s="1"/>
      <c r="D1888" s="3"/>
      <c r="E1888" s="1"/>
    </row>
    <row r="1889" spans="1:5" x14ac:dyDescent="0.25">
      <c r="A1889" s="1"/>
      <c r="B1889" s="1"/>
      <c r="C1889" s="1"/>
      <c r="D1889" s="3"/>
      <c r="E1889" s="1"/>
    </row>
    <row r="1890" spans="1:5" x14ac:dyDescent="0.25">
      <c r="A1890" s="1"/>
      <c r="B1890" s="1"/>
      <c r="C1890" s="1"/>
      <c r="D1890" s="3"/>
      <c r="E1890" s="1"/>
    </row>
    <row r="1891" spans="1:5" x14ac:dyDescent="0.25">
      <c r="A1891" s="1"/>
      <c r="B1891" s="1"/>
      <c r="C1891" s="1"/>
      <c r="D1891" s="3"/>
      <c r="E1891" s="1"/>
    </row>
    <row r="1892" spans="1:5" x14ac:dyDescent="0.25">
      <c r="A1892" s="1"/>
      <c r="B1892" s="1"/>
      <c r="C1892" s="1"/>
      <c r="D1892" s="3"/>
      <c r="E1892" s="1"/>
    </row>
    <row r="1893" spans="1:5" x14ac:dyDescent="0.25">
      <c r="A1893" s="1"/>
      <c r="B1893" s="1"/>
      <c r="C1893" s="1"/>
      <c r="D1893" s="3"/>
      <c r="E1893" s="1"/>
    </row>
    <row r="1894" spans="1:5" x14ac:dyDescent="0.25">
      <c r="A1894" s="1"/>
      <c r="B1894" s="1"/>
      <c r="C1894" s="1"/>
      <c r="D1894" s="3"/>
      <c r="E1894" s="1"/>
    </row>
    <row r="1895" spans="1:5" x14ac:dyDescent="0.25">
      <c r="A1895" s="1"/>
      <c r="B1895" s="1"/>
      <c r="C1895" s="1"/>
      <c r="D1895" s="3"/>
      <c r="E1895" s="1"/>
    </row>
    <row r="1896" spans="1:5" x14ac:dyDescent="0.25">
      <c r="A1896" s="1"/>
      <c r="B1896" s="1"/>
      <c r="C1896" s="1"/>
      <c r="D1896" s="3"/>
      <c r="E1896" s="1"/>
    </row>
    <row r="1897" spans="1:5" x14ac:dyDescent="0.25">
      <c r="A1897" s="1"/>
      <c r="B1897" s="1"/>
      <c r="C1897" s="1"/>
      <c r="D1897" s="3"/>
      <c r="E1897" s="1"/>
    </row>
    <row r="1898" spans="1:5" x14ac:dyDescent="0.25">
      <c r="A1898" s="1"/>
      <c r="B1898" s="1"/>
      <c r="C1898" s="1"/>
      <c r="D1898" s="3"/>
      <c r="E1898" s="1"/>
    </row>
    <row r="1899" spans="1:5" x14ac:dyDescent="0.25">
      <c r="A1899" s="1"/>
      <c r="B1899" s="1"/>
      <c r="C1899" s="1"/>
      <c r="D1899" s="3"/>
      <c r="E1899" s="1"/>
    </row>
    <row r="1900" spans="1:5" x14ac:dyDescent="0.25">
      <c r="A1900" s="1"/>
      <c r="B1900" s="1"/>
      <c r="C1900" s="1"/>
      <c r="D1900" s="3"/>
      <c r="E1900" s="1"/>
    </row>
    <row r="1901" spans="1:5" x14ac:dyDescent="0.25">
      <c r="A1901" s="1"/>
      <c r="B1901" s="1"/>
      <c r="C1901" s="1"/>
      <c r="D1901" s="3"/>
      <c r="E1901" s="1"/>
    </row>
    <row r="1902" spans="1:5" x14ac:dyDescent="0.25">
      <c r="A1902" s="1"/>
      <c r="B1902" s="1"/>
      <c r="C1902" s="1"/>
      <c r="D1902" s="3"/>
      <c r="E1902" s="1"/>
    </row>
    <row r="1903" spans="1:5" x14ac:dyDescent="0.25">
      <c r="A1903" s="1"/>
      <c r="B1903" s="1"/>
      <c r="C1903" s="1"/>
      <c r="D1903" s="3"/>
      <c r="E1903" s="1"/>
    </row>
    <row r="1904" spans="1:5" x14ac:dyDescent="0.25">
      <c r="A1904" s="1"/>
      <c r="B1904" s="1"/>
      <c r="C1904" s="1"/>
      <c r="D1904" s="3"/>
      <c r="E1904" s="1"/>
    </row>
    <row r="1905" spans="1:5" x14ac:dyDescent="0.25">
      <c r="A1905" s="1"/>
      <c r="B1905" s="1"/>
      <c r="C1905" s="1"/>
      <c r="D1905" s="3"/>
      <c r="E1905" s="1"/>
    </row>
    <row r="1906" spans="1:5" x14ac:dyDescent="0.25">
      <c r="A1906" s="1"/>
      <c r="B1906" s="1"/>
      <c r="C1906" s="1"/>
      <c r="D1906" s="3"/>
      <c r="E1906" s="1"/>
    </row>
    <row r="1907" spans="1:5" x14ac:dyDescent="0.25">
      <c r="A1907" s="1"/>
      <c r="B1907" s="1"/>
      <c r="C1907" s="1"/>
      <c r="D1907" s="3"/>
      <c r="E1907" s="1"/>
    </row>
    <row r="1908" spans="1:5" x14ac:dyDescent="0.25">
      <c r="A1908" s="1"/>
      <c r="B1908" s="1"/>
      <c r="C1908" s="1"/>
      <c r="D1908" s="3"/>
      <c r="E1908" s="1"/>
    </row>
    <row r="1909" spans="1:5" x14ac:dyDescent="0.25">
      <c r="A1909" s="1"/>
      <c r="B1909" s="1"/>
      <c r="C1909" s="1"/>
      <c r="D1909" s="3"/>
      <c r="E1909" s="1"/>
    </row>
    <row r="1910" spans="1:5" x14ac:dyDescent="0.25">
      <c r="A1910" s="1"/>
      <c r="B1910" s="1"/>
      <c r="C1910" s="1"/>
      <c r="D1910" s="3"/>
      <c r="E1910" s="1"/>
    </row>
    <row r="1911" spans="1:5" x14ac:dyDescent="0.25">
      <c r="A1911" s="1"/>
      <c r="B1911" s="1"/>
      <c r="C1911" s="1"/>
      <c r="D1911" s="3"/>
      <c r="E1911" s="1"/>
    </row>
    <row r="1912" spans="1:5" x14ac:dyDescent="0.25">
      <c r="A1912" s="1"/>
      <c r="B1912" s="1"/>
      <c r="C1912" s="1"/>
      <c r="D1912" s="3"/>
      <c r="E1912" s="1"/>
    </row>
    <row r="1913" spans="1:5" x14ac:dyDescent="0.25">
      <c r="A1913" s="1"/>
      <c r="B1913" s="1"/>
      <c r="C1913" s="1"/>
      <c r="D1913" s="3"/>
      <c r="E1913" s="1"/>
    </row>
    <row r="1914" spans="1:5" x14ac:dyDescent="0.25">
      <c r="A1914" s="1"/>
      <c r="B1914" s="1"/>
      <c r="C1914" s="1"/>
      <c r="D1914" s="3"/>
      <c r="E1914" s="1"/>
    </row>
    <row r="1915" spans="1:5" x14ac:dyDescent="0.25">
      <c r="A1915" s="1"/>
      <c r="B1915" s="1"/>
      <c r="C1915" s="1"/>
      <c r="D1915" s="3"/>
      <c r="E1915" s="1"/>
    </row>
    <row r="1916" spans="1:5" x14ac:dyDescent="0.25">
      <c r="A1916" s="1"/>
      <c r="B1916" s="1"/>
      <c r="C1916" s="1"/>
      <c r="D1916" s="3"/>
      <c r="E1916" s="1"/>
    </row>
    <row r="1917" spans="1:5" x14ac:dyDescent="0.25">
      <c r="A1917" s="1"/>
      <c r="B1917" s="1"/>
      <c r="C1917" s="1"/>
      <c r="D1917" s="3"/>
      <c r="E1917" s="1"/>
    </row>
    <row r="1918" spans="1:5" x14ac:dyDescent="0.25">
      <c r="A1918" s="1"/>
      <c r="B1918" s="1"/>
      <c r="C1918" s="1"/>
      <c r="D1918" s="3"/>
      <c r="E1918" s="1"/>
    </row>
    <row r="1919" spans="1:5" x14ac:dyDescent="0.25">
      <c r="A1919" s="1"/>
      <c r="B1919" s="1"/>
      <c r="C1919" s="1"/>
      <c r="D1919" s="3"/>
      <c r="E1919" s="1"/>
    </row>
    <row r="1920" spans="1:5" x14ac:dyDescent="0.25">
      <c r="A1920" s="1"/>
      <c r="B1920" s="1"/>
      <c r="C1920" s="1"/>
      <c r="D1920" s="3"/>
      <c r="E1920" s="1"/>
    </row>
    <row r="1921" spans="1:5" x14ac:dyDescent="0.25">
      <c r="A1921" s="1"/>
      <c r="B1921" s="1"/>
      <c r="C1921" s="1"/>
      <c r="D1921" s="3"/>
      <c r="E1921" s="1"/>
    </row>
    <row r="1922" spans="1:5" x14ac:dyDescent="0.25">
      <c r="A1922" s="1"/>
      <c r="B1922" s="1"/>
      <c r="C1922" s="1"/>
      <c r="D1922" s="3"/>
      <c r="E1922" s="1"/>
    </row>
    <row r="1923" spans="1:5" x14ac:dyDescent="0.25">
      <c r="A1923" s="1"/>
      <c r="B1923" s="1"/>
      <c r="C1923" s="1"/>
      <c r="D1923" s="3"/>
      <c r="E1923" s="1"/>
    </row>
    <row r="1924" spans="1:5" x14ac:dyDescent="0.25">
      <c r="A1924" s="1"/>
      <c r="B1924" s="1"/>
      <c r="C1924" s="1"/>
      <c r="D1924" s="3"/>
      <c r="E1924" s="1"/>
    </row>
    <row r="1925" spans="1:5" x14ac:dyDescent="0.25">
      <c r="A1925" s="1"/>
      <c r="B1925" s="1"/>
      <c r="C1925" s="1"/>
      <c r="D1925" s="3"/>
      <c r="E1925" s="1"/>
    </row>
    <row r="1926" spans="1:5" x14ac:dyDescent="0.25">
      <c r="A1926" s="1"/>
      <c r="B1926" s="1"/>
      <c r="C1926" s="1"/>
      <c r="D1926" s="3"/>
      <c r="E1926" s="1"/>
    </row>
    <row r="1927" spans="1:5" x14ac:dyDescent="0.25">
      <c r="A1927" s="1"/>
      <c r="B1927" s="1"/>
      <c r="C1927" s="1"/>
      <c r="D1927" s="3"/>
      <c r="E1927" s="1"/>
    </row>
    <row r="1928" spans="1:5" x14ac:dyDescent="0.25">
      <c r="A1928" s="1"/>
      <c r="B1928" s="1"/>
      <c r="C1928" s="1"/>
      <c r="D1928" s="3"/>
      <c r="E1928" s="1"/>
    </row>
    <row r="1929" spans="1:5" x14ac:dyDescent="0.25">
      <c r="A1929" s="1"/>
      <c r="B1929" s="1"/>
      <c r="C1929" s="1"/>
      <c r="D1929" s="3"/>
      <c r="E1929" s="1"/>
    </row>
    <row r="1930" spans="1:5" x14ac:dyDescent="0.25">
      <c r="A1930" s="1"/>
      <c r="B1930" s="1"/>
      <c r="C1930" s="1"/>
      <c r="D1930" s="3"/>
      <c r="E1930" s="1"/>
    </row>
    <row r="1931" spans="1:5" x14ac:dyDescent="0.25">
      <c r="A1931" s="1"/>
      <c r="B1931" s="1"/>
      <c r="C1931" s="1"/>
      <c r="D1931" s="3"/>
      <c r="E1931" s="1"/>
    </row>
    <row r="1932" spans="1:5" x14ac:dyDescent="0.25">
      <c r="A1932" s="1"/>
      <c r="B1932" s="1"/>
      <c r="C1932" s="1"/>
      <c r="D1932" s="3"/>
      <c r="E1932" s="1"/>
    </row>
    <row r="1933" spans="1:5" x14ac:dyDescent="0.25">
      <c r="A1933" s="1"/>
      <c r="B1933" s="1"/>
      <c r="C1933" s="1"/>
      <c r="D1933" s="3"/>
      <c r="E1933" s="1"/>
    </row>
    <row r="1934" spans="1:5" x14ac:dyDescent="0.25">
      <c r="A1934" s="1"/>
      <c r="B1934" s="1"/>
      <c r="C1934" s="1"/>
      <c r="D1934" s="3"/>
      <c r="E1934" s="1"/>
    </row>
    <row r="1935" spans="1:5" x14ac:dyDescent="0.25">
      <c r="A1935" s="1"/>
      <c r="B1935" s="1"/>
      <c r="C1935" s="1"/>
      <c r="D1935" s="3"/>
      <c r="E1935" s="1"/>
    </row>
    <row r="1936" spans="1:5" x14ac:dyDescent="0.25">
      <c r="A1936" s="1"/>
      <c r="B1936" s="1"/>
      <c r="C1936" s="1"/>
      <c r="D1936" s="3"/>
      <c r="E1936" s="1"/>
    </row>
    <row r="1937" spans="1:5" x14ac:dyDescent="0.25">
      <c r="A1937" s="1"/>
      <c r="B1937" s="1"/>
      <c r="C1937" s="1"/>
      <c r="D1937" s="3"/>
      <c r="E1937" s="1"/>
    </row>
    <row r="1938" spans="1:5" x14ac:dyDescent="0.25">
      <c r="A1938" s="1"/>
      <c r="B1938" s="1"/>
      <c r="C1938" s="1"/>
      <c r="D1938" s="3"/>
      <c r="E1938" s="1"/>
    </row>
    <row r="1939" spans="1:5" x14ac:dyDescent="0.25">
      <c r="A1939" s="1"/>
      <c r="B1939" s="1"/>
      <c r="C1939" s="1"/>
      <c r="D1939" s="3"/>
      <c r="E1939" s="1"/>
    </row>
    <row r="1940" spans="1:5" x14ac:dyDescent="0.25">
      <c r="A1940" s="1"/>
      <c r="B1940" s="1"/>
      <c r="C1940" s="1"/>
      <c r="D1940" s="3"/>
      <c r="E1940" s="1"/>
    </row>
    <row r="1941" spans="1:5" x14ac:dyDescent="0.25">
      <c r="A1941" s="1"/>
      <c r="B1941" s="1"/>
      <c r="C1941" s="1"/>
      <c r="D1941" s="3"/>
      <c r="E1941" s="1"/>
    </row>
    <row r="1942" spans="1:5" x14ac:dyDescent="0.25">
      <c r="A1942" s="1"/>
      <c r="B1942" s="1"/>
      <c r="C1942" s="1"/>
      <c r="D1942" s="3"/>
      <c r="E1942" s="1"/>
    </row>
    <row r="1943" spans="1:5" x14ac:dyDescent="0.25">
      <c r="A1943" s="1"/>
      <c r="B1943" s="1"/>
      <c r="C1943" s="1"/>
      <c r="D1943" s="3"/>
      <c r="E1943" s="1"/>
    </row>
    <row r="1944" spans="1:5" x14ac:dyDescent="0.25">
      <c r="A1944" s="1"/>
      <c r="B1944" s="1"/>
      <c r="C1944" s="1"/>
      <c r="D1944" s="3"/>
      <c r="E1944" s="1"/>
    </row>
    <row r="1945" spans="1:5" x14ac:dyDescent="0.25">
      <c r="A1945" s="1"/>
      <c r="B1945" s="1"/>
      <c r="C1945" s="1"/>
      <c r="D1945" s="3"/>
      <c r="E1945" s="1"/>
    </row>
    <row r="1946" spans="1:5" x14ac:dyDescent="0.25">
      <c r="A1946" s="1"/>
      <c r="B1946" s="1"/>
      <c r="C1946" s="1"/>
      <c r="D1946" s="3"/>
      <c r="E1946" s="1"/>
    </row>
    <row r="1947" spans="1:5" x14ac:dyDescent="0.25">
      <c r="A1947" s="1"/>
      <c r="B1947" s="1"/>
      <c r="C1947" s="1"/>
      <c r="D1947" s="3"/>
      <c r="E1947" s="1"/>
    </row>
    <row r="1948" spans="1:5" x14ac:dyDescent="0.25">
      <c r="A1948" s="1"/>
      <c r="B1948" s="1"/>
      <c r="C1948" s="1"/>
      <c r="D1948" s="3"/>
      <c r="E1948" s="1"/>
    </row>
    <row r="1949" spans="1:5" x14ac:dyDescent="0.25">
      <c r="A1949" s="1"/>
      <c r="B1949" s="1"/>
      <c r="C1949" s="1"/>
      <c r="D1949" s="3"/>
      <c r="E1949" s="1"/>
    </row>
    <row r="1950" spans="1:5" x14ac:dyDescent="0.25">
      <c r="A1950" s="1"/>
      <c r="B1950" s="1"/>
      <c r="C1950" s="1"/>
      <c r="D1950" s="3"/>
      <c r="E1950" s="1"/>
    </row>
    <row r="1951" spans="1:5" x14ac:dyDescent="0.25">
      <c r="A1951" s="1"/>
      <c r="B1951" s="1"/>
      <c r="C1951" s="1"/>
      <c r="D1951" s="3"/>
      <c r="E1951" s="1"/>
    </row>
    <row r="1952" spans="1:5" x14ac:dyDescent="0.25">
      <c r="A1952" s="1"/>
      <c r="B1952" s="1"/>
      <c r="C1952" s="1"/>
      <c r="D1952" s="3"/>
      <c r="E1952" s="1"/>
    </row>
    <row r="1953" spans="1:5" x14ac:dyDescent="0.25">
      <c r="A1953" s="1"/>
      <c r="B1953" s="1"/>
      <c r="C1953" s="1"/>
      <c r="D1953" s="3"/>
      <c r="E1953" s="1"/>
    </row>
    <row r="1954" spans="1:5" x14ac:dyDescent="0.25">
      <c r="A1954" s="1"/>
      <c r="B1954" s="1"/>
      <c r="C1954" s="1"/>
      <c r="D1954" s="3"/>
      <c r="E1954" s="1"/>
    </row>
    <row r="1955" spans="1:5" x14ac:dyDescent="0.25">
      <c r="A1955" s="1"/>
      <c r="B1955" s="1"/>
      <c r="C1955" s="1"/>
      <c r="D1955" s="3"/>
      <c r="E1955" s="1"/>
    </row>
    <row r="1956" spans="1:5" x14ac:dyDescent="0.25">
      <c r="A1956" s="1"/>
      <c r="B1956" s="1"/>
      <c r="C1956" s="1"/>
      <c r="D1956" s="3"/>
      <c r="E1956" s="1"/>
    </row>
    <row r="1957" spans="1:5" x14ac:dyDescent="0.25">
      <c r="A1957" s="1"/>
      <c r="B1957" s="1"/>
      <c r="C1957" s="1"/>
      <c r="D1957" s="3"/>
      <c r="E1957" s="1"/>
    </row>
    <row r="1958" spans="1:5" x14ac:dyDescent="0.25">
      <c r="A1958" s="1"/>
      <c r="B1958" s="1"/>
      <c r="C1958" s="1"/>
      <c r="D1958" s="3"/>
      <c r="E1958" s="1"/>
    </row>
    <row r="1959" spans="1:5" x14ac:dyDescent="0.25">
      <c r="A1959" s="1"/>
      <c r="B1959" s="1"/>
      <c r="C1959" s="1"/>
      <c r="D1959" s="3"/>
      <c r="E1959" s="1"/>
    </row>
    <row r="1960" spans="1:5" x14ac:dyDescent="0.25">
      <c r="A1960" s="1"/>
      <c r="B1960" s="1"/>
      <c r="C1960" s="1"/>
      <c r="D1960" s="3"/>
      <c r="E1960" s="1"/>
    </row>
    <row r="1961" spans="1:5" x14ac:dyDescent="0.25">
      <c r="A1961" s="1"/>
      <c r="B1961" s="1"/>
      <c r="C1961" s="1"/>
      <c r="D1961" s="3"/>
      <c r="E1961" s="1"/>
    </row>
    <row r="1962" spans="1:5" x14ac:dyDescent="0.25">
      <c r="A1962" s="1"/>
      <c r="B1962" s="1"/>
      <c r="C1962" s="1"/>
      <c r="D1962" s="3"/>
      <c r="E1962" s="1"/>
    </row>
    <row r="1963" spans="1:5" x14ac:dyDescent="0.25">
      <c r="A1963" s="1"/>
      <c r="B1963" s="1"/>
      <c r="C1963" s="1"/>
      <c r="D1963" s="3"/>
      <c r="E1963" s="1"/>
    </row>
    <row r="1964" spans="1:5" x14ac:dyDescent="0.25">
      <c r="A1964" s="1"/>
      <c r="B1964" s="1"/>
      <c r="C1964" s="1"/>
      <c r="D1964" s="3"/>
      <c r="E1964" s="1"/>
    </row>
    <row r="1965" spans="1:5" x14ac:dyDescent="0.25">
      <c r="A1965" s="1"/>
      <c r="B1965" s="1"/>
      <c r="C1965" s="1"/>
      <c r="D1965" s="3"/>
      <c r="E1965" s="1"/>
    </row>
    <row r="1966" spans="1:5" x14ac:dyDescent="0.25">
      <c r="A1966" s="1"/>
      <c r="B1966" s="1"/>
      <c r="C1966" s="1"/>
      <c r="D1966" s="3"/>
      <c r="E1966" s="1"/>
    </row>
    <row r="1967" spans="1:5" x14ac:dyDescent="0.25">
      <c r="A1967" s="1"/>
      <c r="B1967" s="1"/>
      <c r="C1967" s="1"/>
      <c r="D1967" s="3"/>
      <c r="E1967" s="1"/>
    </row>
    <row r="1968" spans="1:5" x14ac:dyDescent="0.25">
      <c r="A1968" s="1"/>
      <c r="B1968" s="1"/>
      <c r="C1968" s="1"/>
      <c r="D1968" s="3"/>
      <c r="E1968" s="1"/>
    </row>
    <row r="1969" spans="1:5" x14ac:dyDescent="0.25">
      <c r="A1969" s="1"/>
      <c r="B1969" s="1"/>
      <c r="C1969" s="1"/>
      <c r="D1969" s="3"/>
      <c r="E1969" s="1"/>
    </row>
    <row r="1970" spans="1:5" x14ac:dyDescent="0.25">
      <c r="A1970" s="1"/>
      <c r="B1970" s="1"/>
      <c r="C1970" s="1"/>
      <c r="D1970" s="3"/>
      <c r="E1970" s="1"/>
    </row>
    <row r="1971" spans="1:5" x14ac:dyDescent="0.25">
      <c r="A1971" s="1"/>
      <c r="B1971" s="1"/>
      <c r="C1971" s="1"/>
      <c r="D1971" s="3"/>
      <c r="E1971" s="1"/>
    </row>
    <row r="1972" spans="1:5" x14ac:dyDescent="0.25">
      <c r="A1972" s="1"/>
      <c r="B1972" s="1"/>
      <c r="C1972" s="1"/>
      <c r="D1972" s="3"/>
      <c r="E1972" s="1"/>
    </row>
    <row r="1973" spans="1:5" x14ac:dyDescent="0.25">
      <c r="A1973" s="1"/>
      <c r="B1973" s="1"/>
      <c r="C1973" s="1"/>
      <c r="D1973" s="3"/>
      <c r="E1973" s="1"/>
    </row>
    <row r="1974" spans="1:5" x14ac:dyDescent="0.25">
      <c r="A1974" s="1"/>
      <c r="B1974" s="1"/>
      <c r="C1974" s="1"/>
      <c r="D1974" s="3"/>
      <c r="E1974" s="1"/>
    </row>
    <row r="1975" spans="1:5" x14ac:dyDescent="0.25">
      <c r="A1975" s="1"/>
      <c r="B1975" s="1"/>
      <c r="C1975" s="1"/>
      <c r="D1975" s="3"/>
      <c r="E1975" s="1"/>
    </row>
    <row r="1976" spans="1:5" x14ac:dyDescent="0.25">
      <c r="A1976" s="1"/>
      <c r="B1976" s="1"/>
      <c r="C1976" s="1"/>
      <c r="D1976" s="3"/>
      <c r="E1976" s="1"/>
    </row>
    <row r="1977" spans="1:5" x14ac:dyDescent="0.25">
      <c r="A1977" s="1"/>
      <c r="B1977" s="1"/>
      <c r="C1977" s="1"/>
      <c r="D1977" s="3"/>
      <c r="E1977" s="1"/>
    </row>
    <row r="1978" spans="1:5" x14ac:dyDescent="0.25">
      <c r="A1978" s="1"/>
      <c r="B1978" s="1"/>
      <c r="C1978" s="1"/>
      <c r="D1978" s="3"/>
      <c r="E1978" s="1"/>
    </row>
    <row r="1979" spans="1:5" x14ac:dyDescent="0.25">
      <c r="A1979" s="1"/>
      <c r="B1979" s="1"/>
      <c r="C1979" s="1"/>
      <c r="D1979" s="3"/>
      <c r="E1979" s="1"/>
    </row>
    <row r="1980" spans="1:5" x14ac:dyDescent="0.25">
      <c r="A1980" s="1"/>
      <c r="B1980" s="1"/>
      <c r="C1980" s="1"/>
      <c r="D1980" s="3"/>
      <c r="E1980" s="1"/>
    </row>
    <row r="1981" spans="1:5" x14ac:dyDescent="0.25">
      <c r="A1981" s="1"/>
      <c r="B1981" s="1"/>
      <c r="C1981" s="1"/>
      <c r="D1981" s="3"/>
      <c r="E1981" s="1"/>
    </row>
    <row r="1982" spans="1:5" x14ac:dyDescent="0.25">
      <c r="A1982" s="1"/>
      <c r="B1982" s="1"/>
      <c r="C1982" s="1"/>
      <c r="D1982" s="3"/>
      <c r="E1982" s="1"/>
    </row>
    <row r="1983" spans="1:5" x14ac:dyDescent="0.25">
      <c r="A1983" s="1"/>
      <c r="B1983" s="1"/>
      <c r="C1983" s="1"/>
      <c r="D1983" s="3"/>
      <c r="E1983" s="1"/>
    </row>
    <row r="1984" spans="1:5" x14ac:dyDescent="0.25">
      <c r="A1984" s="1"/>
      <c r="B1984" s="1"/>
      <c r="C1984" s="1"/>
      <c r="D1984" s="3"/>
      <c r="E1984" s="1"/>
    </row>
    <row r="1985" spans="1:5" x14ac:dyDescent="0.25">
      <c r="A1985" s="1"/>
      <c r="B1985" s="1"/>
      <c r="C1985" s="1"/>
      <c r="D1985" s="3"/>
      <c r="E1985" s="1"/>
    </row>
    <row r="1986" spans="1:5" x14ac:dyDescent="0.25">
      <c r="A1986" s="1"/>
      <c r="B1986" s="1"/>
      <c r="C1986" s="1"/>
      <c r="D1986" s="3"/>
      <c r="E1986" s="1"/>
    </row>
    <row r="1987" spans="1:5" x14ac:dyDescent="0.25">
      <c r="A1987" s="1"/>
      <c r="B1987" s="1"/>
      <c r="C1987" s="1"/>
      <c r="D1987" s="3"/>
      <c r="E1987" s="1"/>
    </row>
    <row r="1988" spans="1:5" x14ac:dyDescent="0.25">
      <c r="A1988" s="1"/>
      <c r="B1988" s="1"/>
      <c r="C1988" s="1"/>
      <c r="D1988" s="3"/>
      <c r="E1988" s="1"/>
    </row>
    <row r="1989" spans="1:5" x14ac:dyDescent="0.25">
      <c r="A1989" s="1"/>
      <c r="B1989" s="1"/>
      <c r="C1989" s="1"/>
      <c r="D1989" s="3"/>
      <c r="E1989" s="1"/>
    </row>
    <row r="1990" spans="1:5" x14ac:dyDescent="0.25">
      <c r="A1990" s="1"/>
      <c r="B1990" s="1"/>
      <c r="C1990" s="1"/>
      <c r="D1990" s="3"/>
      <c r="E1990" s="1"/>
    </row>
    <row r="1991" spans="1:5" x14ac:dyDescent="0.25">
      <c r="A1991" s="1"/>
      <c r="B1991" s="1"/>
      <c r="C1991" s="1"/>
      <c r="D1991" s="3"/>
      <c r="E1991" s="1"/>
    </row>
    <row r="1992" spans="1:5" x14ac:dyDescent="0.25">
      <c r="A1992" s="1"/>
      <c r="B1992" s="1"/>
      <c r="C1992" s="1"/>
      <c r="D1992" s="3"/>
      <c r="E1992" s="1"/>
    </row>
    <row r="1993" spans="1:5" x14ac:dyDescent="0.25">
      <c r="A1993" s="1"/>
      <c r="B1993" s="1"/>
      <c r="C1993" s="1"/>
      <c r="D1993" s="3"/>
      <c r="E1993" s="1"/>
    </row>
    <row r="1994" spans="1:5" x14ac:dyDescent="0.25">
      <c r="A1994" s="1"/>
      <c r="B1994" s="1"/>
      <c r="C1994" s="1"/>
      <c r="D1994" s="3"/>
      <c r="E1994" s="1"/>
    </row>
    <row r="1995" spans="1:5" x14ac:dyDescent="0.25">
      <c r="A1995" s="1"/>
      <c r="B1995" s="1"/>
      <c r="C1995" s="1"/>
      <c r="D1995" s="3"/>
      <c r="E1995" s="1"/>
    </row>
    <row r="1996" spans="1:5" x14ac:dyDescent="0.25">
      <c r="A1996" s="1"/>
      <c r="B1996" s="1"/>
      <c r="C1996" s="1"/>
      <c r="D1996" s="3"/>
      <c r="E1996" s="1"/>
    </row>
    <row r="1997" spans="1:5" x14ac:dyDescent="0.25">
      <c r="A1997" s="1"/>
      <c r="B1997" s="1"/>
      <c r="C1997" s="1"/>
      <c r="D1997" s="3"/>
      <c r="E1997" s="1"/>
    </row>
    <row r="1998" spans="1:5" x14ac:dyDescent="0.25">
      <c r="A1998" s="1"/>
      <c r="B1998" s="1"/>
      <c r="C1998" s="1"/>
      <c r="D1998" s="3"/>
      <c r="E1998" s="1"/>
    </row>
    <row r="1999" spans="1:5" x14ac:dyDescent="0.25">
      <c r="A1999" s="1"/>
      <c r="B1999" s="1"/>
      <c r="C1999" s="1"/>
      <c r="D1999" s="3"/>
      <c r="E1999" s="1"/>
    </row>
    <row r="2000" spans="1:5" x14ac:dyDescent="0.25">
      <c r="A2000" s="1"/>
      <c r="B2000" s="1"/>
      <c r="C2000" s="1"/>
      <c r="D2000" s="3"/>
      <c r="E2000" s="1"/>
    </row>
    <row r="2001" spans="1:5" x14ac:dyDescent="0.25">
      <c r="A2001" s="1"/>
      <c r="B2001" s="1"/>
      <c r="C2001" s="1"/>
      <c r="D2001" s="3"/>
      <c r="E2001" s="1"/>
    </row>
    <row r="2002" spans="1:5" x14ac:dyDescent="0.25">
      <c r="A2002" s="1"/>
      <c r="B2002" s="1"/>
      <c r="C2002" s="1"/>
      <c r="D2002" s="3"/>
      <c r="E2002" s="1"/>
    </row>
    <row r="2003" spans="1:5" x14ac:dyDescent="0.25">
      <c r="A2003" s="1"/>
      <c r="B2003" s="1"/>
      <c r="C2003" s="1"/>
      <c r="D2003" s="3"/>
      <c r="E2003" s="1"/>
    </row>
    <row r="2004" spans="1:5" x14ac:dyDescent="0.25">
      <c r="A2004" s="1"/>
      <c r="B2004" s="1"/>
      <c r="C2004" s="1"/>
      <c r="D2004" s="3"/>
      <c r="E2004" s="1"/>
    </row>
    <row r="2005" spans="1:5" x14ac:dyDescent="0.25">
      <c r="A2005" s="1"/>
      <c r="B2005" s="1"/>
      <c r="C2005" s="1"/>
      <c r="D2005" s="3"/>
      <c r="E2005" s="1"/>
    </row>
    <row r="2006" spans="1:5" x14ac:dyDescent="0.25">
      <c r="A2006" s="1"/>
      <c r="B2006" s="1"/>
      <c r="C2006" s="1"/>
      <c r="D2006" s="3"/>
      <c r="E2006" s="1"/>
    </row>
    <row r="2007" spans="1:5" x14ac:dyDescent="0.25">
      <c r="A2007" s="1"/>
      <c r="B2007" s="1"/>
      <c r="C2007" s="1"/>
      <c r="D2007" s="3"/>
      <c r="E2007" s="1"/>
    </row>
    <row r="2008" spans="1:5" x14ac:dyDescent="0.25">
      <c r="A2008" s="1"/>
      <c r="B2008" s="1"/>
      <c r="C2008" s="1"/>
      <c r="D2008" s="3"/>
      <c r="E2008" s="1"/>
    </row>
    <row r="2009" spans="1:5" x14ac:dyDescent="0.25">
      <c r="A2009" s="1"/>
      <c r="B2009" s="1"/>
      <c r="C2009" s="1"/>
      <c r="D2009" s="3"/>
      <c r="E2009" s="1"/>
    </row>
    <row r="2010" spans="1:5" x14ac:dyDescent="0.25">
      <c r="A2010" s="1"/>
      <c r="B2010" s="1"/>
      <c r="C2010" s="1"/>
      <c r="D2010" s="3"/>
      <c r="E2010" s="1"/>
    </row>
    <row r="2011" spans="1:5" x14ac:dyDescent="0.25">
      <c r="A2011" s="1"/>
      <c r="B2011" s="1"/>
      <c r="C2011" s="1"/>
      <c r="D2011" s="3"/>
      <c r="E2011" s="1"/>
    </row>
    <row r="2012" spans="1:5" x14ac:dyDescent="0.25">
      <c r="A2012" s="1"/>
      <c r="B2012" s="1"/>
      <c r="C2012" s="1"/>
      <c r="D2012" s="3"/>
      <c r="E2012" s="1"/>
    </row>
    <row r="2013" spans="1:5" x14ac:dyDescent="0.25">
      <c r="A2013" s="1"/>
      <c r="B2013" s="1"/>
      <c r="C2013" s="1"/>
      <c r="D2013" s="3"/>
      <c r="E2013" s="1"/>
    </row>
    <row r="2014" spans="1:5" x14ac:dyDescent="0.25">
      <c r="A2014" s="1"/>
      <c r="B2014" s="1"/>
      <c r="C2014" s="1"/>
      <c r="D2014" s="3"/>
      <c r="E2014" s="1"/>
    </row>
    <row r="2015" spans="1:5" x14ac:dyDescent="0.25">
      <c r="A2015" s="1"/>
      <c r="B2015" s="1"/>
      <c r="C2015" s="1"/>
      <c r="D2015" s="3"/>
      <c r="E2015" s="1"/>
    </row>
    <row r="2016" spans="1:5" x14ac:dyDescent="0.25">
      <c r="A2016" s="1"/>
      <c r="B2016" s="1"/>
      <c r="C2016" s="1"/>
      <c r="D2016" s="3"/>
      <c r="E2016" s="1"/>
    </row>
    <row r="2017" spans="1:5" x14ac:dyDescent="0.25">
      <c r="A2017" s="1"/>
      <c r="B2017" s="1"/>
      <c r="C2017" s="1"/>
      <c r="D2017" s="3"/>
      <c r="E2017" s="1"/>
    </row>
    <row r="2018" spans="1:5" x14ac:dyDescent="0.25">
      <c r="A2018" s="1"/>
      <c r="B2018" s="1"/>
      <c r="C2018" s="1"/>
      <c r="D2018" s="3"/>
      <c r="E2018" s="1"/>
    </row>
    <row r="2019" spans="1:5" x14ac:dyDescent="0.25">
      <c r="A2019" s="1"/>
      <c r="B2019" s="1"/>
      <c r="C2019" s="1"/>
      <c r="D2019" s="3"/>
      <c r="E2019" s="1"/>
    </row>
    <row r="2020" spans="1:5" x14ac:dyDescent="0.25">
      <c r="A2020" s="1"/>
      <c r="B2020" s="1"/>
      <c r="C2020" s="1"/>
      <c r="D2020" s="3"/>
      <c r="E2020" s="1"/>
    </row>
    <row r="2021" spans="1:5" x14ac:dyDescent="0.25">
      <c r="A2021" s="1"/>
      <c r="B2021" s="1"/>
      <c r="C2021" s="1"/>
      <c r="D2021" s="3"/>
      <c r="E2021" s="1"/>
    </row>
    <row r="2022" spans="1:5" x14ac:dyDescent="0.25">
      <c r="A2022" s="1"/>
      <c r="B2022" s="1"/>
      <c r="C2022" s="1"/>
      <c r="D2022" s="3"/>
      <c r="E2022" s="1"/>
    </row>
    <row r="2023" spans="1:5" x14ac:dyDescent="0.25">
      <c r="A2023" s="1"/>
      <c r="B2023" s="1"/>
      <c r="C2023" s="1"/>
      <c r="D2023" s="3"/>
      <c r="E2023" s="1"/>
    </row>
    <row r="2024" spans="1:5" x14ac:dyDescent="0.25">
      <c r="A2024" s="1"/>
      <c r="B2024" s="1"/>
      <c r="C2024" s="1"/>
      <c r="D2024" s="3"/>
      <c r="E2024" s="1"/>
    </row>
    <row r="2025" spans="1:5" x14ac:dyDescent="0.25">
      <c r="A2025" s="1"/>
      <c r="B2025" s="1"/>
      <c r="C2025" s="1"/>
      <c r="D2025" s="3"/>
      <c r="E2025" s="1"/>
    </row>
    <row r="2026" spans="1:5" x14ac:dyDescent="0.25">
      <c r="A2026" s="1"/>
      <c r="B2026" s="1"/>
      <c r="C2026" s="1"/>
      <c r="D2026" s="3"/>
      <c r="E2026" s="1"/>
    </row>
    <row r="2027" spans="1:5" x14ac:dyDescent="0.25">
      <c r="A2027" s="1"/>
      <c r="B2027" s="1"/>
      <c r="C2027" s="1"/>
      <c r="D2027" s="3"/>
      <c r="E2027" s="1"/>
    </row>
    <row r="2028" spans="1:5" x14ac:dyDescent="0.25">
      <c r="A2028" s="1"/>
      <c r="B2028" s="1"/>
      <c r="C2028" s="1"/>
      <c r="D2028" s="3"/>
      <c r="E2028" s="1"/>
    </row>
    <row r="2029" spans="1:5" x14ac:dyDescent="0.25">
      <c r="A2029" s="1"/>
      <c r="B2029" s="1"/>
      <c r="C2029" s="1"/>
      <c r="D2029" s="3"/>
      <c r="E2029" s="1"/>
    </row>
    <row r="2030" spans="1:5" x14ac:dyDescent="0.25">
      <c r="A2030" s="1"/>
      <c r="B2030" s="1"/>
      <c r="C2030" s="1"/>
      <c r="D2030" s="3"/>
      <c r="E2030" s="1"/>
    </row>
    <row r="2031" spans="1:5" x14ac:dyDescent="0.25">
      <c r="A2031" s="1"/>
      <c r="B2031" s="1"/>
      <c r="C2031" s="1"/>
      <c r="D2031" s="3"/>
      <c r="E2031" s="1"/>
    </row>
    <row r="2032" spans="1:5" x14ac:dyDescent="0.25">
      <c r="A2032" s="1"/>
      <c r="B2032" s="1"/>
      <c r="C2032" s="1"/>
      <c r="D2032" s="3"/>
      <c r="E2032" s="1"/>
    </row>
    <row r="2033" spans="1:5" x14ac:dyDescent="0.25">
      <c r="A2033" s="1"/>
      <c r="B2033" s="1"/>
      <c r="C2033" s="1"/>
      <c r="D2033" s="3"/>
      <c r="E2033" s="1"/>
    </row>
    <row r="2034" spans="1:5" x14ac:dyDescent="0.25">
      <c r="A2034" s="1"/>
      <c r="B2034" s="1"/>
      <c r="C2034" s="1"/>
      <c r="D2034" s="3"/>
      <c r="E2034" s="1"/>
    </row>
    <row r="2035" spans="1:5" x14ac:dyDescent="0.25">
      <c r="A2035" s="1"/>
      <c r="B2035" s="1"/>
      <c r="C2035" s="1"/>
      <c r="D2035" s="3"/>
      <c r="E2035" s="1"/>
    </row>
    <row r="2036" spans="1:5" x14ac:dyDescent="0.25">
      <c r="A2036" s="1"/>
      <c r="B2036" s="1"/>
      <c r="C2036" s="1"/>
      <c r="D2036" s="3"/>
      <c r="E2036" s="1"/>
    </row>
    <row r="2037" spans="1:5" x14ac:dyDescent="0.25">
      <c r="A2037" s="1"/>
      <c r="B2037" s="1"/>
      <c r="C2037" s="1"/>
      <c r="D2037" s="3"/>
      <c r="E2037" s="1"/>
    </row>
    <row r="2038" spans="1:5" x14ac:dyDescent="0.25">
      <c r="A2038" s="1"/>
      <c r="B2038" s="1"/>
      <c r="C2038" s="1"/>
      <c r="D2038" s="3"/>
      <c r="E2038" s="1"/>
    </row>
    <row r="2039" spans="1:5" x14ac:dyDescent="0.25">
      <c r="A2039" s="1"/>
      <c r="B2039" s="1"/>
      <c r="C2039" s="1"/>
      <c r="D2039" s="3"/>
      <c r="E2039" s="1"/>
    </row>
    <row r="2040" spans="1:5" x14ac:dyDescent="0.25">
      <c r="A2040" s="1"/>
      <c r="B2040" s="1"/>
      <c r="C2040" s="1"/>
      <c r="D2040" s="3"/>
      <c r="E2040" s="1"/>
    </row>
    <row r="2041" spans="1:5" x14ac:dyDescent="0.25">
      <c r="A2041" s="1"/>
      <c r="B2041" s="1"/>
      <c r="C2041" s="1"/>
      <c r="D2041" s="3"/>
      <c r="E2041" s="1"/>
    </row>
    <row r="2042" spans="1:5" x14ac:dyDescent="0.25">
      <c r="A2042" s="1"/>
      <c r="B2042" s="1"/>
      <c r="C2042" s="1"/>
      <c r="D2042" s="3"/>
      <c r="E2042" s="1"/>
    </row>
    <row r="2043" spans="1:5" x14ac:dyDescent="0.25">
      <c r="A2043" s="1"/>
      <c r="B2043" s="1"/>
      <c r="C2043" s="1"/>
      <c r="D2043" s="3"/>
      <c r="E2043" s="1"/>
    </row>
    <row r="2044" spans="1:5" x14ac:dyDescent="0.25">
      <c r="A2044" s="1"/>
      <c r="B2044" s="1"/>
      <c r="C2044" s="1"/>
      <c r="D2044" s="3"/>
      <c r="E2044" s="1"/>
    </row>
    <row r="2045" spans="1:5" x14ac:dyDescent="0.25">
      <c r="A2045" s="1"/>
      <c r="B2045" s="1"/>
      <c r="C2045" s="1"/>
      <c r="D2045" s="3"/>
      <c r="E2045" s="1"/>
    </row>
    <row r="2046" spans="1:5" x14ac:dyDescent="0.25">
      <c r="A2046" s="1"/>
      <c r="B2046" s="1"/>
      <c r="C2046" s="1"/>
      <c r="D2046" s="3"/>
      <c r="E2046" s="1"/>
    </row>
    <row r="2047" spans="1:5" x14ac:dyDescent="0.25">
      <c r="A2047" s="1"/>
      <c r="B2047" s="1"/>
      <c r="C2047" s="1"/>
      <c r="D2047" s="3"/>
      <c r="E2047" s="1"/>
    </row>
    <row r="2048" spans="1:5" x14ac:dyDescent="0.25">
      <c r="A2048" s="1"/>
      <c r="B2048" s="1"/>
      <c r="C2048" s="1"/>
      <c r="D2048" s="3"/>
      <c r="E2048" s="1"/>
    </row>
    <row r="2049" spans="1:5" x14ac:dyDescent="0.25">
      <c r="A2049" s="1"/>
      <c r="B2049" s="1"/>
      <c r="C2049" s="1"/>
      <c r="D2049" s="3"/>
      <c r="E2049" s="1"/>
    </row>
    <row r="2050" spans="1:5" x14ac:dyDescent="0.25">
      <c r="A2050" s="1"/>
      <c r="B2050" s="1"/>
      <c r="C2050" s="1"/>
      <c r="D2050" s="3"/>
      <c r="E2050" s="1"/>
    </row>
    <row r="2051" spans="1:5" x14ac:dyDescent="0.25">
      <c r="A2051" s="1"/>
      <c r="B2051" s="1"/>
      <c r="C2051" s="1"/>
      <c r="D2051" s="3"/>
      <c r="E2051" s="1"/>
    </row>
    <row r="2052" spans="1:5" x14ac:dyDescent="0.25">
      <c r="A2052" s="1"/>
      <c r="B2052" s="1"/>
      <c r="C2052" s="1"/>
      <c r="D2052" s="3"/>
      <c r="E2052" s="1"/>
    </row>
    <row r="2053" spans="1:5" x14ac:dyDescent="0.25">
      <c r="A2053" s="1"/>
      <c r="B2053" s="1"/>
      <c r="C2053" s="1"/>
      <c r="D2053" s="3"/>
      <c r="E2053" s="1"/>
    </row>
    <row r="2054" spans="1:5" x14ac:dyDescent="0.25">
      <c r="A2054" s="1"/>
      <c r="B2054" s="1"/>
      <c r="C2054" s="1"/>
      <c r="D2054" s="3"/>
      <c r="E2054" s="1"/>
    </row>
    <row r="2055" spans="1:5" x14ac:dyDescent="0.25">
      <c r="A2055" s="1"/>
      <c r="B2055" s="1"/>
      <c r="C2055" s="1"/>
      <c r="D2055" s="3"/>
      <c r="E2055" s="1"/>
    </row>
    <row r="2056" spans="1:5" x14ac:dyDescent="0.25">
      <c r="A2056" s="1"/>
      <c r="B2056" s="1"/>
      <c r="C2056" s="1"/>
      <c r="D2056" s="3"/>
      <c r="E2056" s="1"/>
    </row>
    <row r="2057" spans="1:5" x14ac:dyDescent="0.25">
      <c r="A2057" s="1"/>
      <c r="B2057" s="1"/>
      <c r="C2057" s="1"/>
      <c r="D2057" s="3"/>
      <c r="E2057" s="1"/>
    </row>
    <row r="2058" spans="1:5" x14ac:dyDescent="0.25">
      <c r="A2058" s="1"/>
      <c r="B2058" s="1"/>
      <c r="C2058" s="1"/>
      <c r="D2058" s="3"/>
      <c r="E2058" s="1"/>
    </row>
    <row r="2059" spans="1:5" x14ac:dyDescent="0.25">
      <c r="A2059" s="1"/>
      <c r="B2059" s="1"/>
      <c r="C2059" s="1"/>
      <c r="D2059" s="3"/>
      <c r="E2059" s="1"/>
    </row>
    <row r="2060" spans="1:5" x14ac:dyDescent="0.25">
      <c r="A2060" s="1"/>
      <c r="B2060" s="1"/>
      <c r="C2060" s="1"/>
      <c r="D2060" s="3"/>
      <c r="E2060" s="1"/>
    </row>
    <row r="2061" spans="1:5" x14ac:dyDescent="0.25">
      <c r="A2061" s="1"/>
      <c r="B2061" s="1"/>
      <c r="C2061" s="1"/>
      <c r="D2061" s="3"/>
      <c r="E2061" s="1"/>
    </row>
    <row r="2062" spans="1:5" x14ac:dyDescent="0.25">
      <c r="A2062" s="1"/>
      <c r="B2062" s="1"/>
      <c r="C2062" s="1"/>
      <c r="D2062" s="3"/>
      <c r="E2062" s="1"/>
    </row>
    <row r="2063" spans="1:5" x14ac:dyDescent="0.25">
      <c r="A2063" s="1"/>
      <c r="B2063" s="1"/>
      <c r="C2063" s="1"/>
      <c r="D2063" s="3"/>
      <c r="E2063" s="1"/>
    </row>
    <row r="2064" spans="1:5" x14ac:dyDescent="0.25">
      <c r="A2064" s="1"/>
      <c r="B2064" s="1"/>
      <c r="C2064" s="1"/>
      <c r="D2064" s="3"/>
      <c r="E2064" s="1"/>
    </row>
    <row r="2065" spans="1:5" x14ac:dyDescent="0.25">
      <c r="A2065" s="1"/>
      <c r="B2065" s="1"/>
      <c r="C2065" s="1"/>
      <c r="D2065" s="3"/>
      <c r="E2065" s="1"/>
    </row>
    <row r="2066" spans="1:5" x14ac:dyDescent="0.25">
      <c r="A2066" s="1"/>
      <c r="B2066" s="1"/>
      <c r="C2066" s="1"/>
      <c r="D2066" s="3"/>
      <c r="E2066" s="1"/>
    </row>
    <row r="2067" spans="1:5" x14ac:dyDescent="0.25">
      <c r="A2067" s="1"/>
      <c r="B2067" s="1"/>
      <c r="C2067" s="1"/>
      <c r="D2067" s="3"/>
      <c r="E2067" s="1"/>
    </row>
    <row r="2068" spans="1:5" x14ac:dyDescent="0.25">
      <c r="A2068" s="1"/>
      <c r="B2068" s="1"/>
      <c r="C2068" s="1"/>
      <c r="D2068" s="3"/>
      <c r="E2068" s="1"/>
    </row>
    <row r="2069" spans="1:5" x14ac:dyDescent="0.25">
      <c r="A2069" s="1"/>
      <c r="B2069" s="1"/>
      <c r="C2069" s="1"/>
      <c r="D2069" s="3"/>
      <c r="E2069" s="1"/>
    </row>
    <row r="2070" spans="1:5" x14ac:dyDescent="0.25">
      <c r="A2070" s="1"/>
      <c r="B2070" s="1"/>
      <c r="C2070" s="1"/>
      <c r="D2070" s="3"/>
      <c r="E2070" s="1"/>
    </row>
    <row r="2071" spans="1:5" x14ac:dyDescent="0.25">
      <c r="A2071" s="1"/>
      <c r="B2071" s="1"/>
      <c r="C2071" s="1"/>
      <c r="D2071" s="3"/>
      <c r="E2071" s="1"/>
    </row>
    <row r="2072" spans="1:5" x14ac:dyDescent="0.25">
      <c r="A2072" s="1"/>
      <c r="B2072" s="1"/>
      <c r="C2072" s="1"/>
      <c r="D2072" s="3"/>
      <c r="E2072" s="1"/>
    </row>
    <row r="2073" spans="1:5" x14ac:dyDescent="0.25">
      <c r="A2073" s="1"/>
      <c r="B2073" s="1"/>
      <c r="C2073" s="1"/>
      <c r="D2073" s="3"/>
      <c r="E2073" s="1"/>
    </row>
    <row r="2074" spans="1:5" x14ac:dyDescent="0.25">
      <c r="A2074" s="1"/>
      <c r="B2074" s="1"/>
      <c r="C2074" s="1"/>
      <c r="D2074" s="3"/>
      <c r="E2074" s="1"/>
    </row>
    <row r="2075" spans="1:5" x14ac:dyDescent="0.25">
      <c r="A2075" s="1"/>
      <c r="B2075" s="1"/>
      <c r="C2075" s="1"/>
      <c r="D2075" s="3"/>
      <c r="E2075" s="1"/>
    </row>
    <row r="2076" spans="1:5" x14ac:dyDescent="0.25">
      <c r="A2076" s="1"/>
      <c r="B2076" s="1"/>
      <c r="C2076" s="1"/>
      <c r="D2076" s="3"/>
      <c r="E2076" s="1"/>
    </row>
    <row r="2077" spans="1:5" x14ac:dyDescent="0.25">
      <c r="A2077" s="1"/>
      <c r="B2077" s="1"/>
      <c r="C2077" s="1"/>
      <c r="D2077" s="3"/>
      <c r="E2077" s="1"/>
    </row>
    <row r="2078" spans="1:5" x14ac:dyDescent="0.25">
      <c r="A2078" s="1"/>
      <c r="B2078" s="1"/>
      <c r="C2078" s="1"/>
      <c r="D2078" s="3"/>
      <c r="E2078" s="1"/>
    </row>
    <row r="2079" spans="1:5" x14ac:dyDescent="0.25">
      <c r="A2079" s="1"/>
      <c r="B2079" s="1"/>
      <c r="C2079" s="1"/>
      <c r="D2079" s="3"/>
      <c r="E2079" s="1"/>
    </row>
    <row r="2080" spans="1:5" x14ac:dyDescent="0.25">
      <c r="A2080" s="1"/>
      <c r="B2080" s="1"/>
      <c r="C2080" s="1"/>
      <c r="D2080" s="3"/>
      <c r="E2080" s="1"/>
    </row>
    <row r="2081" spans="1:5" x14ac:dyDescent="0.25">
      <c r="A2081" s="1"/>
      <c r="B2081" s="1"/>
      <c r="C2081" s="1"/>
      <c r="D2081" s="3"/>
      <c r="E2081" s="1"/>
    </row>
    <row r="2082" spans="1:5" x14ac:dyDescent="0.25">
      <c r="A2082" s="1"/>
      <c r="B2082" s="1"/>
      <c r="C2082" s="1"/>
      <c r="D2082" s="3"/>
      <c r="E2082" s="1"/>
    </row>
    <row r="2083" spans="1:5" x14ac:dyDescent="0.25">
      <c r="A2083" s="1"/>
      <c r="B2083" s="1"/>
      <c r="C2083" s="1"/>
      <c r="D2083" s="3"/>
      <c r="E2083" s="1"/>
    </row>
    <row r="2084" spans="1:5" x14ac:dyDescent="0.25">
      <c r="A2084" s="1"/>
      <c r="B2084" s="1"/>
      <c r="C2084" s="1"/>
      <c r="D2084" s="3"/>
      <c r="E2084" s="1"/>
    </row>
    <row r="2085" spans="1:5" x14ac:dyDescent="0.25">
      <c r="A2085" s="1"/>
      <c r="B2085" s="1"/>
      <c r="C2085" s="1"/>
      <c r="D2085" s="3"/>
      <c r="E2085" s="1"/>
    </row>
    <row r="2086" spans="1:5" x14ac:dyDescent="0.25">
      <c r="A2086" s="1"/>
      <c r="B2086" s="1"/>
      <c r="C2086" s="1"/>
      <c r="D2086" s="3"/>
      <c r="E2086" s="1"/>
    </row>
    <row r="2087" spans="1:5" x14ac:dyDescent="0.25">
      <c r="A2087" s="1"/>
      <c r="B2087" s="1"/>
      <c r="C2087" s="1"/>
      <c r="D2087" s="3"/>
      <c r="E2087" s="1"/>
    </row>
    <row r="2088" spans="1:5" x14ac:dyDescent="0.25">
      <c r="A2088" s="1"/>
      <c r="B2088" s="1"/>
      <c r="C2088" s="1"/>
      <c r="D2088" s="3"/>
      <c r="E2088" s="1"/>
    </row>
    <row r="2089" spans="1:5" x14ac:dyDescent="0.25">
      <c r="A2089" s="1"/>
      <c r="B2089" s="1"/>
      <c r="C2089" s="1"/>
      <c r="D2089" s="3"/>
      <c r="E2089" s="1"/>
    </row>
    <row r="2090" spans="1:5" x14ac:dyDescent="0.25">
      <c r="A2090" s="1"/>
      <c r="B2090" s="1"/>
      <c r="C2090" s="1"/>
      <c r="D2090" s="3"/>
      <c r="E2090" s="1"/>
    </row>
    <row r="2091" spans="1:5" x14ac:dyDescent="0.25">
      <c r="A2091" s="1"/>
      <c r="B2091" s="1"/>
      <c r="C2091" s="1"/>
      <c r="D2091" s="3"/>
      <c r="E2091" s="1"/>
    </row>
    <row r="2092" spans="1:5" x14ac:dyDescent="0.25">
      <c r="A2092" s="1"/>
      <c r="B2092" s="1"/>
      <c r="C2092" s="1"/>
      <c r="D2092" s="3"/>
      <c r="E2092" s="1"/>
    </row>
    <row r="2093" spans="1:5" x14ac:dyDescent="0.25">
      <c r="A2093" s="1"/>
      <c r="B2093" s="1"/>
      <c r="C2093" s="1"/>
      <c r="D2093" s="3"/>
      <c r="E2093" s="1"/>
    </row>
    <row r="2094" spans="1:5" x14ac:dyDescent="0.25">
      <c r="A2094" s="1"/>
      <c r="B2094" s="1"/>
      <c r="C2094" s="1"/>
      <c r="D2094" s="3"/>
      <c r="E2094" s="1"/>
    </row>
    <row r="2095" spans="1:5" x14ac:dyDescent="0.25">
      <c r="A2095" s="1"/>
      <c r="B2095" s="1"/>
      <c r="C2095" s="1"/>
      <c r="D2095" s="3"/>
      <c r="E2095" s="1"/>
    </row>
    <row r="2096" spans="1:5" x14ac:dyDescent="0.25">
      <c r="A2096" s="1"/>
      <c r="B2096" s="1"/>
      <c r="C2096" s="1"/>
      <c r="D2096" s="3"/>
      <c r="E2096" s="1"/>
    </row>
    <row r="2097" spans="1:5" x14ac:dyDescent="0.25">
      <c r="A2097" s="1"/>
      <c r="B2097" s="1"/>
      <c r="C2097" s="1"/>
      <c r="D2097" s="3"/>
      <c r="E2097" s="1"/>
    </row>
    <row r="2098" spans="1:5" x14ac:dyDescent="0.25">
      <c r="A2098" s="1"/>
      <c r="B2098" s="1"/>
      <c r="C2098" s="1"/>
      <c r="D2098" s="3"/>
      <c r="E2098" s="1"/>
    </row>
    <row r="2099" spans="1:5" x14ac:dyDescent="0.25">
      <c r="A2099" s="1"/>
      <c r="B2099" s="1"/>
      <c r="C2099" s="1"/>
      <c r="D2099" s="3"/>
      <c r="E2099" s="1"/>
    </row>
    <row r="2100" spans="1:5" x14ac:dyDescent="0.25">
      <c r="A2100" s="1"/>
      <c r="B2100" s="1"/>
      <c r="C2100" s="1"/>
      <c r="D2100" s="3"/>
      <c r="E2100" s="1"/>
    </row>
    <row r="2101" spans="1:5" x14ac:dyDescent="0.25">
      <c r="A2101" s="1"/>
      <c r="B2101" s="1"/>
      <c r="C2101" s="1"/>
      <c r="D2101" s="3"/>
      <c r="E2101" s="1"/>
    </row>
    <row r="2102" spans="1:5" x14ac:dyDescent="0.25">
      <c r="A2102" s="1"/>
      <c r="B2102" s="1"/>
      <c r="C2102" s="1"/>
      <c r="D2102" s="3"/>
      <c r="E2102" s="1"/>
    </row>
    <row r="2103" spans="1:5" x14ac:dyDescent="0.25">
      <c r="A2103" s="1"/>
      <c r="B2103" s="1"/>
      <c r="C2103" s="1"/>
      <c r="D2103" s="3"/>
      <c r="E2103" s="1"/>
    </row>
    <row r="2104" spans="1:5" x14ac:dyDescent="0.25">
      <c r="A2104" s="1"/>
      <c r="B2104" s="1"/>
      <c r="C2104" s="1"/>
      <c r="D2104" s="3"/>
      <c r="E2104" s="1"/>
    </row>
    <row r="2105" spans="1:5" x14ac:dyDescent="0.25">
      <c r="A2105" s="1"/>
      <c r="B2105" s="1"/>
      <c r="C2105" s="1"/>
      <c r="D2105" s="3"/>
      <c r="E2105" s="1"/>
    </row>
    <row r="2106" spans="1:5" x14ac:dyDescent="0.25">
      <c r="A2106" s="1"/>
      <c r="B2106" s="1"/>
      <c r="C2106" s="1"/>
      <c r="D2106" s="3"/>
      <c r="E2106" s="1"/>
    </row>
    <row r="2107" spans="1:5" x14ac:dyDescent="0.25">
      <c r="A2107" s="1"/>
      <c r="B2107" s="1"/>
      <c r="C2107" s="1"/>
      <c r="D2107" s="3"/>
      <c r="E2107" s="1"/>
    </row>
    <row r="2108" spans="1:5" x14ac:dyDescent="0.25">
      <c r="A2108" s="1"/>
      <c r="B2108" s="1"/>
      <c r="C2108" s="1"/>
      <c r="D2108" s="3"/>
      <c r="E2108" s="1"/>
    </row>
    <row r="2109" spans="1:5" x14ac:dyDescent="0.25">
      <c r="A2109" s="1"/>
      <c r="B2109" s="1"/>
      <c r="C2109" s="1"/>
      <c r="D2109" s="3"/>
      <c r="E2109" s="1"/>
    </row>
    <row r="2110" spans="1:5" x14ac:dyDescent="0.25">
      <c r="A2110" s="1"/>
      <c r="B2110" s="1"/>
      <c r="C2110" s="1"/>
      <c r="D2110" s="3"/>
      <c r="E2110" s="1"/>
    </row>
    <row r="2111" spans="1:5" x14ac:dyDescent="0.25">
      <c r="A2111" s="1"/>
      <c r="B2111" s="1"/>
      <c r="C2111" s="1"/>
      <c r="D2111" s="3"/>
      <c r="E2111" s="1"/>
    </row>
    <row r="2112" spans="1:5" x14ac:dyDescent="0.25">
      <c r="A2112" s="1"/>
      <c r="B2112" s="1"/>
      <c r="C2112" s="1"/>
      <c r="D2112" s="3"/>
      <c r="E2112" s="1"/>
    </row>
    <row r="2113" spans="1:5" x14ac:dyDescent="0.25">
      <c r="A2113" s="1"/>
      <c r="B2113" s="1"/>
      <c r="C2113" s="1"/>
      <c r="D2113" s="3"/>
      <c r="E2113" s="1"/>
    </row>
    <row r="2114" spans="1:5" x14ac:dyDescent="0.25">
      <c r="A2114" s="1"/>
      <c r="B2114" s="1"/>
      <c r="C2114" s="1"/>
      <c r="D2114" s="3"/>
      <c r="E2114" s="1"/>
    </row>
    <row r="2115" spans="1:5" x14ac:dyDescent="0.25">
      <c r="A2115" s="1"/>
      <c r="B2115" s="1"/>
      <c r="C2115" s="1"/>
      <c r="D2115" s="3"/>
      <c r="E2115" s="1"/>
    </row>
    <row r="2116" spans="1:5" x14ac:dyDescent="0.25">
      <c r="A2116" s="1"/>
      <c r="B2116" s="1"/>
      <c r="C2116" s="1"/>
      <c r="D2116" s="3"/>
      <c r="E2116" s="1"/>
    </row>
    <row r="2117" spans="1:5" x14ac:dyDescent="0.25">
      <c r="A2117" s="1"/>
      <c r="B2117" s="1"/>
      <c r="C2117" s="1"/>
      <c r="D2117" s="3"/>
      <c r="E2117" s="1"/>
    </row>
    <row r="2118" spans="1:5" x14ac:dyDescent="0.25">
      <c r="A2118" s="1"/>
      <c r="B2118" s="1"/>
      <c r="C2118" s="1"/>
      <c r="D2118" s="3"/>
      <c r="E2118" s="1"/>
    </row>
    <row r="2119" spans="1:5" x14ac:dyDescent="0.25">
      <c r="A2119" s="1"/>
      <c r="B2119" s="1"/>
      <c r="C2119" s="1"/>
      <c r="D2119" s="3"/>
      <c r="E2119" s="1"/>
    </row>
    <row r="2120" spans="1:5" x14ac:dyDescent="0.25">
      <c r="A2120" s="1"/>
      <c r="B2120" s="1"/>
      <c r="C2120" s="1"/>
      <c r="D2120" s="3"/>
      <c r="E2120" s="1"/>
    </row>
    <row r="2121" spans="1:5" x14ac:dyDescent="0.25">
      <c r="A2121" s="1"/>
      <c r="B2121" s="1"/>
      <c r="C2121" s="1"/>
      <c r="D2121" s="3"/>
      <c r="E2121" s="1"/>
    </row>
    <row r="2122" spans="1:5" x14ac:dyDescent="0.25">
      <c r="A2122" s="1"/>
      <c r="B2122" s="1"/>
      <c r="C2122" s="1"/>
      <c r="D2122" s="3"/>
      <c r="E2122" s="1"/>
    </row>
    <row r="2123" spans="1:5" x14ac:dyDescent="0.25">
      <c r="A2123" s="1"/>
      <c r="B2123" s="1"/>
      <c r="C2123" s="1"/>
      <c r="D2123" s="3"/>
      <c r="E2123" s="1"/>
    </row>
    <row r="2124" spans="1:5" x14ac:dyDescent="0.25">
      <c r="A2124" s="1"/>
      <c r="B2124" s="1"/>
      <c r="C2124" s="1"/>
      <c r="D2124" s="3"/>
      <c r="E2124" s="1"/>
    </row>
    <row r="2125" spans="1:5" x14ac:dyDescent="0.25">
      <c r="A2125" s="1"/>
      <c r="B2125" s="1"/>
      <c r="C2125" s="1"/>
      <c r="D2125" s="3"/>
      <c r="E2125" s="1"/>
    </row>
    <row r="2126" spans="1:5" x14ac:dyDescent="0.25">
      <c r="A2126" s="1"/>
      <c r="B2126" s="1"/>
      <c r="C2126" s="1"/>
      <c r="D2126" s="3"/>
      <c r="E2126" s="1"/>
    </row>
    <row r="2127" spans="1:5" x14ac:dyDescent="0.25">
      <c r="A2127" s="1"/>
      <c r="B2127" s="1"/>
      <c r="C2127" s="1"/>
      <c r="D2127" s="3"/>
      <c r="E2127" s="1"/>
    </row>
    <row r="2128" spans="1:5" x14ac:dyDescent="0.25">
      <c r="A2128" s="1"/>
      <c r="B2128" s="1"/>
      <c r="C2128" s="1"/>
      <c r="D2128" s="3"/>
      <c r="E2128" s="1"/>
    </row>
    <row r="2129" spans="1:5" x14ac:dyDescent="0.25">
      <c r="A2129" s="1"/>
      <c r="B2129" s="1"/>
      <c r="C2129" s="1"/>
      <c r="D2129" s="3"/>
      <c r="E2129" s="1"/>
    </row>
    <row r="2130" spans="1:5" x14ac:dyDescent="0.25">
      <c r="A2130" s="1"/>
      <c r="B2130" s="1"/>
      <c r="C2130" s="1"/>
      <c r="D2130" s="3"/>
      <c r="E2130" s="1"/>
    </row>
    <row r="2131" spans="1:5" x14ac:dyDescent="0.25">
      <c r="A2131" s="1"/>
      <c r="B2131" s="1"/>
      <c r="C2131" s="1"/>
      <c r="D2131" s="3"/>
      <c r="E2131" s="1"/>
    </row>
    <row r="2132" spans="1:5" x14ac:dyDescent="0.25">
      <c r="A2132" s="1"/>
      <c r="B2132" s="1"/>
      <c r="C2132" s="1"/>
      <c r="D2132" s="3"/>
      <c r="E2132" s="1"/>
    </row>
    <row r="2133" spans="1:5" x14ac:dyDescent="0.25">
      <c r="A2133" s="1"/>
      <c r="B2133" s="1"/>
      <c r="C2133" s="1"/>
      <c r="D2133" s="3"/>
      <c r="E2133" s="1"/>
    </row>
    <row r="2134" spans="1:5" x14ac:dyDescent="0.25">
      <c r="A2134" s="1"/>
      <c r="B2134" s="1"/>
      <c r="C2134" s="1"/>
      <c r="D2134" s="3"/>
      <c r="E2134" s="1"/>
    </row>
    <row r="2135" spans="1:5" x14ac:dyDescent="0.25">
      <c r="A2135" s="1"/>
      <c r="B2135" s="1"/>
      <c r="C2135" s="1"/>
      <c r="D2135" s="3"/>
      <c r="E2135" s="1"/>
    </row>
    <row r="2136" spans="1:5" x14ac:dyDescent="0.25">
      <c r="A2136" s="1"/>
      <c r="B2136" s="1"/>
      <c r="C2136" s="1"/>
      <c r="D2136" s="3"/>
      <c r="E2136" s="1"/>
    </row>
    <row r="2137" spans="1:5" x14ac:dyDescent="0.25">
      <c r="A2137" s="1"/>
      <c r="B2137" s="1"/>
      <c r="C2137" s="1"/>
      <c r="D2137" s="3"/>
      <c r="E2137" s="1"/>
    </row>
    <row r="2138" spans="1:5" x14ac:dyDescent="0.25">
      <c r="A2138" s="1"/>
      <c r="B2138" s="1"/>
      <c r="C2138" s="1"/>
      <c r="D2138" s="3"/>
      <c r="E2138" s="1"/>
    </row>
    <row r="2139" spans="1:5" x14ac:dyDescent="0.25">
      <c r="A2139" s="1"/>
      <c r="B2139" s="1"/>
      <c r="C2139" s="1"/>
      <c r="D2139" s="3"/>
      <c r="E2139" s="1"/>
    </row>
    <row r="2140" spans="1:5" x14ac:dyDescent="0.25">
      <c r="A2140" s="1"/>
      <c r="B2140" s="1"/>
      <c r="C2140" s="1"/>
      <c r="D2140" s="3"/>
      <c r="E2140" s="1"/>
    </row>
    <row r="2141" spans="1:5" x14ac:dyDescent="0.25">
      <c r="A2141" s="1"/>
      <c r="B2141" s="1"/>
      <c r="C2141" s="1"/>
      <c r="D2141" s="3"/>
      <c r="E2141" s="1"/>
    </row>
    <row r="2142" spans="1:5" x14ac:dyDescent="0.25">
      <c r="A2142" s="1"/>
      <c r="B2142" s="1"/>
      <c r="C2142" s="1"/>
      <c r="D2142" s="3"/>
      <c r="E2142" s="1"/>
    </row>
    <row r="2143" spans="1:5" x14ac:dyDescent="0.25">
      <c r="A2143" s="1"/>
      <c r="B2143" s="1"/>
      <c r="C2143" s="1"/>
      <c r="D2143" s="3"/>
      <c r="E2143" s="1"/>
    </row>
    <row r="2144" spans="1:5" x14ac:dyDescent="0.25">
      <c r="A2144" s="1"/>
      <c r="B2144" s="1"/>
      <c r="C2144" s="1"/>
      <c r="D2144" s="3"/>
      <c r="E2144" s="1"/>
    </row>
    <row r="2145" spans="1:5" x14ac:dyDescent="0.25">
      <c r="A2145" s="1"/>
      <c r="B2145" s="1"/>
      <c r="C2145" s="1"/>
      <c r="D2145" s="3"/>
      <c r="E2145" s="1"/>
    </row>
    <row r="2146" spans="1:5" x14ac:dyDescent="0.25">
      <c r="A2146" s="1"/>
      <c r="B2146" s="1"/>
      <c r="C2146" s="1"/>
      <c r="D2146" s="3"/>
      <c r="E2146" s="1"/>
    </row>
    <row r="2147" spans="1:5" x14ac:dyDescent="0.25">
      <c r="A2147" s="1"/>
      <c r="B2147" s="1"/>
      <c r="C2147" s="1"/>
      <c r="D2147" s="3"/>
      <c r="E2147" s="1"/>
    </row>
    <row r="2148" spans="1:5" x14ac:dyDescent="0.25">
      <c r="A2148" s="1"/>
      <c r="B2148" s="1"/>
      <c r="C2148" s="1"/>
      <c r="D2148" s="3"/>
      <c r="E2148" s="1"/>
    </row>
    <row r="2149" spans="1:5" x14ac:dyDescent="0.25">
      <c r="A2149" s="1"/>
      <c r="B2149" s="1"/>
      <c r="C2149" s="1"/>
      <c r="D2149" s="3"/>
      <c r="E2149" s="1"/>
    </row>
    <row r="2150" spans="1:5" x14ac:dyDescent="0.25">
      <c r="A2150" s="1"/>
      <c r="B2150" s="1"/>
      <c r="C2150" s="1"/>
      <c r="D2150" s="3"/>
      <c r="E2150" s="1"/>
    </row>
    <row r="2151" spans="1:5" x14ac:dyDescent="0.25">
      <c r="A2151" s="1"/>
      <c r="B2151" s="1"/>
      <c r="C2151" s="1"/>
      <c r="D2151" s="3"/>
      <c r="E2151" s="1"/>
    </row>
    <row r="2152" spans="1:5" x14ac:dyDescent="0.25">
      <c r="A2152" s="1"/>
      <c r="B2152" s="1"/>
      <c r="C2152" s="1"/>
      <c r="D2152" s="3"/>
      <c r="E2152" s="1"/>
    </row>
    <row r="2153" spans="1:5" x14ac:dyDescent="0.25">
      <c r="A2153" s="1"/>
      <c r="B2153" s="1"/>
      <c r="C2153" s="1"/>
      <c r="D2153" s="3"/>
      <c r="E2153" s="1"/>
    </row>
    <row r="2154" spans="1:5" x14ac:dyDescent="0.25">
      <c r="A2154" s="1"/>
      <c r="B2154" s="1"/>
      <c r="C2154" s="1"/>
      <c r="D2154" s="3"/>
      <c r="E2154" s="1"/>
    </row>
    <row r="2155" spans="1:5" x14ac:dyDescent="0.25">
      <c r="A2155" s="1"/>
      <c r="B2155" s="1"/>
      <c r="C2155" s="1"/>
      <c r="D2155" s="3"/>
      <c r="E2155" s="1"/>
    </row>
    <row r="2156" spans="1:5" x14ac:dyDescent="0.25">
      <c r="A2156" s="1"/>
      <c r="B2156" s="1"/>
      <c r="C2156" s="1"/>
      <c r="D2156" s="3"/>
      <c r="E2156" s="1"/>
    </row>
    <row r="2157" spans="1:5" x14ac:dyDescent="0.25">
      <c r="A2157" s="1"/>
      <c r="B2157" s="1"/>
      <c r="C2157" s="1"/>
      <c r="D2157" s="3"/>
      <c r="E2157" s="1"/>
    </row>
    <row r="2158" spans="1:5" x14ac:dyDescent="0.25">
      <c r="A2158" s="1"/>
      <c r="B2158" s="1"/>
      <c r="C2158" s="1"/>
      <c r="D2158" s="3"/>
      <c r="E2158" s="1"/>
    </row>
    <row r="2159" spans="1:5" x14ac:dyDescent="0.25">
      <c r="A2159" s="1"/>
      <c r="B2159" s="1"/>
      <c r="C2159" s="1"/>
      <c r="D2159" s="3"/>
      <c r="E2159" s="1"/>
    </row>
    <row r="2160" spans="1:5" x14ac:dyDescent="0.25">
      <c r="A2160" s="1"/>
      <c r="B2160" s="1"/>
      <c r="C2160" s="1"/>
      <c r="D2160" s="3"/>
      <c r="E2160" s="1"/>
    </row>
    <row r="2161" spans="1:5" x14ac:dyDescent="0.25">
      <c r="A2161" s="1"/>
      <c r="B2161" s="1"/>
      <c r="C2161" s="1"/>
      <c r="D2161" s="3"/>
      <c r="E2161" s="1"/>
    </row>
    <row r="2162" spans="1:5" x14ac:dyDescent="0.25">
      <c r="A2162" s="1"/>
      <c r="B2162" s="1"/>
      <c r="C2162" s="1"/>
      <c r="D2162" s="3"/>
      <c r="E2162" s="1"/>
    </row>
    <row r="2163" spans="1:5" x14ac:dyDescent="0.25">
      <c r="A2163" s="1"/>
      <c r="B2163" s="1"/>
      <c r="C2163" s="1"/>
      <c r="D2163" s="3"/>
      <c r="E2163" s="1"/>
    </row>
    <row r="2164" spans="1:5" x14ac:dyDescent="0.25">
      <c r="A2164" s="1"/>
      <c r="B2164" s="1"/>
      <c r="C2164" s="1"/>
      <c r="D2164" s="3"/>
      <c r="E2164" s="1"/>
    </row>
    <row r="2165" spans="1:5" x14ac:dyDescent="0.25">
      <c r="A2165" s="1"/>
      <c r="B2165" s="1"/>
      <c r="C2165" s="1"/>
      <c r="D2165" s="3"/>
      <c r="E2165" s="1"/>
    </row>
    <row r="2166" spans="1:5" x14ac:dyDescent="0.25">
      <c r="A2166" s="1"/>
      <c r="B2166" s="1"/>
      <c r="C2166" s="1"/>
      <c r="D2166" s="3"/>
      <c r="E2166" s="1"/>
    </row>
    <row r="2167" spans="1:5" x14ac:dyDescent="0.25">
      <c r="A2167" s="1"/>
      <c r="B2167" s="1"/>
      <c r="C2167" s="1"/>
      <c r="D2167" s="3"/>
      <c r="E2167" s="1"/>
    </row>
    <row r="2168" spans="1:5" x14ac:dyDescent="0.25">
      <c r="A2168" s="1"/>
      <c r="B2168" s="1"/>
      <c r="C2168" s="1"/>
      <c r="D2168" s="3"/>
      <c r="E2168" s="1"/>
    </row>
    <row r="2169" spans="1:5" x14ac:dyDescent="0.25">
      <c r="A2169" s="1"/>
      <c r="B2169" s="1"/>
      <c r="C2169" s="1"/>
      <c r="D2169" s="3"/>
      <c r="E2169" s="1"/>
    </row>
    <row r="2170" spans="1:5" x14ac:dyDescent="0.25">
      <c r="A2170" s="1"/>
      <c r="B2170" s="1"/>
      <c r="C2170" s="1"/>
      <c r="D2170" s="3"/>
      <c r="E2170" s="1"/>
    </row>
    <row r="2171" spans="1:5" x14ac:dyDescent="0.25">
      <c r="A2171" s="1"/>
      <c r="B2171" s="1"/>
      <c r="C2171" s="1"/>
      <c r="D2171" s="3"/>
      <c r="E2171" s="1"/>
    </row>
    <row r="2172" spans="1:5" x14ac:dyDescent="0.25">
      <c r="A2172" s="1"/>
      <c r="B2172" s="1"/>
      <c r="C2172" s="1"/>
      <c r="D2172" s="3"/>
      <c r="E2172" s="1"/>
    </row>
    <row r="2173" spans="1:5" x14ac:dyDescent="0.25">
      <c r="A2173" s="1"/>
      <c r="B2173" s="1"/>
      <c r="C2173" s="1"/>
      <c r="D2173" s="3"/>
      <c r="E2173" s="1"/>
    </row>
    <row r="2174" spans="1:5" x14ac:dyDescent="0.25">
      <c r="A2174" s="1"/>
      <c r="B2174" s="1"/>
      <c r="C2174" s="1"/>
      <c r="D2174" s="3"/>
      <c r="E2174" s="1"/>
    </row>
    <row r="2175" spans="1:5" x14ac:dyDescent="0.25">
      <c r="A2175" s="1"/>
      <c r="B2175" s="1"/>
      <c r="C2175" s="1"/>
      <c r="D2175" s="3"/>
      <c r="E2175" s="1"/>
    </row>
    <row r="2176" spans="1:5" x14ac:dyDescent="0.25">
      <c r="A2176" s="1"/>
      <c r="B2176" s="1"/>
      <c r="C2176" s="1"/>
      <c r="D2176" s="3"/>
      <c r="E2176" s="1"/>
    </row>
    <row r="2177" spans="1:5" x14ac:dyDescent="0.25">
      <c r="A2177" s="1"/>
      <c r="B2177" s="1"/>
      <c r="C2177" s="1"/>
      <c r="D2177" s="3"/>
      <c r="E2177" s="1"/>
    </row>
    <row r="2178" spans="1:5" x14ac:dyDescent="0.25">
      <c r="A2178" s="1"/>
      <c r="B2178" s="1"/>
      <c r="C2178" s="1"/>
      <c r="D2178" s="3"/>
      <c r="E2178" s="1"/>
    </row>
    <row r="2179" spans="1:5" x14ac:dyDescent="0.25">
      <c r="A2179" s="1"/>
      <c r="B2179" s="1"/>
      <c r="C2179" s="1"/>
      <c r="D2179" s="3"/>
      <c r="E2179" s="1"/>
    </row>
    <row r="2180" spans="1:5" x14ac:dyDescent="0.25">
      <c r="A2180" s="1"/>
      <c r="B2180" s="1"/>
      <c r="C2180" s="1"/>
      <c r="D2180" s="3"/>
      <c r="E2180" s="1"/>
    </row>
    <row r="2181" spans="1:5" x14ac:dyDescent="0.25">
      <c r="A2181" s="1"/>
      <c r="B2181" s="1"/>
      <c r="C2181" s="1"/>
      <c r="D2181" s="3"/>
      <c r="E2181" s="1"/>
    </row>
    <row r="2182" spans="1:5" x14ac:dyDescent="0.25">
      <c r="A2182" s="1"/>
      <c r="B2182" s="1"/>
      <c r="C2182" s="1"/>
      <c r="D2182" s="3"/>
      <c r="E2182" s="1"/>
    </row>
    <row r="2183" spans="1:5" x14ac:dyDescent="0.25">
      <c r="A2183" s="1"/>
      <c r="B2183" s="1"/>
      <c r="C2183" s="1"/>
      <c r="D2183" s="3"/>
      <c r="E2183" s="1"/>
    </row>
    <row r="2184" spans="1:5" x14ac:dyDescent="0.25">
      <c r="A2184" s="1"/>
      <c r="B2184" s="1"/>
      <c r="C2184" s="1"/>
      <c r="D2184" s="3"/>
      <c r="E2184" s="1"/>
    </row>
    <row r="2185" spans="1:5" x14ac:dyDescent="0.25">
      <c r="A2185" s="1"/>
      <c r="B2185" s="1"/>
      <c r="C2185" s="1"/>
      <c r="D2185" s="3"/>
      <c r="E2185" s="1"/>
    </row>
    <row r="2186" spans="1:5" x14ac:dyDescent="0.25">
      <c r="A2186" s="1"/>
      <c r="B2186" s="1"/>
      <c r="C2186" s="1"/>
      <c r="D2186" s="3"/>
      <c r="E2186" s="1"/>
    </row>
    <row r="2187" spans="1:5" x14ac:dyDescent="0.25">
      <c r="A2187" s="1"/>
      <c r="B2187" s="1"/>
      <c r="C2187" s="1"/>
      <c r="D2187" s="3"/>
      <c r="E2187" s="1"/>
    </row>
    <row r="2188" spans="1:5" x14ac:dyDescent="0.25">
      <c r="A2188" s="1"/>
      <c r="B2188" s="1"/>
      <c r="C2188" s="1"/>
      <c r="D2188" s="3"/>
      <c r="E2188" s="1"/>
    </row>
    <row r="2189" spans="1:5" x14ac:dyDescent="0.25">
      <c r="A2189" s="1"/>
      <c r="B2189" s="1"/>
      <c r="C2189" s="1"/>
      <c r="D2189" s="3"/>
      <c r="E2189" s="1"/>
    </row>
    <row r="2190" spans="1:5" x14ac:dyDescent="0.25">
      <c r="A2190" s="1"/>
      <c r="B2190" s="1"/>
      <c r="C2190" s="1"/>
      <c r="D2190" s="3"/>
      <c r="E2190" s="1"/>
    </row>
    <row r="2191" spans="1:5" x14ac:dyDescent="0.25">
      <c r="A2191" s="1"/>
      <c r="B2191" s="1"/>
      <c r="C2191" s="1"/>
      <c r="D2191" s="3"/>
      <c r="E2191" s="1"/>
    </row>
    <row r="2192" spans="1:5" x14ac:dyDescent="0.25">
      <c r="A2192" s="1"/>
      <c r="B2192" s="1"/>
      <c r="C2192" s="1"/>
      <c r="D2192" s="3"/>
      <c r="E2192" s="1"/>
    </row>
    <row r="2193" spans="1:5" x14ac:dyDescent="0.25">
      <c r="A2193" s="1"/>
      <c r="B2193" s="1"/>
      <c r="C2193" s="1"/>
      <c r="D2193" s="3"/>
      <c r="E2193" s="1"/>
    </row>
    <row r="2194" spans="1:5" x14ac:dyDescent="0.25">
      <c r="A2194" s="1"/>
      <c r="B2194" s="1"/>
      <c r="C2194" s="1"/>
      <c r="D2194" s="3"/>
      <c r="E2194" s="1"/>
    </row>
    <row r="2195" spans="1:5" x14ac:dyDescent="0.25">
      <c r="A2195" s="1"/>
      <c r="B2195" s="1"/>
      <c r="C2195" s="1"/>
      <c r="D2195" s="3"/>
      <c r="E2195" s="1"/>
    </row>
    <row r="2196" spans="1:5" x14ac:dyDescent="0.25">
      <c r="A2196" s="1"/>
      <c r="B2196" s="1"/>
      <c r="C2196" s="1"/>
      <c r="D2196" s="3"/>
      <c r="E2196" s="1"/>
    </row>
    <row r="2197" spans="1:5" x14ac:dyDescent="0.25">
      <c r="A2197" s="1"/>
      <c r="B2197" s="1"/>
      <c r="C2197" s="1"/>
      <c r="D2197" s="3"/>
      <c r="E2197" s="1"/>
    </row>
    <row r="2198" spans="1:5" x14ac:dyDescent="0.25">
      <c r="A2198" s="1"/>
      <c r="B2198" s="1"/>
      <c r="C2198" s="1"/>
      <c r="D2198" s="3"/>
      <c r="E2198" s="1"/>
    </row>
    <row r="2199" spans="1:5" x14ac:dyDescent="0.25">
      <c r="A2199" s="1"/>
      <c r="B2199" s="1"/>
      <c r="C2199" s="1"/>
      <c r="D2199" s="3"/>
      <c r="E2199" s="1"/>
    </row>
    <row r="2200" spans="1:5" x14ac:dyDescent="0.25">
      <c r="A2200" s="1"/>
      <c r="B2200" s="1"/>
      <c r="C2200" s="1"/>
      <c r="D2200" s="3"/>
      <c r="E2200" s="1"/>
    </row>
    <row r="2201" spans="1:5" x14ac:dyDescent="0.25">
      <c r="A2201" s="1"/>
      <c r="B2201" s="1"/>
      <c r="C2201" s="1"/>
      <c r="D2201" s="3"/>
      <c r="E2201" s="1"/>
    </row>
    <row r="2202" spans="1:5" x14ac:dyDescent="0.25">
      <c r="A2202" s="1"/>
      <c r="B2202" s="1"/>
      <c r="C2202" s="1"/>
      <c r="D2202" s="3"/>
      <c r="E2202" s="1"/>
    </row>
    <row r="2203" spans="1:5" x14ac:dyDescent="0.25">
      <c r="A2203" s="1"/>
      <c r="B2203" s="1"/>
      <c r="C2203" s="1"/>
      <c r="D2203" s="3"/>
      <c r="E2203" s="1"/>
    </row>
    <row r="2204" spans="1:5" x14ac:dyDescent="0.25">
      <c r="A2204" s="1"/>
      <c r="B2204" s="1"/>
      <c r="C2204" s="1"/>
      <c r="D2204" s="3"/>
      <c r="E2204" s="1"/>
    </row>
    <row r="2205" spans="1:5" x14ac:dyDescent="0.25">
      <c r="A2205" s="1"/>
      <c r="B2205" s="1"/>
      <c r="C2205" s="1"/>
      <c r="D2205" s="3"/>
      <c r="E2205" s="1"/>
    </row>
    <row r="2206" spans="1:5" x14ac:dyDescent="0.25">
      <c r="A2206" s="1"/>
      <c r="B2206" s="1"/>
      <c r="C2206" s="1"/>
      <c r="D2206" s="3"/>
      <c r="E2206" s="1"/>
    </row>
    <row r="2207" spans="1:5" x14ac:dyDescent="0.25">
      <c r="A2207" s="1"/>
      <c r="B2207" s="1"/>
      <c r="C2207" s="1"/>
      <c r="D2207" s="3"/>
      <c r="E2207" s="1"/>
    </row>
    <row r="2208" spans="1:5" x14ac:dyDescent="0.25">
      <c r="A2208" s="1"/>
      <c r="B2208" s="1"/>
      <c r="C2208" s="1"/>
      <c r="D2208" s="3"/>
      <c r="E2208" s="1"/>
    </row>
    <row r="2209" spans="1:5" x14ac:dyDescent="0.25">
      <c r="A2209" s="1"/>
      <c r="B2209" s="1"/>
      <c r="C2209" s="1"/>
      <c r="D2209" s="3"/>
      <c r="E2209" s="1"/>
    </row>
    <row r="2210" spans="1:5" x14ac:dyDescent="0.25">
      <c r="A2210" s="1"/>
      <c r="B2210" s="1"/>
      <c r="C2210" s="1"/>
      <c r="D2210" s="3"/>
      <c r="E2210" s="1"/>
    </row>
    <row r="2211" spans="1:5" x14ac:dyDescent="0.25">
      <c r="A2211" s="1"/>
      <c r="B2211" s="1"/>
      <c r="C2211" s="1"/>
      <c r="D2211" s="3"/>
      <c r="E2211" s="1"/>
    </row>
    <row r="2212" spans="1:5" x14ac:dyDescent="0.25">
      <c r="A2212" s="1"/>
      <c r="B2212" s="1"/>
      <c r="C2212" s="1"/>
      <c r="D2212" s="3"/>
      <c r="E2212" s="1"/>
    </row>
    <row r="2213" spans="1:5" x14ac:dyDescent="0.25">
      <c r="A2213" s="1"/>
      <c r="B2213" s="1"/>
      <c r="C2213" s="1"/>
      <c r="D2213" s="3"/>
      <c r="E2213" s="1"/>
    </row>
    <row r="2214" spans="1:5" x14ac:dyDescent="0.25">
      <c r="A2214" s="1"/>
      <c r="B2214" s="1"/>
      <c r="C2214" s="1"/>
      <c r="D2214" s="3"/>
      <c r="E2214" s="1"/>
    </row>
    <row r="2215" spans="1:5" x14ac:dyDescent="0.25">
      <c r="A2215" s="1"/>
      <c r="B2215" s="1"/>
      <c r="C2215" s="1"/>
      <c r="D2215" s="3"/>
      <c r="E2215" s="1"/>
    </row>
    <row r="2216" spans="1:5" x14ac:dyDescent="0.25">
      <c r="A2216" s="1"/>
      <c r="B2216" s="1"/>
      <c r="C2216" s="1"/>
      <c r="D2216" s="3"/>
      <c r="E2216" s="1"/>
    </row>
    <row r="2217" spans="1:5" x14ac:dyDescent="0.25">
      <c r="A2217" s="1"/>
      <c r="B2217" s="1"/>
      <c r="C2217" s="1"/>
      <c r="D2217" s="3"/>
      <c r="E2217" s="1"/>
    </row>
    <row r="2218" spans="1:5" x14ac:dyDescent="0.25">
      <c r="A2218" s="1"/>
      <c r="B2218" s="1"/>
      <c r="C2218" s="1"/>
      <c r="D2218" s="3"/>
      <c r="E2218" s="1"/>
    </row>
    <row r="2219" spans="1:5" x14ac:dyDescent="0.25">
      <c r="A2219" s="1"/>
      <c r="B2219" s="1"/>
      <c r="C2219" s="1"/>
      <c r="D2219" s="3"/>
      <c r="E2219" s="1"/>
    </row>
    <row r="2220" spans="1:5" x14ac:dyDescent="0.25">
      <c r="A2220" s="1"/>
      <c r="B2220" s="1"/>
      <c r="C2220" s="1"/>
      <c r="D2220" s="3"/>
      <c r="E2220" s="1"/>
    </row>
    <row r="2221" spans="1:5" x14ac:dyDescent="0.25">
      <c r="A2221" s="1"/>
      <c r="B2221" s="1"/>
      <c r="C2221" s="1"/>
      <c r="D2221" s="3"/>
      <c r="E2221" s="1"/>
    </row>
    <row r="2222" spans="1:5" x14ac:dyDescent="0.25">
      <c r="A2222" s="1"/>
      <c r="B2222" s="1"/>
      <c r="C2222" s="1"/>
      <c r="D2222" s="3"/>
      <c r="E2222" s="1"/>
    </row>
    <row r="2223" spans="1:5" x14ac:dyDescent="0.25">
      <c r="A2223" s="1"/>
      <c r="B2223" s="1"/>
      <c r="C2223" s="1"/>
      <c r="D2223" s="3"/>
      <c r="E2223" s="1"/>
    </row>
    <row r="2224" spans="1:5" x14ac:dyDescent="0.25">
      <c r="A2224" s="1"/>
      <c r="B2224" s="1"/>
      <c r="C2224" s="1"/>
      <c r="D2224" s="3"/>
      <c r="E2224" s="1"/>
    </row>
    <row r="2225" spans="1:5" x14ac:dyDescent="0.25">
      <c r="A2225" s="1"/>
      <c r="B2225" s="1"/>
      <c r="C2225" s="1"/>
      <c r="D2225" s="3"/>
      <c r="E2225" s="1"/>
    </row>
    <row r="2226" spans="1:5" x14ac:dyDescent="0.25">
      <c r="A2226" s="1"/>
      <c r="B2226" s="1"/>
      <c r="C2226" s="1"/>
      <c r="D2226" s="3"/>
      <c r="E2226" s="1"/>
    </row>
    <row r="2227" spans="1:5" x14ac:dyDescent="0.25">
      <c r="A2227" s="1"/>
      <c r="B2227" s="1"/>
      <c r="C2227" s="1"/>
      <c r="D2227" s="3"/>
      <c r="E2227" s="1"/>
    </row>
    <row r="2228" spans="1:5" x14ac:dyDescent="0.25">
      <c r="A2228" s="1"/>
      <c r="B2228" s="1"/>
      <c r="C2228" s="1"/>
      <c r="D2228" s="3"/>
      <c r="E2228" s="1"/>
    </row>
    <row r="2229" spans="1:5" x14ac:dyDescent="0.25">
      <c r="A2229" s="1"/>
      <c r="B2229" s="1"/>
      <c r="C2229" s="1"/>
      <c r="D2229" s="3"/>
      <c r="E2229" s="1"/>
    </row>
    <row r="2230" spans="1:5" x14ac:dyDescent="0.25">
      <c r="A2230" s="1"/>
      <c r="B2230" s="1"/>
      <c r="C2230" s="1"/>
      <c r="D2230" s="3"/>
      <c r="E2230" s="1"/>
    </row>
    <row r="2231" spans="1:5" x14ac:dyDescent="0.25">
      <c r="A2231" s="1"/>
      <c r="B2231" s="1"/>
      <c r="C2231" s="1"/>
      <c r="D2231" s="3"/>
      <c r="E2231" s="1"/>
    </row>
    <row r="2232" spans="1:5" x14ac:dyDescent="0.25">
      <c r="A2232" s="1"/>
      <c r="B2232" s="1"/>
      <c r="C2232" s="1"/>
      <c r="D2232" s="3"/>
      <c r="E2232" s="1"/>
    </row>
    <row r="2233" spans="1:5" x14ac:dyDescent="0.25">
      <c r="A2233" s="1"/>
      <c r="B2233" s="1"/>
      <c r="C2233" s="1"/>
      <c r="D2233" s="3"/>
      <c r="E2233" s="1"/>
    </row>
    <row r="2234" spans="1:5" x14ac:dyDescent="0.25">
      <c r="A2234" s="1"/>
      <c r="B2234" s="1"/>
      <c r="C2234" s="1"/>
      <c r="D2234" s="3"/>
      <c r="E2234" s="1"/>
    </row>
    <row r="2235" spans="1:5" x14ac:dyDescent="0.25">
      <c r="A2235" s="1"/>
      <c r="B2235" s="1"/>
      <c r="C2235" s="1"/>
      <c r="D2235" s="3"/>
      <c r="E2235" s="1"/>
    </row>
    <row r="2236" spans="1:5" x14ac:dyDescent="0.25">
      <c r="A2236" s="1"/>
      <c r="B2236" s="1"/>
      <c r="C2236" s="1"/>
      <c r="D2236" s="3"/>
      <c r="E2236" s="1"/>
    </row>
    <row r="2237" spans="1:5" x14ac:dyDescent="0.25">
      <c r="A2237" s="1"/>
      <c r="B2237" s="1"/>
      <c r="C2237" s="1"/>
      <c r="D2237" s="3"/>
      <c r="E2237" s="1"/>
    </row>
    <row r="2238" spans="1:5" x14ac:dyDescent="0.25">
      <c r="A2238" s="1"/>
      <c r="B2238" s="1"/>
      <c r="C2238" s="1"/>
      <c r="D2238" s="3"/>
      <c r="E2238" s="1"/>
    </row>
    <row r="2239" spans="1:5" x14ac:dyDescent="0.25">
      <c r="A2239" s="1"/>
      <c r="B2239" s="1"/>
      <c r="C2239" s="1"/>
      <c r="D2239" s="3"/>
      <c r="E2239" s="1"/>
    </row>
    <row r="2240" spans="1:5" x14ac:dyDescent="0.25">
      <c r="A2240" s="1"/>
      <c r="B2240" s="1"/>
      <c r="C2240" s="1"/>
      <c r="D2240" s="3"/>
      <c r="E2240" s="1"/>
    </row>
    <row r="2241" spans="1:5" x14ac:dyDescent="0.25">
      <c r="A2241" s="1"/>
      <c r="B2241" s="1"/>
      <c r="C2241" s="1"/>
      <c r="D2241" s="3"/>
      <c r="E2241" s="1"/>
    </row>
    <row r="2242" spans="1:5" x14ac:dyDescent="0.25">
      <c r="A2242" s="1"/>
      <c r="B2242" s="1"/>
      <c r="C2242" s="1"/>
      <c r="D2242" s="3"/>
      <c r="E2242" s="1"/>
    </row>
    <row r="2243" spans="1:5" x14ac:dyDescent="0.25">
      <c r="A2243" s="1"/>
      <c r="B2243" s="1"/>
      <c r="C2243" s="1"/>
      <c r="D2243" s="3"/>
      <c r="E2243" s="1"/>
    </row>
    <row r="2244" spans="1:5" x14ac:dyDescent="0.25">
      <c r="A2244" s="1"/>
      <c r="B2244" s="1"/>
      <c r="C2244" s="1"/>
      <c r="D2244" s="3"/>
      <c r="E2244" s="1"/>
    </row>
    <row r="2245" spans="1:5" x14ac:dyDescent="0.25">
      <c r="A2245" s="1"/>
      <c r="B2245" s="1"/>
      <c r="C2245" s="1"/>
      <c r="D2245" s="3"/>
      <c r="E2245" s="1"/>
    </row>
    <row r="2246" spans="1:5" x14ac:dyDescent="0.25">
      <c r="A2246" s="1"/>
      <c r="B2246" s="1"/>
      <c r="C2246" s="1"/>
      <c r="D2246" s="3"/>
      <c r="E2246" s="1"/>
    </row>
    <row r="2247" spans="1:5" x14ac:dyDescent="0.25">
      <c r="A2247" s="1"/>
      <c r="B2247" s="1"/>
      <c r="C2247" s="1"/>
      <c r="D2247" s="3"/>
      <c r="E2247" s="1"/>
    </row>
    <row r="2248" spans="1:5" x14ac:dyDescent="0.25">
      <c r="A2248" s="1"/>
      <c r="B2248" s="1"/>
      <c r="C2248" s="1"/>
      <c r="D2248" s="3"/>
      <c r="E2248" s="1"/>
    </row>
    <row r="2249" spans="1:5" x14ac:dyDescent="0.25">
      <c r="A2249" s="1"/>
      <c r="B2249" s="1"/>
      <c r="C2249" s="1"/>
      <c r="D2249" s="3"/>
      <c r="E2249" s="1"/>
    </row>
    <row r="2250" spans="1:5" x14ac:dyDescent="0.25">
      <c r="A2250" s="1"/>
      <c r="B2250" s="1"/>
      <c r="C2250" s="1"/>
      <c r="D2250" s="3"/>
      <c r="E2250" s="1"/>
    </row>
    <row r="2251" spans="1:5" x14ac:dyDescent="0.25">
      <c r="A2251" s="1"/>
      <c r="B2251" s="1"/>
      <c r="C2251" s="1"/>
      <c r="D2251" s="3"/>
      <c r="E2251" s="1"/>
    </row>
    <row r="2252" spans="1:5" x14ac:dyDescent="0.25">
      <c r="A2252" s="1"/>
      <c r="B2252" s="1"/>
      <c r="C2252" s="1"/>
      <c r="D2252" s="3"/>
      <c r="E2252" s="1"/>
    </row>
    <row r="2253" spans="1:5" x14ac:dyDescent="0.25">
      <c r="A2253" s="1"/>
      <c r="B2253" s="1"/>
      <c r="C2253" s="1"/>
      <c r="D2253" s="3"/>
      <c r="E2253" s="1"/>
    </row>
    <row r="2254" spans="1:5" x14ac:dyDescent="0.25">
      <c r="A2254" s="1"/>
      <c r="B2254" s="1"/>
      <c r="C2254" s="1"/>
      <c r="D2254" s="3"/>
      <c r="E2254" s="1"/>
    </row>
    <row r="2255" spans="1:5" x14ac:dyDescent="0.25">
      <c r="A2255" s="1"/>
      <c r="B2255" s="1"/>
      <c r="C2255" s="1"/>
      <c r="D2255" s="3"/>
      <c r="E2255" s="1"/>
    </row>
    <row r="2256" spans="1:5" x14ac:dyDescent="0.25">
      <c r="A2256" s="1"/>
      <c r="B2256" s="1"/>
      <c r="C2256" s="1"/>
      <c r="D2256" s="3"/>
      <c r="E2256" s="1"/>
    </row>
    <row r="2257" spans="1:5" x14ac:dyDescent="0.25">
      <c r="A2257" s="1"/>
      <c r="B2257" s="1"/>
      <c r="C2257" s="1"/>
      <c r="D2257" s="3"/>
      <c r="E2257" s="1"/>
    </row>
    <row r="2258" spans="1:5" x14ac:dyDescent="0.25">
      <c r="A2258" s="1"/>
      <c r="B2258" s="1"/>
      <c r="C2258" s="1"/>
      <c r="D2258" s="3"/>
      <c r="E2258" s="1"/>
    </row>
    <row r="2259" spans="1:5" x14ac:dyDescent="0.25">
      <c r="A2259" s="1"/>
      <c r="B2259" s="1"/>
      <c r="C2259" s="1"/>
      <c r="D2259" s="3"/>
      <c r="E2259" s="1"/>
    </row>
    <row r="2260" spans="1:5" x14ac:dyDescent="0.25">
      <c r="A2260" s="1"/>
      <c r="B2260" s="1"/>
      <c r="C2260" s="1"/>
      <c r="D2260" s="3"/>
      <c r="E2260" s="1"/>
    </row>
    <row r="2261" spans="1:5" x14ac:dyDescent="0.25">
      <c r="A2261" s="1"/>
      <c r="B2261" s="1"/>
      <c r="C2261" s="1"/>
      <c r="D2261" s="3"/>
      <c r="E2261" s="1"/>
    </row>
    <row r="2262" spans="1:5" x14ac:dyDescent="0.25">
      <c r="A2262" s="1"/>
      <c r="B2262" s="1"/>
      <c r="C2262" s="1"/>
      <c r="D2262" s="3"/>
      <c r="E2262" s="1"/>
    </row>
    <row r="2263" spans="1:5" x14ac:dyDescent="0.25">
      <c r="A2263" s="1"/>
      <c r="B2263" s="1"/>
      <c r="C2263" s="1"/>
      <c r="D2263" s="3"/>
      <c r="E2263" s="1"/>
    </row>
    <row r="2264" spans="1:5" x14ac:dyDescent="0.25">
      <c r="A2264" s="1"/>
      <c r="B2264" s="1"/>
      <c r="C2264" s="1"/>
      <c r="D2264" s="3"/>
      <c r="E2264" s="1"/>
    </row>
    <row r="2265" spans="1:5" x14ac:dyDescent="0.25">
      <c r="A2265" s="1"/>
      <c r="B2265" s="1"/>
      <c r="C2265" s="1"/>
      <c r="D2265" s="3"/>
      <c r="E2265" s="1"/>
    </row>
    <row r="2266" spans="1:5" x14ac:dyDescent="0.25">
      <c r="A2266" s="1"/>
      <c r="B2266" s="1"/>
      <c r="C2266" s="1"/>
      <c r="D2266" s="3"/>
      <c r="E2266" s="1"/>
    </row>
    <row r="2267" spans="1:5" x14ac:dyDescent="0.25">
      <c r="A2267" s="1"/>
      <c r="B2267" s="1"/>
      <c r="C2267" s="1"/>
      <c r="D2267" s="3"/>
      <c r="E2267" s="1"/>
    </row>
    <row r="2268" spans="1:5" x14ac:dyDescent="0.25">
      <c r="A2268" s="1"/>
      <c r="B2268" s="1"/>
      <c r="C2268" s="1"/>
      <c r="D2268" s="3"/>
      <c r="E2268" s="1"/>
    </row>
    <row r="2269" spans="1:5" x14ac:dyDescent="0.25">
      <c r="A2269" s="1"/>
      <c r="B2269" s="1"/>
      <c r="C2269" s="1"/>
      <c r="D2269" s="3"/>
      <c r="E2269" s="1"/>
    </row>
    <row r="2270" spans="1:5" x14ac:dyDescent="0.25">
      <c r="A2270" s="1"/>
      <c r="B2270" s="1"/>
      <c r="C2270" s="1"/>
      <c r="D2270" s="3"/>
      <c r="E2270" s="1"/>
    </row>
    <row r="2271" spans="1:5" x14ac:dyDescent="0.25">
      <c r="A2271" s="1"/>
      <c r="B2271" s="1"/>
      <c r="C2271" s="1"/>
      <c r="D2271" s="3"/>
      <c r="E2271" s="1"/>
    </row>
    <row r="2272" spans="1:5" x14ac:dyDescent="0.25">
      <c r="A2272" s="1"/>
      <c r="B2272" s="1"/>
      <c r="C2272" s="1"/>
      <c r="D2272" s="3"/>
      <c r="E2272" s="1"/>
    </row>
    <row r="2273" spans="1:5" x14ac:dyDescent="0.25">
      <c r="A2273" s="1"/>
      <c r="B2273" s="1"/>
      <c r="C2273" s="1"/>
      <c r="D2273" s="3"/>
      <c r="E2273" s="1"/>
    </row>
    <row r="2274" spans="1:5" x14ac:dyDescent="0.25">
      <c r="A2274" s="1"/>
      <c r="B2274" s="1"/>
      <c r="C2274" s="1"/>
      <c r="D2274" s="3"/>
      <c r="E2274" s="1"/>
    </row>
    <row r="2275" spans="1:5" x14ac:dyDescent="0.25">
      <c r="A2275" s="1"/>
      <c r="B2275" s="1"/>
      <c r="C2275" s="1"/>
      <c r="D2275" s="3"/>
      <c r="E2275" s="1"/>
    </row>
    <row r="2276" spans="1:5" x14ac:dyDescent="0.25">
      <c r="A2276" s="1"/>
      <c r="B2276" s="1"/>
      <c r="C2276" s="1"/>
      <c r="D2276" s="3"/>
      <c r="E2276" s="1"/>
    </row>
    <row r="2277" spans="1:5" x14ac:dyDescent="0.25">
      <c r="A2277" s="1"/>
      <c r="B2277" s="1"/>
      <c r="C2277" s="1"/>
      <c r="D2277" s="3"/>
      <c r="E2277" s="1"/>
    </row>
    <row r="2278" spans="1:5" x14ac:dyDescent="0.25">
      <c r="A2278" s="1"/>
      <c r="B2278" s="1"/>
      <c r="C2278" s="1"/>
      <c r="D2278" s="3"/>
      <c r="E2278" s="1"/>
    </row>
    <row r="2279" spans="1:5" x14ac:dyDescent="0.25">
      <c r="A2279" s="1"/>
      <c r="B2279" s="1"/>
      <c r="C2279" s="1"/>
      <c r="D2279" s="3"/>
      <c r="E2279" s="1"/>
    </row>
    <row r="2280" spans="1:5" x14ac:dyDescent="0.25">
      <c r="A2280" s="1"/>
      <c r="B2280" s="1"/>
      <c r="C2280" s="1"/>
      <c r="D2280" s="3"/>
      <c r="E2280" s="1"/>
    </row>
    <row r="2281" spans="1:5" x14ac:dyDescent="0.25">
      <c r="A2281" s="1"/>
      <c r="B2281" s="1"/>
      <c r="C2281" s="1"/>
      <c r="D2281" s="3"/>
      <c r="E2281" s="1"/>
    </row>
    <row r="2282" spans="1:5" x14ac:dyDescent="0.25">
      <c r="A2282" s="1"/>
      <c r="B2282" s="1"/>
      <c r="C2282" s="1"/>
      <c r="D2282" s="3"/>
      <c r="E2282" s="1"/>
    </row>
    <row r="2283" spans="1:5" x14ac:dyDescent="0.25">
      <c r="A2283" s="1"/>
      <c r="B2283" s="1"/>
      <c r="C2283" s="1"/>
      <c r="D2283" s="3"/>
      <c r="E2283" s="1"/>
    </row>
    <row r="2284" spans="1:5" x14ac:dyDescent="0.25">
      <c r="A2284" s="1"/>
      <c r="B2284" s="1"/>
      <c r="C2284" s="1"/>
      <c r="D2284" s="3"/>
      <c r="E2284" s="1"/>
    </row>
    <row r="2285" spans="1:5" x14ac:dyDescent="0.25">
      <c r="A2285" s="1"/>
      <c r="B2285" s="1"/>
      <c r="C2285" s="1"/>
      <c r="D2285" s="3"/>
      <c r="E2285" s="1"/>
    </row>
    <row r="2286" spans="1:5" x14ac:dyDescent="0.25">
      <c r="A2286" s="1"/>
      <c r="B2286" s="1"/>
      <c r="C2286" s="1"/>
      <c r="D2286" s="3"/>
      <c r="E2286" s="1"/>
    </row>
    <row r="2287" spans="1:5" x14ac:dyDescent="0.25">
      <c r="A2287" s="1"/>
      <c r="B2287" s="1"/>
      <c r="C2287" s="1"/>
      <c r="D2287" s="3"/>
      <c r="E2287" s="1"/>
    </row>
    <row r="2288" spans="1:5" x14ac:dyDescent="0.25">
      <c r="A2288" s="1"/>
      <c r="B2288" s="1"/>
      <c r="C2288" s="1"/>
      <c r="D2288" s="3"/>
      <c r="E2288" s="1"/>
    </row>
    <row r="2289" spans="1:5" x14ac:dyDescent="0.25">
      <c r="A2289" s="1"/>
      <c r="B2289" s="1"/>
      <c r="C2289" s="1"/>
      <c r="D2289" s="3"/>
      <c r="E2289" s="1"/>
    </row>
    <row r="2290" spans="1:5" x14ac:dyDescent="0.25">
      <c r="A2290" s="1"/>
      <c r="B2290" s="1"/>
      <c r="C2290" s="1"/>
      <c r="D2290" s="3"/>
      <c r="E2290" s="1"/>
    </row>
    <row r="2291" spans="1:5" x14ac:dyDescent="0.25">
      <c r="A2291" s="1"/>
      <c r="B2291" s="1"/>
      <c r="C2291" s="1"/>
      <c r="D2291" s="3"/>
      <c r="E2291" s="1"/>
    </row>
    <row r="2292" spans="1:5" x14ac:dyDescent="0.25">
      <c r="A2292" s="1"/>
      <c r="B2292" s="1"/>
      <c r="C2292" s="1"/>
      <c r="D2292" s="3"/>
      <c r="E2292" s="1"/>
    </row>
    <row r="2293" spans="1:5" x14ac:dyDescent="0.25">
      <c r="A2293" s="1"/>
      <c r="B2293" s="1"/>
      <c r="C2293" s="1"/>
      <c r="D2293" s="3"/>
      <c r="E2293" s="1"/>
    </row>
    <row r="2294" spans="1:5" x14ac:dyDescent="0.25">
      <c r="A2294" s="1"/>
      <c r="B2294" s="1"/>
      <c r="C2294" s="1"/>
      <c r="D2294" s="3"/>
      <c r="E2294" s="1"/>
    </row>
    <row r="2295" spans="1:5" x14ac:dyDescent="0.25">
      <c r="A2295" s="1"/>
      <c r="B2295" s="1"/>
      <c r="C2295" s="1"/>
      <c r="D2295" s="3"/>
      <c r="E2295" s="1"/>
    </row>
    <row r="2296" spans="1:5" x14ac:dyDescent="0.25">
      <c r="A2296" s="1"/>
      <c r="B2296" s="1"/>
      <c r="C2296" s="1"/>
      <c r="D2296" s="3"/>
      <c r="E2296" s="1"/>
    </row>
    <row r="2297" spans="1:5" x14ac:dyDescent="0.25">
      <c r="A2297" s="1"/>
      <c r="B2297" s="1"/>
      <c r="C2297" s="1"/>
      <c r="D2297" s="3"/>
      <c r="E2297" s="1"/>
    </row>
    <row r="2298" spans="1:5" x14ac:dyDescent="0.25">
      <c r="A2298" s="1"/>
      <c r="B2298" s="1"/>
      <c r="C2298" s="1"/>
      <c r="D2298" s="3"/>
      <c r="E2298" s="1"/>
    </row>
    <row r="2299" spans="1:5" x14ac:dyDescent="0.25">
      <c r="A2299" s="1"/>
      <c r="B2299" s="1"/>
      <c r="C2299" s="1"/>
      <c r="D2299" s="3"/>
      <c r="E2299" s="1"/>
    </row>
    <row r="2300" spans="1:5" x14ac:dyDescent="0.25">
      <c r="A2300" s="1"/>
      <c r="B2300" s="1"/>
      <c r="C2300" s="1"/>
      <c r="D2300" s="3"/>
      <c r="E2300" s="1"/>
    </row>
    <row r="2301" spans="1:5" x14ac:dyDescent="0.25">
      <c r="A2301" s="1"/>
      <c r="B2301" s="1"/>
      <c r="C2301" s="1"/>
      <c r="D2301" s="3"/>
      <c r="E2301" s="1"/>
    </row>
    <row r="2302" spans="1:5" x14ac:dyDescent="0.25">
      <c r="A2302" s="1"/>
      <c r="B2302" s="1"/>
      <c r="C2302" s="1"/>
      <c r="D2302" s="3"/>
      <c r="E2302" s="1"/>
    </row>
    <row r="2303" spans="1:5" x14ac:dyDescent="0.25">
      <c r="A2303" s="1"/>
      <c r="B2303" s="1"/>
      <c r="C2303" s="1"/>
      <c r="D2303" s="3"/>
      <c r="E2303" s="1"/>
    </row>
    <row r="2304" spans="1:5" x14ac:dyDescent="0.25">
      <c r="A2304" s="1"/>
      <c r="B2304" s="1"/>
      <c r="C2304" s="1"/>
      <c r="D2304" s="3"/>
      <c r="E2304" s="1"/>
    </row>
    <row r="2305" spans="1:5" x14ac:dyDescent="0.25">
      <c r="A2305" s="1"/>
      <c r="B2305" s="1"/>
      <c r="C2305" s="1"/>
      <c r="D2305" s="3"/>
      <c r="E2305" s="1"/>
    </row>
    <row r="2306" spans="1:5" x14ac:dyDescent="0.25">
      <c r="A2306" s="1"/>
      <c r="B2306" s="1"/>
      <c r="C2306" s="1"/>
      <c r="D2306" s="3"/>
      <c r="E2306" s="1"/>
    </row>
    <row r="2307" spans="1:5" x14ac:dyDescent="0.25">
      <c r="A2307" s="1"/>
      <c r="B2307" s="1"/>
      <c r="C2307" s="1"/>
      <c r="D2307" s="3"/>
      <c r="E2307" s="1"/>
    </row>
    <row r="2308" spans="1:5" x14ac:dyDescent="0.25">
      <c r="A2308" s="1"/>
      <c r="B2308" s="1"/>
      <c r="C2308" s="1"/>
      <c r="D2308" s="3"/>
      <c r="E2308" s="1"/>
    </row>
    <row r="2309" spans="1:5" x14ac:dyDescent="0.25">
      <c r="A2309" s="1"/>
      <c r="B2309" s="1"/>
      <c r="C2309" s="1"/>
      <c r="D2309" s="3"/>
      <c r="E2309" s="1"/>
    </row>
    <row r="2310" spans="1:5" x14ac:dyDescent="0.25">
      <c r="A2310" s="1"/>
      <c r="B2310" s="1"/>
      <c r="C2310" s="1"/>
      <c r="D2310" s="3"/>
      <c r="E2310" s="1"/>
    </row>
    <row r="2311" spans="1:5" x14ac:dyDescent="0.25">
      <c r="A2311" s="1"/>
      <c r="B2311" s="1"/>
      <c r="C2311" s="1"/>
      <c r="D2311" s="3"/>
      <c r="E2311" s="1"/>
    </row>
    <row r="2312" spans="1:5" x14ac:dyDescent="0.25">
      <c r="A2312" s="1"/>
      <c r="B2312" s="1"/>
      <c r="C2312" s="1"/>
      <c r="D2312" s="3"/>
      <c r="E2312" s="1"/>
    </row>
    <row r="2313" spans="1:5" x14ac:dyDescent="0.25">
      <c r="A2313" s="1"/>
      <c r="B2313" s="1"/>
      <c r="C2313" s="1"/>
      <c r="D2313" s="3"/>
      <c r="E2313" s="1"/>
    </row>
    <row r="2314" spans="1:5" x14ac:dyDescent="0.25">
      <c r="A2314" s="1"/>
      <c r="B2314" s="1"/>
      <c r="C2314" s="1"/>
      <c r="D2314" s="3"/>
      <c r="E2314" s="1"/>
    </row>
    <row r="2315" spans="1:5" x14ac:dyDescent="0.25">
      <c r="A2315" s="1"/>
      <c r="B2315" s="1"/>
      <c r="C2315" s="1"/>
      <c r="D2315" s="3"/>
      <c r="E2315" s="1"/>
    </row>
    <row r="2316" spans="1:5" x14ac:dyDescent="0.25">
      <c r="A2316" s="1"/>
      <c r="B2316" s="1"/>
      <c r="C2316" s="1"/>
      <c r="D2316" s="3"/>
      <c r="E2316" s="1"/>
    </row>
    <row r="2317" spans="1:5" x14ac:dyDescent="0.25">
      <c r="A2317" s="1"/>
      <c r="B2317" s="1"/>
      <c r="C2317" s="1"/>
      <c r="D2317" s="3"/>
      <c r="E2317" s="1"/>
    </row>
    <row r="2318" spans="1:5" x14ac:dyDescent="0.25">
      <c r="A2318" s="1"/>
      <c r="B2318" s="1"/>
      <c r="C2318" s="1"/>
      <c r="D2318" s="3"/>
      <c r="E2318" s="1"/>
    </row>
    <row r="2319" spans="1:5" x14ac:dyDescent="0.25">
      <c r="A2319" s="1"/>
      <c r="B2319" s="1"/>
      <c r="C2319" s="1"/>
      <c r="D2319" s="3"/>
      <c r="E2319" s="1"/>
    </row>
    <row r="2320" spans="1:5" x14ac:dyDescent="0.25">
      <c r="A2320" s="1"/>
      <c r="B2320" s="1"/>
      <c r="C2320" s="1"/>
      <c r="D2320" s="3"/>
      <c r="E2320" s="1"/>
    </row>
    <row r="2321" spans="1:5" x14ac:dyDescent="0.25">
      <c r="A2321" s="1"/>
      <c r="B2321" s="1"/>
      <c r="C2321" s="1"/>
      <c r="D2321" s="3"/>
      <c r="E2321" s="1"/>
    </row>
    <row r="2322" spans="1:5" x14ac:dyDescent="0.25">
      <c r="A2322" s="1"/>
      <c r="B2322" s="1"/>
      <c r="C2322" s="1"/>
      <c r="D2322" s="3"/>
      <c r="E2322" s="1"/>
    </row>
    <row r="2323" spans="1:5" x14ac:dyDescent="0.25">
      <c r="A2323" s="1"/>
      <c r="B2323" s="1"/>
      <c r="C2323" s="1"/>
      <c r="D2323" s="3"/>
      <c r="E2323" s="1"/>
    </row>
    <row r="2324" spans="1:5" x14ac:dyDescent="0.25">
      <c r="A2324" s="1"/>
      <c r="B2324" s="1"/>
      <c r="C2324" s="1"/>
      <c r="D2324" s="3"/>
      <c r="E2324" s="1"/>
    </row>
    <row r="2325" spans="1:5" x14ac:dyDescent="0.25">
      <c r="A2325" s="1"/>
      <c r="B2325" s="1"/>
      <c r="C2325" s="1"/>
      <c r="D2325" s="3"/>
      <c r="E2325" s="1"/>
    </row>
    <row r="2326" spans="1:5" x14ac:dyDescent="0.25">
      <c r="A2326" s="1"/>
      <c r="B2326" s="1"/>
      <c r="C2326" s="1"/>
      <c r="D2326" s="3"/>
      <c r="E2326" s="1"/>
    </row>
    <row r="2327" spans="1:5" x14ac:dyDescent="0.25">
      <c r="A2327" s="1"/>
      <c r="B2327" s="1"/>
      <c r="C2327" s="1"/>
      <c r="D2327" s="3"/>
      <c r="E2327" s="1"/>
    </row>
    <row r="2328" spans="1:5" x14ac:dyDescent="0.25">
      <c r="A2328" s="1"/>
      <c r="B2328" s="1"/>
      <c r="C2328" s="1"/>
      <c r="D2328" s="3"/>
      <c r="E2328" s="1"/>
    </row>
    <row r="2329" spans="1:5" x14ac:dyDescent="0.25">
      <c r="A2329" s="1"/>
      <c r="B2329" s="1"/>
      <c r="C2329" s="1"/>
      <c r="D2329" s="3"/>
      <c r="E2329" s="1"/>
    </row>
    <row r="2330" spans="1:5" x14ac:dyDescent="0.25">
      <c r="A2330" s="1"/>
      <c r="B2330" s="1"/>
      <c r="C2330" s="1"/>
      <c r="D2330" s="3"/>
      <c r="E2330" s="1"/>
    </row>
    <row r="2331" spans="1:5" x14ac:dyDescent="0.25">
      <c r="A2331" s="1"/>
      <c r="B2331" s="1"/>
      <c r="C2331" s="1"/>
      <c r="D2331" s="3"/>
      <c r="E2331" s="1"/>
    </row>
    <row r="2332" spans="1:5" x14ac:dyDescent="0.25">
      <c r="A2332" s="1"/>
      <c r="B2332" s="1"/>
      <c r="C2332" s="1"/>
      <c r="D2332" s="3"/>
      <c r="E2332" s="1"/>
    </row>
    <row r="2333" spans="1:5" x14ac:dyDescent="0.25">
      <c r="A2333" s="1"/>
      <c r="B2333" s="1"/>
      <c r="C2333" s="1"/>
      <c r="D2333" s="3"/>
      <c r="E2333" s="1"/>
    </row>
    <row r="2334" spans="1:5" x14ac:dyDescent="0.25">
      <c r="A2334" s="1"/>
      <c r="B2334" s="1"/>
      <c r="C2334" s="1"/>
      <c r="D2334" s="3"/>
      <c r="E2334" s="1"/>
    </row>
    <row r="2335" spans="1:5" x14ac:dyDescent="0.25">
      <c r="A2335" s="1"/>
      <c r="B2335" s="1"/>
      <c r="C2335" s="1"/>
      <c r="D2335" s="3"/>
      <c r="E2335" s="1"/>
    </row>
    <row r="2336" spans="1:5" x14ac:dyDescent="0.25">
      <c r="A2336" s="1"/>
      <c r="B2336" s="1"/>
      <c r="C2336" s="1"/>
      <c r="D2336" s="3"/>
      <c r="E2336" s="1"/>
    </row>
    <row r="2337" spans="1:5" x14ac:dyDescent="0.25">
      <c r="A2337" s="1"/>
      <c r="B2337" s="1"/>
      <c r="C2337" s="1"/>
      <c r="D2337" s="3"/>
      <c r="E2337" s="1"/>
    </row>
    <row r="2338" spans="1:5" x14ac:dyDescent="0.25">
      <c r="A2338" s="1"/>
      <c r="B2338" s="1"/>
      <c r="C2338" s="1"/>
      <c r="D2338" s="3"/>
      <c r="E2338" s="1"/>
    </row>
    <row r="2339" spans="1:5" x14ac:dyDescent="0.25">
      <c r="A2339" s="1"/>
      <c r="B2339" s="1"/>
      <c r="C2339" s="1"/>
      <c r="D2339" s="3"/>
      <c r="E2339" s="1"/>
    </row>
    <row r="2340" spans="1:5" x14ac:dyDescent="0.25">
      <c r="A2340" s="1"/>
      <c r="B2340" s="1"/>
      <c r="C2340" s="1"/>
      <c r="D2340" s="3"/>
      <c r="E2340" s="1"/>
    </row>
    <row r="2341" spans="1:5" x14ac:dyDescent="0.25">
      <c r="A2341" s="1"/>
      <c r="B2341" s="1"/>
      <c r="C2341" s="1"/>
      <c r="D2341" s="3"/>
      <c r="E2341" s="1"/>
    </row>
    <row r="2342" spans="1:5" x14ac:dyDescent="0.25">
      <c r="A2342" s="1"/>
      <c r="B2342" s="1"/>
      <c r="C2342" s="1"/>
      <c r="D2342" s="3"/>
      <c r="E2342" s="1"/>
    </row>
    <row r="2343" spans="1:5" x14ac:dyDescent="0.25">
      <c r="A2343" s="1"/>
      <c r="B2343" s="1"/>
      <c r="C2343" s="1"/>
      <c r="D2343" s="3"/>
      <c r="E2343" s="1"/>
    </row>
    <row r="2344" spans="1:5" x14ac:dyDescent="0.25">
      <c r="A2344" s="1"/>
      <c r="B2344" s="1"/>
      <c r="C2344" s="1"/>
      <c r="D2344" s="3"/>
      <c r="E2344" s="1"/>
    </row>
    <row r="2345" spans="1:5" x14ac:dyDescent="0.25">
      <c r="A2345" s="1"/>
      <c r="B2345" s="1"/>
      <c r="C2345" s="1"/>
      <c r="D2345" s="3"/>
      <c r="E2345" s="1"/>
    </row>
    <row r="2346" spans="1:5" x14ac:dyDescent="0.25">
      <c r="A2346" s="1"/>
      <c r="B2346" s="1"/>
      <c r="C2346" s="1"/>
      <c r="D2346" s="3"/>
      <c r="E2346" s="1"/>
    </row>
    <row r="2347" spans="1:5" x14ac:dyDescent="0.25">
      <c r="A2347" s="1"/>
      <c r="B2347" s="1"/>
      <c r="C2347" s="1"/>
      <c r="D2347" s="3"/>
      <c r="E2347" s="1"/>
    </row>
    <row r="2348" spans="1:5" x14ac:dyDescent="0.25">
      <c r="A2348" s="1"/>
      <c r="B2348" s="1"/>
      <c r="C2348" s="1"/>
      <c r="D2348" s="3"/>
      <c r="E2348" s="1"/>
    </row>
    <row r="2349" spans="1:5" x14ac:dyDescent="0.25">
      <c r="A2349" s="1"/>
      <c r="B2349" s="1"/>
      <c r="C2349" s="1"/>
      <c r="D2349" s="3"/>
      <c r="E2349" s="1"/>
    </row>
    <row r="2350" spans="1:5" x14ac:dyDescent="0.25">
      <c r="A2350" s="1"/>
      <c r="B2350" s="1"/>
      <c r="C2350" s="1"/>
      <c r="D2350" s="3"/>
      <c r="E2350" s="1"/>
    </row>
    <row r="2351" spans="1:5" x14ac:dyDescent="0.25">
      <c r="A2351" s="1"/>
      <c r="B2351" s="1"/>
      <c r="C2351" s="1"/>
      <c r="D2351" s="3"/>
      <c r="E2351" s="1"/>
    </row>
    <row r="2352" spans="1:5" x14ac:dyDescent="0.25">
      <c r="A2352" s="1"/>
      <c r="B2352" s="1"/>
      <c r="C2352" s="1"/>
      <c r="D2352" s="3"/>
      <c r="E2352" s="1"/>
    </row>
    <row r="2353" spans="1:5" x14ac:dyDescent="0.25">
      <c r="A2353" s="1"/>
      <c r="B2353" s="1"/>
      <c r="C2353" s="1"/>
      <c r="D2353" s="3"/>
      <c r="E2353" s="1"/>
    </row>
    <row r="2354" spans="1:5" x14ac:dyDescent="0.25">
      <c r="A2354" s="1"/>
      <c r="B2354" s="1"/>
      <c r="C2354" s="1"/>
      <c r="D2354" s="3"/>
      <c r="E2354" s="1"/>
    </row>
    <row r="2355" spans="1:5" x14ac:dyDescent="0.25">
      <c r="A2355" s="1"/>
      <c r="B2355" s="1"/>
      <c r="C2355" s="1"/>
      <c r="D2355" s="3"/>
      <c r="E2355" s="1"/>
    </row>
    <row r="2356" spans="1:5" x14ac:dyDescent="0.25">
      <c r="A2356" s="1"/>
      <c r="B2356" s="1"/>
      <c r="C2356" s="1"/>
      <c r="D2356" s="3"/>
      <c r="E2356" s="1"/>
    </row>
    <row r="2357" spans="1:5" x14ac:dyDescent="0.25">
      <c r="A2357" s="1"/>
      <c r="B2357" s="1"/>
      <c r="C2357" s="1"/>
      <c r="D2357" s="3"/>
      <c r="E2357" s="1"/>
    </row>
    <row r="2358" spans="1:5" x14ac:dyDescent="0.25">
      <c r="A2358" s="1"/>
      <c r="B2358" s="1"/>
      <c r="C2358" s="1"/>
      <c r="D2358" s="3"/>
      <c r="E2358" s="1"/>
    </row>
    <row r="2359" spans="1:5" x14ac:dyDescent="0.25">
      <c r="A2359" s="1"/>
      <c r="B2359" s="1"/>
      <c r="C2359" s="1"/>
      <c r="D2359" s="3"/>
      <c r="E2359" s="1"/>
    </row>
    <row r="2360" spans="1:5" x14ac:dyDescent="0.25">
      <c r="A2360" s="1"/>
      <c r="B2360" s="1"/>
      <c r="C2360" s="1"/>
      <c r="D2360" s="3"/>
      <c r="E2360" s="1"/>
    </row>
    <row r="2361" spans="1:5" x14ac:dyDescent="0.25">
      <c r="A2361" s="1"/>
      <c r="B2361" s="1"/>
      <c r="C2361" s="1"/>
      <c r="D2361" s="3"/>
      <c r="E2361" s="1"/>
    </row>
    <row r="2362" spans="1:5" x14ac:dyDescent="0.25">
      <c r="A2362" s="1"/>
      <c r="B2362" s="1"/>
      <c r="C2362" s="1"/>
      <c r="D2362" s="3"/>
      <c r="E2362" s="1"/>
    </row>
    <row r="2363" spans="1:5" x14ac:dyDescent="0.25">
      <c r="A2363" s="1"/>
      <c r="B2363" s="1"/>
      <c r="C2363" s="1"/>
      <c r="D2363" s="3"/>
      <c r="E2363" s="1"/>
    </row>
    <row r="2364" spans="1:5" x14ac:dyDescent="0.25">
      <c r="A2364" s="1"/>
      <c r="B2364" s="1"/>
      <c r="C2364" s="1"/>
      <c r="D2364" s="3"/>
      <c r="E2364" s="1"/>
    </row>
    <row r="2365" spans="1:5" x14ac:dyDescent="0.25">
      <c r="A2365" s="1"/>
      <c r="B2365" s="1"/>
      <c r="C2365" s="1"/>
      <c r="D2365" s="3"/>
      <c r="E2365" s="1"/>
    </row>
    <row r="2366" spans="1:5" x14ac:dyDescent="0.25">
      <c r="A2366" s="1"/>
      <c r="B2366" s="1"/>
      <c r="C2366" s="1"/>
      <c r="D2366" s="3"/>
      <c r="E2366" s="1"/>
    </row>
    <row r="2367" spans="1:5" x14ac:dyDescent="0.25">
      <c r="A2367" s="1"/>
      <c r="B2367" s="1"/>
      <c r="C2367" s="1"/>
      <c r="D2367" s="3"/>
      <c r="E2367" s="1"/>
    </row>
    <row r="2368" spans="1:5" x14ac:dyDescent="0.25">
      <c r="A2368" s="1"/>
      <c r="B2368" s="1"/>
      <c r="C2368" s="1"/>
      <c r="D2368" s="3"/>
      <c r="E2368" s="1"/>
    </row>
    <row r="2369" spans="1:5" x14ac:dyDescent="0.25">
      <c r="A2369" s="1"/>
      <c r="B2369" s="1"/>
      <c r="C2369" s="1"/>
      <c r="D2369" s="3"/>
      <c r="E2369" s="1"/>
    </row>
    <row r="2370" spans="1:5" x14ac:dyDescent="0.25">
      <c r="A2370" s="1"/>
      <c r="B2370" s="1"/>
      <c r="C2370" s="1"/>
      <c r="D2370" s="3"/>
      <c r="E2370" s="1"/>
    </row>
    <row r="2371" spans="1:5" x14ac:dyDescent="0.25">
      <c r="A2371" s="1"/>
      <c r="B2371" s="1"/>
      <c r="C2371" s="1"/>
      <c r="D2371" s="3"/>
      <c r="E2371" s="1"/>
    </row>
    <row r="2372" spans="1:5" x14ac:dyDescent="0.25">
      <c r="A2372" s="1"/>
      <c r="B2372" s="1"/>
      <c r="C2372" s="1"/>
      <c r="D2372" s="3"/>
      <c r="E2372" s="1"/>
    </row>
    <row r="2373" spans="1:5" x14ac:dyDescent="0.25">
      <c r="A2373" s="1"/>
      <c r="B2373" s="1"/>
      <c r="C2373" s="1"/>
      <c r="D2373" s="3"/>
      <c r="E2373" s="1"/>
    </row>
    <row r="2374" spans="1:5" x14ac:dyDescent="0.25">
      <c r="A2374" s="1"/>
      <c r="B2374" s="1"/>
      <c r="C2374" s="1"/>
      <c r="D2374" s="3"/>
      <c r="E2374" s="1"/>
    </row>
    <row r="2375" spans="1:5" x14ac:dyDescent="0.25">
      <c r="A2375" s="1"/>
      <c r="B2375" s="1"/>
      <c r="C2375" s="1"/>
      <c r="D2375" s="3"/>
      <c r="E2375" s="1"/>
    </row>
    <row r="2376" spans="1:5" x14ac:dyDescent="0.25">
      <c r="A2376" s="1"/>
      <c r="B2376" s="1"/>
      <c r="C2376" s="1"/>
      <c r="D2376" s="3"/>
      <c r="E2376" s="1"/>
    </row>
    <row r="2377" spans="1:5" x14ac:dyDescent="0.25">
      <c r="A2377" s="1"/>
      <c r="B2377" s="1"/>
      <c r="C2377" s="1"/>
      <c r="D2377" s="3"/>
      <c r="E2377" s="1"/>
    </row>
    <row r="2378" spans="1:5" x14ac:dyDescent="0.25">
      <c r="A2378" s="1"/>
      <c r="B2378" s="1"/>
      <c r="C2378" s="1"/>
      <c r="D2378" s="3"/>
      <c r="E2378" s="1"/>
    </row>
    <row r="2379" spans="1:5" x14ac:dyDescent="0.25">
      <c r="A2379" s="1"/>
      <c r="B2379" s="1"/>
      <c r="C2379" s="1"/>
      <c r="D2379" s="3"/>
      <c r="E2379" s="1"/>
    </row>
    <row r="2380" spans="1:5" x14ac:dyDescent="0.25">
      <c r="A2380" s="1"/>
      <c r="B2380" s="1"/>
      <c r="C2380" s="1"/>
      <c r="D2380" s="3"/>
      <c r="E2380" s="1"/>
    </row>
    <row r="2381" spans="1:5" x14ac:dyDescent="0.25">
      <c r="A2381" s="1"/>
      <c r="B2381" s="1"/>
      <c r="C2381" s="1"/>
      <c r="D2381" s="3"/>
      <c r="E2381" s="1"/>
    </row>
    <row r="2382" spans="1:5" x14ac:dyDescent="0.25">
      <c r="A2382" s="1"/>
      <c r="B2382" s="1"/>
      <c r="C2382" s="1"/>
      <c r="D2382" s="3"/>
      <c r="E2382" s="1"/>
    </row>
    <row r="2383" spans="1:5" x14ac:dyDescent="0.25">
      <c r="A2383" s="1"/>
      <c r="B2383" s="1"/>
      <c r="C2383" s="1"/>
      <c r="D2383" s="3"/>
      <c r="E2383" s="1"/>
    </row>
    <row r="2384" spans="1:5" x14ac:dyDescent="0.25">
      <c r="A2384" s="1"/>
      <c r="B2384" s="1"/>
      <c r="C2384" s="1"/>
      <c r="D2384" s="3"/>
      <c r="E2384" s="1"/>
    </row>
    <row r="2385" spans="1:5" x14ac:dyDescent="0.25">
      <c r="A2385" s="1"/>
      <c r="B2385" s="1"/>
      <c r="C2385" s="1"/>
      <c r="D2385" s="3"/>
      <c r="E2385" s="1"/>
    </row>
    <row r="2386" spans="1:5" x14ac:dyDescent="0.25">
      <c r="A2386" s="1"/>
      <c r="B2386" s="1"/>
      <c r="C2386" s="1"/>
      <c r="D2386" s="3"/>
      <c r="E2386" s="1"/>
    </row>
    <row r="2387" spans="1:5" x14ac:dyDescent="0.25">
      <c r="A2387" s="1"/>
      <c r="B2387" s="1"/>
      <c r="C2387" s="1"/>
      <c r="D2387" s="3"/>
      <c r="E2387" s="1"/>
    </row>
    <row r="2388" spans="1:5" x14ac:dyDescent="0.25">
      <c r="A2388" s="1"/>
      <c r="B2388" s="1"/>
      <c r="C2388" s="1"/>
      <c r="D2388" s="3"/>
      <c r="E2388" s="1"/>
    </row>
    <row r="2389" spans="1:5" x14ac:dyDescent="0.25">
      <c r="A2389" s="1"/>
      <c r="B2389" s="1"/>
      <c r="C2389" s="1"/>
      <c r="D2389" s="3"/>
      <c r="E2389" s="1"/>
    </row>
    <row r="2390" spans="1:5" x14ac:dyDescent="0.25">
      <c r="A2390" s="1"/>
      <c r="B2390" s="1"/>
      <c r="C2390" s="1"/>
      <c r="D2390" s="3"/>
      <c r="E2390" s="1"/>
    </row>
    <row r="2391" spans="1:5" x14ac:dyDescent="0.25">
      <c r="A2391" s="1"/>
      <c r="B2391" s="1"/>
      <c r="C2391" s="1"/>
      <c r="D2391" s="3"/>
      <c r="E2391" s="1"/>
    </row>
    <row r="2392" spans="1:5" x14ac:dyDescent="0.25">
      <c r="A2392" s="1"/>
      <c r="B2392" s="1"/>
      <c r="C2392" s="1"/>
      <c r="D2392" s="3"/>
      <c r="E2392" s="1"/>
    </row>
    <row r="2393" spans="1:5" x14ac:dyDescent="0.25">
      <c r="A2393" s="1"/>
      <c r="B2393" s="1"/>
      <c r="C2393" s="1"/>
      <c r="D2393" s="3"/>
      <c r="E2393" s="1"/>
    </row>
    <row r="2394" spans="1:5" x14ac:dyDescent="0.25">
      <c r="A2394" s="1"/>
      <c r="B2394" s="1"/>
      <c r="C2394" s="1"/>
      <c r="D2394" s="3"/>
      <c r="E2394" s="1"/>
    </row>
    <row r="2395" spans="1:5" x14ac:dyDescent="0.25">
      <c r="A2395" s="1"/>
      <c r="B2395" s="1"/>
      <c r="C2395" s="1"/>
      <c r="D2395" s="3"/>
      <c r="E2395" s="1"/>
    </row>
    <row r="2396" spans="1:5" x14ac:dyDescent="0.25">
      <c r="A2396" s="1"/>
      <c r="B2396" s="1"/>
      <c r="C2396" s="1"/>
      <c r="D2396" s="3"/>
      <c r="E2396" s="1"/>
    </row>
    <row r="2397" spans="1:5" x14ac:dyDescent="0.25">
      <c r="A2397" s="1"/>
      <c r="B2397" s="1"/>
      <c r="C2397" s="1"/>
      <c r="D2397" s="3"/>
      <c r="E2397" s="1"/>
    </row>
    <row r="2398" spans="1:5" x14ac:dyDescent="0.25">
      <c r="A2398" s="1"/>
      <c r="B2398" s="1"/>
      <c r="C2398" s="1"/>
      <c r="D2398" s="3"/>
      <c r="E2398" s="1"/>
    </row>
    <row r="2399" spans="1:5" x14ac:dyDescent="0.25">
      <c r="A2399" s="1"/>
      <c r="B2399" s="1"/>
      <c r="C2399" s="1"/>
      <c r="D2399" s="3"/>
      <c r="E2399" s="1"/>
    </row>
    <row r="2400" spans="1:5" x14ac:dyDescent="0.25">
      <c r="A2400" s="1"/>
      <c r="B2400" s="1"/>
      <c r="C2400" s="1"/>
      <c r="D2400" s="3"/>
      <c r="E2400" s="1"/>
    </row>
    <row r="2401" spans="1:5" x14ac:dyDescent="0.25">
      <c r="A2401" s="1"/>
      <c r="B2401" s="1"/>
      <c r="C2401" s="1"/>
      <c r="D2401" s="3"/>
      <c r="E2401" s="1"/>
    </row>
    <row r="2402" spans="1:5" x14ac:dyDescent="0.25">
      <c r="A2402" s="1"/>
      <c r="B2402" s="1"/>
      <c r="C2402" s="1"/>
      <c r="D2402" s="3"/>
      <c r="E2402" s="1"/>
    </row>
    <row r="2403" spans="1:5" x14ac:dyDescent="0.25">
      <c r="A2403" s="1"/>
      <c r="B2403" s="1"/>
      <c r="C2403" s="1"/>
      <c r="D2403" s="3"/>
      <c r="E2403" s="1"/>
    </row>
    <row r="2404" spans="1:5" x14ac:dyDescent="0.25">
      <c r="A2404" s="1"/>
      <c r="B2404" s="1"/>
      <c r="C2404" s="1"/>
      <c r="D2404" s="3"/>
      <c r="E2404" s="1"/>
    </row>
    <row r="2405" spans="1:5" x14ac:dyDescent="0.25">
      <c r="A2405" s="1"/>
      <c r="B2405" s="1"/>
      <c r="C2405" s="1"/>
      <c r="D2405" s="3"/>
      <c r="E2405" s="1"/>
    </row>
    <row r="2406" spans="1:5" x14ac:dyDescent="0.25">
      <c r="A2406" s="1"/>
      <c r="B2406" s="1"/>
      <c r="C2406" s="1"/>
      <c r="D2406" s="3"/>
      <c r="E2406" s="1"/>
    </row>
    <row r="2407" spans="1:5" x14ac:dyDescent="0.25">
      <c r="A2407" s="1"/>
      <c r="B2407" s="1"/>
      <c r="C2407" s="1"/>
      <c r="D2407" s="3"/>
      <c r="E240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2776E-04BF-4C0A-A562-86BFAF438611}">
  <dimension ref="A1:E655"/>
  <sheetViews>
    <sheetView workbookViewId="0">
      <selection activeCell="F30" sqref="F30"/>
    </sheetView>
  </sheetViews>
  <sheetFormatPr defaultColWidth="9.140625" defaultRowHeight="15" x14ac:dyDescent="0.25"/>
  <cols>
    <col min="1" max="1" width="20.28515625" customWidth="1"/>
    <col min="2" max="2" width="29.28515625" customWidth="1"/>
    <col min="3" max="3" width="22.5703125" customWidth="1"/>
    <col min="4" max="4" width="23.28515625" customWidth="1"/>
    <col min="5" max="5" width="118.28515625" customWidth="1"/>
  </cols>
  <sheetData>
    <row r="1" spans="1:5" ht="18.75" x14ac:dyDescent="0.3">
      <c r="A1" s="5" t="s">
        <v>784</v>
      </c>
      <c r="D1" s="4"/>
    </row>
    <row r="2" spans="1:5" x14ac:dyDescent="0.25">
      <c r="A2" s="1" t="s">
        <v>0</v>
      </c>
      <c r="B2" s="1" t="s">
        <v>1</v>
      </c>
      <c r="C2" s="1" t="s">
        <v>2</v>
      </c>
      <c r="D2" s="3" t="s">
        <v>115</v>
      </c>
      <c r="E2" s="1" t="s">
        <v>3</v>
      </c>
    </row>
    <row r="3" spans="1:5" x14ac:dyDescent="0.25">
      <c r="A3" s="1" t="s">
        <v>785</v>
      </c>
      <c r="B3" s="1" t="s">
        <v>787</v>
      </c>
      <c r="C3" s="1" t="s">
        <v>786</v>
      </c>
      <c r="D3" s="3">
        <v>981020031381027</v>
      </c>
      <c r="E3" s="1" t="s">
        <v>84</v>
      </c>
    </row>
    <row r="4" spans="1:5" x14ac:dyDescent="0.25">
      <c r="A4" s="1" t="s">
        <v>788</v>
      </c>
      <c r="B4" s="1" t="s">
        <v>789</v>
      </c>
      <c r="C4" s="1" t="s">
        <v>790</v>
      </c>
      <c r="D4" s="3">
        <v>981020037363425</v>
      </c>
      <c r="E4" s="1" t="s">
        <v>791</v>
      </c>
    </row>
    <row r="5" spans="1:5" x14ac:dyDescent="0.25">
      <c r="A5" s="1" t="s">
        <v>792</v>
      </c>
      <c r="B5" s="1" t="s">
        <v>16</v>
      </c>
      <c r="C5" s="1" t="s">
        <v>793</v>
      </c>
      <c r="D5" s="3">
        <v>981020033086157</v>
      </c>
      <c r="E5" s="1" t="s">
        <v>171</v>
      </c>
    </row>
    <row r="6" spans="1:5" x14ac:dyDescent="0.25">
      <c r="A6" s="1" t="s">
        <v>850</v>
      </c>
      <c r="B6" s="1" t="s">
        <v>5</v>
      </c>
      <c r="C6" s="1" t="s">
        <v>851</v>
      </c>
      <c r="D6" s="3">
        <v>981020045134542</v>
      </c>
      <c r="E6" s="1" t="s">
        <v>852</v>
      </c>
    </row>
    <row r="7" spans="1:5" x14ac:dyDescent="0.25">
      <c r="A7" s="1" t="s">
        <v>853</v>
      </c>
      <c r="B7" s="1" t="s">
        <v>854</v>
      </c>
      <c r="C7" s="1" t="s">
        <v>855</v>
      </c>
      <c r="D7" s="3">
        <v>981020045154834</v>
      </c>
      <c r="E7" s="1" t="s">
        <v>856</v>
      </c>
    </row>
    <row r="8" spans="1:5" x14ac:dyDescent="0.25">
      <c r="A8" s="1" t="s">
        <v>857</v>
      </c>
      <c r="B8" s="1" t="s">
        <v>92</v>
      </c>
      <c r="C8" s="1" t="s">
        <v>858</v>
      </c>
      <c r="D8" s="3">
        <v>981020039627868</v>
      </c>
      <c r="E8" s="1" t="s">
        <v>859</v>
      </c>
    </row>
    <row r="9" spans="1:5" x14ac:dyDescent="0.25">
      <c r="A9" s="1" t="s">
        <v>860</v>
      </c>
      <c r="B9" s="1" t="s">
        <v>861</v>
      </c>
      <c r="C9" s="1" t="s">
        <v>862</v>
      </c>
      <c r="D9" s="3">
        <v>990000004659991</v>
      </c>
      <c r="E9" s="1" t="s">
        <v>863</v>
      </c>
    </row>
    <row r="10" spans="1:5" x14ac:dyDescent="0.25">
      <c r="A10" s="1" t="s">
        <v>864</v>
      </c>
      <c r="B10" s="1" t="s">
        <v>17</v>
      </c>
      <c r="C10" s="1" t="s">
        <v>865</v>
      </c>
      <c r="D10" s="3">
        <v>981020037655891</v>
      </c>
      <c r="E10" s="1" t="s">
        <v>866</v>
      </c>
    </row>
    <row r="11" spans="1:5" x14ac:dyDescent="0.25">
      <c r="A11" s="1" t="s">
        <v>867</v>
      </c>
      <c r="B11" s="1" t="s">
        <v>868</v>
      </c>
      <c r="C11" s="1" t="s">
        <v>869</v>
      </c>
      <c r="D11" s="3">
        <v>981020045096215</v>
      </c>
      <c r="E11" s="1" t="s">
        <v>870</v>
      </c>
    </row>
    <row r="12" spans="1:5" x14ac:dyDescent="0.25">
      <c r="A12" s="1" t="s">
        <v>867</v>
      </c>
      <c r="B12" s="1" t="s">
        <v>871</v>
      </c>
      <c r="C12" s="1" t="s">
        <v>872</v>
      </c>
      <c r="D12" s="3">
        <v>981020039318212</v>
      </c>
      <c r="E12" s="1" t="s">
        <v>101</v>
      </c>
    </row>
    <row r="13" spans="1:5" x14ac:dyDescent="0.25">
      <c r="A13" s="1" t="s">
        <v>873</v>
      </c>
      <c r="B13" s="1" t="s">
        <v>589</v>
      </c>
      <c r="C13" s="1" t="s">
        <v>874</v>
      </c>
      <c r="D13" s="3">
        <v>981020035165913</v>
      </c>
      <c r="E13" s="1" t="s">
        <v>657</v>
      </c>
    </row>
    <row r="14" spans="1:5" x14ac:dyDescent="0.25">
      <c r="A14" s="1" t="s">
        <v>875</v>
      </c>
      <c r="B14" s="1" t="s">
        <v>876</v>
      </c>
      <c r="C14" s="1" t="s">
        <v>877</v>
      </c>
      <c r="D14" s="3">
        <v>981020045133028</v>
      </c>
      <c r="E14" s="1" t="s">
        <v>878</v>
      </c>
    </row>
    <row r="15" spans="1:5" x14ac:dyDescent="0.25">
      <c r="A15" s="1" t="s">
        <v>875</v>
      </c>
      <c r="B15" s="1" t="s">
        <v>349</v>
      </c>
      <c r="C15" s="1" t="s">
        <v>881</v>
      </c>
      <c r="D15" s="3">
        <v>981020021523303</v>
      </c>
      <c r="E15" s="1" t="s">
        <v>882</v>
      </c>
    </row>
    <row r="16" spans="1:5" x14ac:dyDescent="0.25">
      <c r="A16" s="1" t="s">
        <v>875</v>
      </c>
      <c r="B16" s="1" t="s">
        <v>22</v>
      </c>
      <c r="C16" s="1" t="s">
        <v>879</v>
      </c>
      <c r="D16" s="3">
        <v>981020037374418</v>
      </c>
      <c r="E16" s="1" t="s">
        <v>880</v>
      </c>
    </row>
    <row r="17" spans="1:5" x14ac:dyDescent="0.25">
      <c r="A17" s="1" t="s">
        <v>883</v>
      </c>
      <c r="B17" s="1" t="s">
        <v>11</v>
      </c>
      <c r="C17" s="1" t="s">
        <v>884</v>
      </c>
      <c r="D17" s="3">
        <v>981020035751668</v>
      </c>
      <c r="E17" s="1" t="s">
        <v>885</v>
      </c>
    </row>
    <row r="18" spans="1:5" x14ac:dyDescent="0.25">
      <c r="A18" s="1" t="s">
        <v>886</v>
      </c>
      <c r="B18" s="1" t="s">
        <v>887</v>
      </c>
      <c r="C18" s="1" t="s">
        <v>888</v>
      </c>
      <c r="D18" s="3">
        <v>981020033619719</v>
      </c>
      <c r="E18" s="1" t="s">
        <v>889</v>
      </c>
    </row>
    <row r="19" spans="1:5" x14ac:dyDescent="0.25">
      <c r="A19" s="1" t="s">
        <v>890</v>
      </c>
      <c r="B19" s="1" t="s">
        <v>31</v>
      </c>
      <c r="C19" s="1" t="s">
        <v>891</v>
      </c>
      <c r="D19" s="3">
        <v>981020037809237</v>
      </c>
      <c r="E19" s="1" t="s">
        <v>893</v>
      </c>
    </row>
    <row r="20" spans="1:5" x14ac:dyDescent="0.25">
      <c r="A20" s="1" t="s">
        <v>890</v>
      </c>
      <c r="B20" s="1" t="s">
        <v>895</v>
      </c>
      <c r="C20" s="1" t="s">
        <v>894</v>
      </c>
      <c r="D20" s="3">
        <v>981020025169569</v>
      </c>
      <c r="E20" s="1" t="s">
        <v>892</v>
      </c>
    </row>
    <row r="21" spans="1:5" x14ac:dyDescent="0.25">
      <c r="A21" s="1" t="s">
        <v>896</v>
      </c>
      <c r="B21" s="1" t="s">
        <v>73</v>
      </c>
      <c r="C21" s="1" t="s">
        <v>897</v>
      </c>
      <c r="D21" s="3">
        <v>981020051577840</v>
      </c>
      <c r="E21" s="1" t="s">
        <v>898</v>
      </c>
    </row>
    <row r="22" spans="1:5" x14ac:dyDescent="0.25">
      <c r="A22" s="1" t="s">
        <v>896</v>
      </c>
      <c r="B22" s="1" t="s">
        <v>55</v>
      </c>
      <c r="C22" s="1" t="s">
        <v>900</v>
      </c>
      <c r="D22" s="3">
        <v>981020023242317</v>
      </c>
      <c r="E22" s="1" t="s">
        <v>899</v>
      </c>
    </row>
    <row r="23" spans="1:5" x14ac:dyDescent="0.25">
      <c r="A23" s="1" t="s">
        <v>896</v>
      </c>
      <c r="B23" s="1" t="s">
        <v>107</v>
      </c>
      <c r="C23" s="1" t="s">
        <v>901</v>
      </c>
      <c r="D23" s="3">
        <v>981020041801870</v>
      </c>
      <c r="E23" s="1" t="s">
        <v>902</v>
      </c>
    </row>
    <row r="24" spans="1:5" x14ac:dyDescent="0.25">
      <c r="A24" s="1" t="s">
        <v>903</v>
      </c>
      <c r="B24" s="1" t="s">
        <v>904</v>
      </c>
      <c r="C24" s="1" t="s">
        <v>905</v>
      </c>
      <c r="D24" s="3">
        <v>981020027298720</v>
      </c>
      <c r="E24" s="1" t="s">
        <v>906</v>
      </c>
    </row>
    <row r="25" spans="1:5" x14ac:dyDescent="0.25">
      <c r="A25" s="1" t="s">
        <v>909</v>
      </c>
      <c r="B25" s="1" t="s">
        <v>812</v>
      </c>
      <c r="C25" s="1" t="s">
        <v>908</v>
      </c>
      <c r="D25" s="3">
        <v>985141002976843</v>
      </c>
      <c r="E25" s="1" t="s">
        <v>907</v>
      </c>
    </row>
    <row r="26" spans="1:5" x14ac:dyDescent="0.25">
      <c r="A26" s="1" t="s">
        <v>910</v>
      </c>
      <c r="B26" s="1" t="s">
        <v>74</v>
      </c>
      <c r="C26" s="1" t="s">
        <v>911</v>
      </c>
      <c r="D26" s="3">
        <v>981020037810740</v>
      </c>
      <c r="E26" s="1" t="s">
        <v>912</v>
      </c>
    </row>
    <row r="27" spans="1:5" x14ac:dyDescent="0.25">
      <c r="A27" s="1" t="s">
        <v>910</v>
      </c>
      <c r="B27" s="1" t="s">
        <v>11</v>
      </c>
      <c r="C27" s="1" t="s">
        <v>925</v>
      </c>
      <c r="D27" s="3">
        <v>900220610017063</v>
      </c>
      <c r="E27" s="1" t="s">
        <v>913</v>
      </c>
    </row>
    <row r="28" spans="1:5" x14ac:dyDescent="0.25">
      <c r="A28" s="1" t="s">
        <v>914</v>
      </c>
      <c r="B28" s="1" t="s">
        <v>11</v>
      </c>
      <c r="C28" s="1" t="s">
        <v>915</v>
      </c>
      <c r="D28" s="3">
        <v>981020025627588</v>
      </c>
      <c r="E28" s="1" t="s">
        <v>916</v>
      </c>
    </row>
    <row r="29" spans="1:5" x14ac:dyDescent="0.25">
      <c r="A29" s="1" t="s">
        <v>914</v>
      </c>
      <c r="B29" s="1" t="s">
        <v>99</v>
      </c>
      <c r="C29" s="1" t="s">
        <v>918</v>
      </c>
      <c r="D29" s="3">
        <v>981020045148991</v>
      </c>
      <c r="E29" s="1" t="s">
        <v>917</v>
      </c>
    </row>
    <row r="30" spans="1:5" x14ac:dyDescent="0.25">
      <c r="A30" s="1" t="s">
        <v>919</v>
      </c>
      <c r="B30" s="1" t="s">
        <v>349</v>
      </c>
      <c r="C30" s="1" t="s">
        <v>920</v>
      </c>
      <c r="D30" s="3">
        <v>981020033595937</v>
      </c>
      <c r="E30" s="1" t="s">
        <v>921</v>
      </c>
    </row>
    <row r="31" spans="1:5" x14ac:dyDescent="0.25">
      <c r="A31" s="1" t="s">
        <v>919</v>
      </c>
      <c r="B31" s="1" t="s">
        <v>924</v>
      </c>
      <c r="C31" s="1" t="s">
        <v>923</v>
      </c>
      <c r="D31" s="3">
        <v>981020035781835</v>
      </c>
      <c r="E31" s="1" t="s">
        <v>922</v>
      </c>
    </row>
    <row r="32" spans="1:5" x14ac:dyDescent="0.25">
      <c r="A32" s="1" t="s">
        <v>926</v>
      </c>
      <c r="B32" s="1" t="s">
        <v>840</v>
      </c>
      <c r="C32" s="1" t="s">
        <v>927</v>
      </c>
      <c r="D32" s="3">
        <v>981020039138153</v>
      </c>
      <c r="E32" s="1" t="s">
        <v>928</v>
      </c>
    </row>
    <row r="33" spans="1:5" x14ac:dyDescent="0.25">
      <c r="A33" s="1" t="s">
        <v>929</v>
      </c>
      <c r="B33" s="1" t="s">
        <v>973</v>
      </c>
      <c r="C33" s="1" t="s">
        <v>930</v>
      </c>
      <c r="D33" s="3">
        <v>981020021440005</v>
      </c>
      <c r="E33" s="1" t="s">
        <v>931</v>
      </c>
    </row>
    <row r="34" spans="1:5" x14ac:dyDescent="0.25">
      <c r="A34" s="1" t="s">
        <v>933</v>
      </c>
      <c r="B34" s="1" t="s">
        <v>35</v>
      </c>
      <c r="C34" s="1" t="s">
        <v>932</v>
      </c>
      <c r="D34" s="3">
        <v>981020051031661</v>
      </c>
      <c r="E34" s="1" t="s">
        <v>810</v>
      </c>
    </row>
    <row r="35" spans="1:5" x14ac:dyDescent="0.25">
      <c r="A35" s="1" t="s">
        <v>934</v>
      </c>
      <c r="B35" s="1" t="s">
        <v>294</v>
      </c>
      <c r="C35" s="1" t="s">
        <v>935</v>
      </c>
      <c r="D35" s="3">
        <v>981020031329573</v>
      </c>
      <c r="E35" s="1" t="s">
        <v>936</v>
      </c>
    </row>
    <row r="36" spans="1:5" x14ac:dyDescent="0.25">
      <c r="A36" s="1" t="s">
        <v>934</v>
      </c>
      <c r="B36" s="1" t="s">
        <v>974</v>
      </c>
      <c r="C36" s="1" t="s">
        <v>938</v>
      </c>
      <c r="D36" s="3">
        <v>981020035740164</v>
      </c>
      <c r="E36" s="1" t="s">
        <v>937</v>
      </c>
    </row>
    <row r="37" spans="1:5" x14ac:dyDescent="0.25">
      <c r="A37" s="1" t="s">
        <v>934</v>
      </c>
      <c r="B37" s="1" t="s">
        <v>96</v>
      </c>
      <c r="C37" s="1" t="s">
        <v>939</v>
      </c>
      <c r="D37" s="3">
        <v>981020037356076</v>
      </c>
      <c r="E37" s="1" t="s">
        <v>940</v>
      </c>
    </row>
    <row r="38" spans="1:5" x14ac:dyDescent="0.25">
      <c r="A38" s="1" t="s">
        <v>941</v>
      </c>
      <c r="B38" s="1" t="s">
        <v>69</v>
      </c>
      <c r="C38" s="1" t="s">
        <v>942</v>
      </c>
      <c r="D38" s="3" t="s">
        <v>943</v>
      </c>
      <c r="E38" s="1" t="s">
        <v>944</v>
      </c>
    </row>
    <row r="39" spans="1:5" x14ac:dyDescent="0.25">
      <c r="A39" s="1" t="s">
        <v>975</v>
      </c>
      <c r="B39" s="1" t="s">
        <v>31</v>
      </c>
      <c r="C39" s="1" t="s">
        <v>976</v>
      </c>
      <c r="D39" s="3">
        <v>981020033766894</v>
      </c>
      <c r="E39" s="1" t="s">
        <v>977</v>
      </c>
    </row>
    <row r="40" spans="1:5" x14ac:dyDescent="0.25">
      <c r="A40" s="1" t="s">
        <v>945</v>
      </c>
      <c r="B40" s="1" t="s">
        <v>124</v>
      </c>
      <c r="C40" s="1" t="s">
        <v>946</v>
      </c>
      <c r="D40" s="3">
        <v>981020023226058</v>
      </c>
      <c r="E40" s="1" t="s">
        <v>947</v>
      </c>
    </row>
    <row r="41" spans="1:5" x14ac:dyDescent="0.25">
      <c r="A41" s="1" t="s">
        <v>948</v>
      </c>
      <c r="B41" s="1" t="s">
        <v>949</v>
      </c>
      <c r="C41" s="1" t="s">
        <v>950</v>
      </c>
      <c r="D41" s="3">
        <v>981020033772308</v>
      </c>
      <c r="E41" s="1" t="s">
        <v>951</v>
      </c>
    </row>
    <row r="42" spans="1:5" x14ac:dyDescent="0.25">
      <c r="A42" s="1" t="s">
        <v>952</v>
      </c>
      <c r="B42" s="1" t="s">
        <v>389</v>
      </c>
      <c r="C42" s="1" t="s">
        <v>953</v>
      </c>
      <c r="D42" s="3">
        <v>981020031332003</v>
      </c>
      <c r="E42" s="1" t="s">
        <v>954</v>
      </c>
    </row>
    <row r="43" spans="1:5" x14ac:dyDescent="0.25">
      <c r="A43" s="1" t="s">
        <v>955</v>
      </c>
      <c r="B43" s="1" t="s">
        <v>35</v>
      </c>
      <c r="C43" s="1" t="s">
        <v>956</v>
      </c>
      <c r="D43" s="3">
        <v>981020031358339</v>
      </c>
      <c r="E43" s="1" t="s">
        <v>957</v>
      </c>
    </row>
    <row r="44" spans="1:5" x14ac:dyDescent="0.25">
      <c r="A44" s="1" t="s">
        <v>961</v>
      </c>
      <c r="B44" s="1" t="s">
        <v>960</v>
      </c>
      <c r="C44" s="1" t="s">
        <v>959</v>
      </c>
      <c r="D44" s="3">
        <v>981020031385780</v>
      </c>
      <c r="E44" s="1" t="s">
        <v>958</v>
      </c>
    </row>
    <row r="45" spans="1:5" x14ac:dyDescent="0.25">
      <c r="A45" s="1" t="s">
        <v>962</v>
      </c>
      <c r="B45" s="1" t="s">
        <v>9</v>
      </c>
      <c r="C45" s="1" t="s">
        <v>972</v>
      </c>
      <c r="D45" s="3">
        <v>981020045155381</v>
      </c>
      <c r="E45" s="1" t="s">
        <v>661</v>
      </c>
    </row>
    <row r="46" spans="1:5" x14ac:dyDescent="0.25">
      <c r="A46" s="1" t="s">
        <v>963</v>
      </c>
      <c r="B46" s="1" t="s">
        <v>964</v>
      </c>
      <c r="C46" s="1" t="s">
        <v>965</v>
      </c>
      <c r="D46" s="3">
        <v>981020051143307</v>
      </c>
      <c r="E46" s="1" t="s">
        <v>966</v>
      </c>
    </row>
    <row r="47" spans="1:5" x14ac:dyDescent="0.25">
      <c r="A47" s="1" t="s">
        <v>963</v>
      </c>
      <c r="B47" s="1" t="s">
        <v>31</v>
      </c>
      <c r="C47" s="1" t="s">
        <v>971</v>
      </c>
      <c r="D47" s="3">
        <v>981020037355507</v>
      </c>
      <c r="E47" s="1" t="s">
        <v>967</v>
      </c>
    </row>
    <row r="48" spans="1:5" x14ac:dyDescent="0.25">
      <c r="A48" s="1" t="s">
        <v>963</v>
      </c>
      <c r="B48" s="1" t="s">
        <v>969</v>
      </c>
      <c r="C48" s="1" t="s">
        <v>970</v>
      </c>
      <c r="D48" s="3">
        <v>981020045124783</v>
      </c>
      <c r="E48" s="1" t="s">
        <v>968</v>
      </c>
    </row>
    <row r="49" spans="1:5" x14ac:dyDescent="0.25">
      <c r="A49" s="1" t="s">
        <v>978</v>
      </c>
      <c r="B49" s="1" t="s">
        <v>108</v>
      </c>
      <c r="C49" s="1" t="s">
        <v>979</v>
      </c>
      <c r="D49" s="3">
        <v>981020037339477</v>
      </c>
      <c r="E49" s="1" t="s">
        <v>980</v>
      </c>
    </row>
    <row r="50" spans="1:5" x14ac:dyDescent="0.25">
      <c r="A50" s="1" t="s">
        <v>983</v>
      </c>
      <c r="B50" s="1" t="s">
        <v>102</v>
      </c>
      <c r="C50" s="1" t="s">
        <v>982</v>
      </c>
      <c r="D50" s="3">
        <v>981020025195230</v>
      </c>
      <c r="E50" s="1" t="s">
        <v>981</v>
      </c>
    </row>
    <row r="51" spans="1:5" x14ac:dyDescent="0.25">
      <c r="A51" s="1" t="s">
        <v>984</v>
      </c>
      <c r="B51" s="1" t="s">
        <v>987</v>
      </c>
      <c r="C51" s="1" t="s">
        <v>988</v>
      </c>
      <c r="D51" s="3">
        <v>981020037656692</v>
      </c>
      <c r="E51" s="1" t="s">
        <v>989</v>
      </c>
    </row>
    <row r="52" spans="1:5" x14ac:dyDescent="0.25">
      <c r="A52" s="1" t="s">
        <v>984</v>
      </c>
      <c r="B52" s="1" t="s">
        <v>67</v>
      </c>
      <c r="C52" s="1" t="s">
        <v>985</v>
      </c>
      <c r="D52" s="3">
        <v>981020033748257</v>
      </c>
      <c r="E52" s="1" t="s">
        <v>986</v>
      </c>
    </row>
    <row r="53" spans="1:5" x14ac:dyDescent="0.25">
      <c r="A53" s="1" t="s">
        <v>990</v>
      </c>
      <c r="B53" s="1" t="s">
        <v>991</v>
      </c>
      <c r="C53" s="1" t="s">
        <v>992</v>
      </c>
      <c r="D53" s="3">
        <v>981020051011924</v>
      </c>
      <c r="E53" s="1" t="s">
        <v>966</v>
      </c>
    </row>
    <row r="54" spans="1:5" x14ac:dyDescent="0.25">
      <c r="A54" s="1" t="s">
        <v>995</v>
      </c>
      <c r="B54" s="1" t="s">
        <v>99</v>
      </c>
      <c r="C54" s="1" t="s">
        <v>994</v>
      </c>
      <c r="D54" s="3">
        <v>981020049194880</v>
      </c>
      <c r="E54" s="1" t="s">
        <v>993</v>
      </c>
    </row>
    <row r="55" spans="1:5" x14ac:dyDescent="0.25">
      <c r="A55" s="1" t="s">
        <v>996</v>
      </c>
      <c r="B55" s="1" t="s">
        <v>349</v>
      </c>
      <c r="C55" s="1" t="s">
        <v>997</v>
      </c>
      <c r="D55" s="3">
        <v>981020025645712</v>
      </c>
      <c r="E55" s="1" t="s">
        <v>998</v>
      </c>
    </row>
    <row r="56" spans="1:5" x14ac:dyDescent="0.25">
      <c r="A56" s="1" t="s">
        <v>1001</v>
      </c>
      <c r="B56" s="1" t="s">
        <v>21</v>
      </c>
      <c r="C56" s="1" t="s">
        <v>1000</v>
      </c>
      <c r="D56" s="3">
        <v>981020049641271</v>
      </c>
      <c r="E56" s="1" t="s">
        <v>999</v>
      </c>
    </row>
    <row r="57" spans="1:5" x14ac:dyDescent="0.25">
      <c r="A57" s="1" t="s">
        <v>1002</v>
      </c>
      <c r="B57" s="1" t="s">
        <v>1003</v>
      </c>
      <c r="C57" s="1" t="s">
        <v>1004</v>
      </c>
      <c r="D57" s="3">
        <v>981020051005487</v>
      </c>
      <c r="E57" s="1" t="s">
        <v>1005</v>
      </c>
    </row>
    <row r="58" spans="1:5" x14ac:dyDescent="0.25">
      <c r="A58" s="1" t="s">
        <v>1009</v>
      </c>
      <c r="B58" s="1" t="s">
        <v>1008</v>
      </c>
      <c r="C58" s="1" t="s">
        <v>1007</v>
      </c>
      <c r="D58" s="3">
        <v>981020033589579</v>
      </c>
      <c r="E58" s="1" t="s">
        <v>1006</v>
      </c>
    </row>
    <row r="59" spans="1:5" x14ac:dyDescent="0.25">
      <c r="A59" s="1" t="s">
        <v>1009</v>
      </c>
      <c r="B59" s="1" t="s">
        <v>10</v>
      </c>
      <c r="C59" s="1" t="s">
        <v>1010</v>
      </c>
      <c r="D59" s="3">
        <v>985141001325785</v>
      </c>
      <c r="E59" s="1" t="s">
        <v>1011</v>
      </c>
    </row>
    <row r="60" spans="1:5" x14ac:dyDescent="0.25">
      <c r="A60" s="1" t="s">
        <v>1012</v>
      </c>
      <c r="B60" s="1" t="s">
        <v>645</v>
      </c>
      <c r="C60" s="1" t="s">
        <v>1013</v>
      </c>
      <c r="D60" s="3">
        <v>981020037626123</v>
      </c>
      <c r="E60" s="1" t="s">
        <v>1014</v>
      </c>
    </row>
    <row r="61" spans="1:5" x14ac:dyDescent="0.25">
      <c r="A61" s="1" t="s">
        <v>1017</v>
      </c>
      <c r="B61" s="1" t="s">
        <v>85</v>
      </c>
      <c r="C61" s="1" t="s">
        <v>1016</v>
      </c>
      <c r="D61" s="3">
        <v>981020023676610</v>
      </c>
      <c r="E61" s="1" t="s">
        <v>1015</v>
      </c>
    </row>
    <row r="62" spans="1:5" x14ac:dyDescent="0.25">
      <c r="A62" s="1" t="s">
        <v>1018</v>
      </c>
      <c r="B62" s="1" t="s">
        <v>812</v>
      </c>
      <c r="C62" s="1" t="s">
        <v>1019</v>
      </c>
      <c r="D62" s="3">
        <v>981020023230325</v>
      </c>
      <c r="E62" s="1" t="s">
        <v>1020</v>
      </c>
    </row>
    <row r="63" spans="1:5" x14ac:dyDescent="0.25">
      <c r="A63" s="1" t="s">
        <v>1021</v>
      </c>
      <c r="B63" s="1" t="s">
        <v>28</v>
      </c>
      <c r="C63" s="1" t="s">
        <v>1022</v>
      </c>
      <c r="D63" s="3">
        <v>981020049685800</v>
      </c>
      <c r="E63" s="1" t="s">
        <v>1023</v>
      </c>
    </row>
    <row r="64" spans="1:5" x14ac:dyDescent="0.25">
      <c r="A64" s="1" t="s">
        <v>1021</v>
      </c>
      <c r="B64" s="1" t="s">
        <v>31</v>
      </c>
      <c r="C64" s="1" t="s">
        <v>1025</v>
      </c>
      <c r="D64" s="3">
        <v>981020037350886</v>
      </c>
      <c r="E64" s="1" t="s">
        <v>1024</v>
      </c>
    </row>
    <row r="65" spans="1:5" x14ac:dyDescent="0.25">
      <c r="A65" s="1" t="s">
        <v>1021</v>
      </c>
      <c r="B65" s="1" t="s">
        <v>1026</v>
      </c>
      <c r="C65" s="1" t="s">
        <v>1027</v>
      </c>
      <c r="D65" s="3" t="s">
        <v>27</v>
      </c>
      <c r="E65" s="1" t="s">
        <v>1028</v>
      </c>
    </row>
    <row r="66" spans="1:5" x14ac:dyDescent="0.25">
      <c r="A66" s="1" t="s">
        <v>1031</v>
      </c>
      <c r="B66" s="1" t="s">
        <v>61</v>
      </c>
      <c r="C66" s="1" t="s">
        <v>1030</v>
      </c>
      <c r="D66" s="3">
        <v>981020031358368</v>
      </c>
      <c r="E66" s="1" t="s">
        <v>1029</v>
      </c>
    </row>
    <row r="67" spans="1:5" x14ac:dyDescent="0.25">
      <c r="A67" s="1" t="s">
        <v>1031</v>
      </c>
      <c r="B67" s="1" t="s">
        <v>52</v>
      </c>
      <c r="C67" s="1" t="s">
        <v>1069</v>
      </c>
      <c r="D67" s="3">
        <v>981020023533123</v>
      </c>
      <c r="E67" s="1" t="s">
        <v>1070</v>
      </c>
    </row>
    <row r="68" spans="1:5" x14ac:dyDescent="0.25">
      <c r="A68" s="1" t="s">
        <v>1032</v>
      </c>
      <c r="B68" s="1" t="s">
        <v>789</v>
      </c>
      <c r="C68" s="1" t="s">
        <v>1033</v>
      </c>
      <c r="D68" s="3">
        <v>981020031349176</v>
      </c>
      <c r="E68" s="1" t="s">
        <v>1034</v>
      </c>
    </row>
    <row r="69" spans="1:5" x14ac:dyDescent="0.25">
      <c r="A69" s="1" t="s">
        <v>1032</v>
      </c>
      <c r="B69" s="1" t="s">
        <v>17</v>
      </c>
      <c r="C69" s="1" t="s">
        <v>1035</v>
      </c>
      <c r="D69" s="3">
        <v>981020037640759</v>
      </c>
      <c r="E69" s="1" t="s">
        <v>653</v>
      </c>
    </row>
    <row r="70" spans="1:5" x14ac:dyDescent="0.25">
      <c r="A70" s="1" t="s">
        <v>1032</v>
      </c>
      <c r="B70" s="1" t="s">
        <v>1037</v>
      </c>
      <c r="C70" s="1" t="s">
        <v>1038</v>
      </c>
      <c r="D70" s="3">
        <v>981020033568849</v>
      </c>
      <c r="E70" s="1" t="s">
        <v>1039</v>
      </c>
    </row>
    <row r="71" spans="1:5" x14ac:dyDescent="0.25">
      <c r="A71" s="1" t="s">
        <v>1036</v>
      </c>
      <c r="B71" s="1" t="s">
        <v>1041</v>
      </c>
      <c r="C71" s="1" t="s">
        <v>1040</v>
      </c>
      <c r="D71" s="3">
        <v>981020037297457</v>
      </c>
      <c r="E71" s="1" t="s">
        <v>103</v>
      </c>
    </row>
    <row r="72" spans="1:5" x14ac:dyDescent="0.25">
      <c r="A72" s="1" t="s">
        <v>1044</v>
      </c>
      <c r="B72" s="1" t="s">
        <v>81</v>
      </c>
      <c r="C72" s="1" t="s">
        <v>1043</v>
      </c>
      <c r="D72" s="3">
        <v>981020037320306</v>
      </c>
      <c r="E72" s="1" t="s">
        <v>1042</v>
      </c>
    </row>
    <row r="73" spans="1:5" x14ac:dyDescent="0.25">
      <c r="A73" s="1" t="s">
        <v>1049</v>
      </c>
      <c r="B73" s="1" t="s">
        <v>1048</v>
      </c>
      <c r="C73" s="1" t="s">
        <v>1047</v>
      </c>
      <c r="D73" s="3">
        <v>981020023691827</v>
      </c>
      <c r="E73" s="1" t="s">
        <v>1050</v>
      </c>
    </row>
    <row r="74" spans="1:5" x14ac:dyDescent="0.25">
      <c r="A74" s="1" t="s">
        <v>1045</v>
      </c>
      <c r="B74" s="1" t="s">
        <v>31</v>
      </c>
      <c r="C74" s="1" t="s">
        <v>1046</v>
      </c>
      <c r="D74" s="3">
        <v>981020031379310</v>
      </c>
      <c r="E74" s="1" t="s">
        <v>661</v>
      </c>
    </row>
    <row r="75" spans="1:5" x14ac:dyDescent="0.25">
      <c r="A75" s="1" t="s">
        <v>1051</v>
      </c>
      <c r="B75" s="1" t="s">
        <v>1052</v>
      </c>
      <c r="C75" s="1" t="s">
        <v>1053</v>
      </c>
      <c r="D75" s="3">
        <v>981020037322464</v>
      </c>
      <c r="E75" s="1" t="s">
        <v>101</v>
      </c>
    </row>
    <row r="76" spans="1:5" x14ac:dyDescent="0.25">
      <c r="A76" s="1" t="s">
        <v>1056</v>
      </c>
      <c r="B76" s="1" t="s">
        <v>815</v>
      </c>
      <c r="C76" s="1" t="s">
        <v>1055</v>
      </c>
      <c r="D76" s="3">
        <v>981020027297777</v>
      </c>
      <c r="E76" s="1" t="s">
        <v>1054</v>
      </c>
    </row>
    <row r="77" spans="1:5" x14ac:dyDescent="0.25">
      <c r="A77" s="1" t="s">
        <v>1057</v>
      </c>
      <c r="B77" s="1" t="s">
        <v>1058</v>
      </c>
      <c r="C77" s="1" t="s">
        <v>1059</v>
      </c>
      <c r="D77" s="3">
        <v>981020051154707</v>
      </c>
      <c r="E77" s="1" t="s">
        <v>966</v>
      </c>
    </row>
    <row r="78" spans="1:5" x14ac:dyDescent="0.25">
      <c r="A78" s="1" t="s">
        <v>1060</v>
      </c>
      <c r="B78" s="1" t="s">
        <v>1061</v>
      </c>
      <c r="C78" s="1" t="s">
        <v>1062</v>
      </c>
      <c r="D78" s="3">
        <v>981020023420730</v>
      </c>
      <c r="E78" s="1" t="s">
        <v>1063</v>
      </c>
    </row>
    <row r="79" spans="1:5" x14ac:dyDescent="0.25">
      <c r="A79" s="1" t="s">
        <v>1060</v>
      </c>
      <c r="B79" s="1" t="s">
        <v>68</v>
      </c>
      <c r="C79" s="1" t="s">
        <v>1065</v>
      </c>
      <c r="D79" s="3">
        <v>981020033104536</v>
      </c>
      <c r="E79" s="1" t="s">
        <v>1064</v>
      </c>
    </row>
    <row r="80" spans="1:5" x14ac:dyDescent="0.25">
      <c r="A80" s="1" t="s">
        <v>1066</v>
      </c>
      <c r="B80" s="1" t="s">
        <v>97</v>
      </c>
      <c r="C80" s="1" t="s">
        <v>1067</v>
      </c>
      <c r="D80" s="3">
        <v>981020037350110</v>
      </c>
      <c r="E80" s="1" t="s">
        <v>1068</v>
      </c>
    </row>
    <row r="81" spans="1:5" x14ac:dyDescent="0.25">
      <c r="A81" s="1" t="s">
        <v>1071</v>
      </c>
      <c r="B81" s="1" t="s">
        <v>1072</v>
      </c>
      <c r="C81" s="1" t="s">
        <v>1118</v>
      </c>
      <c r="D81" s="3">
        <v>981020045122544</v>
      </c>
      <c r="E81" s="1" t="s">
        <v>1073</v>
      </c>
    </row>
    <row r="82" spans="1:5" x14ac:dyDescent="0.25">
      <c r="A82" s="1" t="s">
        <v>1074</v>
      </c>
      <c r="B82" s="1" t="s">
        <v>1075</v>
      </c>
      <c r="C82" s="1" t="s">
        <v>1076</v>
      </c>
      <c r="D82" s="3">
        <v>981020045154037</v>
      </c>
      <c r="E82" s="1" t="s">
        <v>966</v>
      </c>
    </row>
    <row r="83" spans="1:5" x14ac:dyDescent="0.25">
      <c r="A83" s="1" t="s">
        <v>1079</v>
      </c>
      <c r="B83" s="1" t="s">
        <v>28</v>
      </c>
      <c r="C83" s="1" t="s">
        <v>1078</v>
      </c>
      <c r="D83" s="3">
        <v>981020045112047</v>
      </c>
      <c r="E83" s="1" t="s">
        <v>1077</v>
      </c>
    </row>
    <row r="84" spans="1:5" x14ac:dyDescent="0.25">
      <c r="A84" s="1" t="s">
        <v>1079</v>
      </c>
      <c r="B84" s="1" t="s">
        <v>73</v>
      </c>
      <c r="C84" s="1" t="s">
        <v>1080</v>
      </c>
      <c r="D84" s="3">
        <v>981020045147969</v>
      </c>
      <c r="E84" s="1" t="s">
        <v>1081</v>
      </c>
    </row>
    <row r="85" spans="1:5" x14ac:dyDescent="0.25">
      <c r="A85" s="1" t="s">
        <v>1079</v>
      </c>
      <c r="B85" s="1" t="s">
        <v>31</v>
      </c>
      <c r="C85" s="1" t="s">
        <v>1083</v>
      </c>
      <c r="D85" s="3">
        <v>981020033515004</v>
      </c>
      <c r="E85" s="1" t="s">
        <v>1082</v>
      </c>
    </row>
    <row r="86" spans="1:5" x14ac:dyDescent="0.25">
      <c r="A86" s="1" t="s">
        <v>1079</v>
      </c>
      <c r="B86" s="1" t="s">
        <v>1084</v>
      </c>
      <c r="C86" s="1" t="s">
        <v>1085</v>
      </c>
      <c r="D86" s="3">
        <v>981020033584067</v>
      </c>
      <c r="E86" s="1" t="s">
        <v>1086</v>
      </c>
    </row>
    <row r="87" spans="1:5" x14ac:dyDescent="0.25">
      <c r="A87" s="1" t="s">
        <v>1090</v>
      </c>
      <c r="B87" s="1" t="s">
        <v>1089</v>
      </c>
      <c r="C87" s="1" t="s">
        <v>1088</v>
      </c>
      <c r="D87" s="3">
        <v>981020023666958</v>
      </c>
      <c r="E87" s="1" t="s">
        <v>1087</v>
      </c>
    </row>
    <row r="88" spans="1:5" x14ac:dyDescent="0.25">
      <c r="A88" s="1" t="s">
        <v>1090</v>
      </c>
      <c r="B88" s="1" t="s">
        <v>113</v>
      </c>
      <c r="C88" s="1" t="s">
        <v>1091</v>
      </c>
      <c r="D88" s="3">
        <v>981020033092449</v>
      </c>
      <c r="E88" s="1" t="s">
        <v>1092</v>
      </c>
    </row>
    <row r="89" spans="1:5" x14ac:dyDescent="0.25">
      <c r="A89" s="1" t="s">
        <v>1090</v>
      </c>
      <c r="B89" s="1" t="s">
        <v>92</v>
      </c>
      <c r="C89" s="1" t="s">
        <v>1094</v>
      </c>
      <c r="D89" s="3">
        <v>981020049670789</v>
      </c>
      <c r="E89" s="1" t="s">
        <v>1093</v>
      </c>
    </row>
    <row r="90" spans="1:5" x14ac:dyDescent="0.25">
      <c r="A90" s="1" t="s">
        <v>1095</v>
      </c>
      <c r="B90" s="1" t="s">
        <v>1096</v>
      </c>
      <c r="C90" s="1" t="s">
        <v>1097</v>
      </c>
      <c r="D90" s="3">
        <v>981020033575817</v>
      </c>
      <c r="E90" s="1" t="s">
        <v>1098</v>
      </c>
    </row>
    <row r="91" spans="1:5" x14ac:dyDescent="0.25">
      <c r="A91" s="1" t="s">
        <v>1101</v>
      </c>
      <c r="B91" s="1" t="s">
        <v>1102</v>
      </c>
      <c r="C91" s="1" t="s">
        <v>1103</v>
      </c>
      <c r="D91" s="3">
        <v>981020049700608</v>
      </c>
      <c r="E91" s="1" t="s">
        <v>1104</v>
      </c>
    </row>
    <row r="92" spans="1:5" x14ac:dyDescent="0.25">
      <c r="A92" s="1" t="s">
        <v>1100</v>
      </c>
      <c r="B92" s="1" t="s">
        <v>840</v>
      </c>
      <c r="C92" s="1" t="s">
        <v>1099</v>
      </c>
      <c r="D92" s="3">
        <v>981020045128488</v>
      </c>
      <c r="E92" s="1" t="s">
        <v>661</v>
      </c>
    </row>
    <row r="93" spans="1:5" x14ac:dyDescent="0.25">
      <c r="A93" s="1" t="s">
        <v>1105</v>
      </c>
      <c r="B93" s="1" t="s">
        <v>111</v>
      </c>
      <c r="C93" s="1" t="s">
        <v>1106</v>
      </c>
      <c r="D93" s="3">
        <v>981020033548161</v>
      </c>
      <c r="E93" s="1" t="s">
        <v>564</v>
      </c>
    </row>
    <row r="94" spans="1:5" x14ac:dyDescent="0.25">
      <c r="A94" s="1" t="s">
        <v>1109</v>
      </c>
      <c r="B94" s="1" t="s">
        <v>96</v>
      </c>
      <c r="C94" s="1" t="s">
        <v>1108</v>
      </c>
      <c r="D94" s="3">
        <v>981020027294330</v>
      </c>
      <c r="E94" s="1" t="s">
        <v>1107</v>
      </c>
    </row>
    <row r="95" spans="1:5" x14ac:dyDescent="0.25">
      <c r="A95" s="1" t="s">
        <v>1109</v>
      </c>
      <c r="B95" s="1" t="s">
        <v>1110</v>
      </c>
      <c r="C95" s="1" t="s">
        <v>1111</v>
      </c>
      <c r="D95" s="3">
        <v>981020045098021</v>
      </c>
      <c r="E95" s="1" t="s">
        <v>1112</v>
      </c>
    </row>
    <row r="96" spans="1:5" x14ac:dyDescent="0.25">
      <c r="A96" s="1" t="s">
        <v>1109</v>
      </c>
      <c r="B96" s="1" t="s">
        <v>108</v>
      </c>
      <c r="C96" s="1" t="s">
        <v>1114</v>
      </c>
      <c r="D96" s="3">
        <v>981020037665051</v>
      </c>
      <c r="E96" s="1" t="s">
        <v>1113</v>
      </c>
    </row>
    <row r="97" spans="1:5" x14ac:dyDescent="0.25">
      <c r="A97" s="1" t="s">
        <v>1115</v>
      </c>
      <c r="B97" s="1" t="s">
        <v>812</v>
      </c>
      <c r="C97" s="1" t="s">
        <v>1117</v>
      </c>
      <c r="D97" s="3">
        <v>900182001156575</v>
      </c>
      <c r="E97" s="1" t="s">
        <v>1116</v>
      </c>
    </row>
    <row r="98" spans="1:5" x14ac:dyDescent="0.25">
      <c r="A98" s="1" t="s">
        <v>1119</v>
      </c>
      <c r="B98" s="1" t="s">
        <v>1120</v>
      </c>
      <c r="C98" s="1" t="s">
        <v>1121</v>
      </c>
      <c r="D98" s="3">
        <v>981020037331808</v>
      </c>
      <c r="E98" s="1" t="s">
        <v>1122</v>
      </c>
    </row>
    <row r="99" spans="1:5" x14ac:dyDescent="0.25">
      <c r="A99" s="1" t="s">
        <v>1126</v>
      </c>
      <c r="B99" s="1" t="s">
        <v>1125</v>
      </c>
      <c r="C99" s="1" t="s">
        <v>1124</v>
      </c>
      <c r="D99" s="3">
        <v>981020039141715</v>
      </c>
      <c r="E99" s="1" t="s">
        <v>1123</v>
      </c>
    </row>
    <row r="100" spans="1:5" x14ac:dyDescent="0.25">
      <c r="A100" s="1" t="s">
        <v>1127</v>
      </c>
      <c r="B100" s="1" t="s">
        <v>13</v>
      </c>
      <c r="C100" s="1" t="s">
        <v>1128</v>
      </c>
      <c r="D100" s="3">
        <v>981020045145310</v>
      </c>
      <c r="E100" s="1" t="s">
        <v>1129</v>
      </c>
    </row>
    <row r="101" spans="1:5" x14ac:dyDescent="0.25">
      <c r="A101" s="1" t="s">
        <v>1133</v>
      </c>
      <c r="B101" s="1" t="s">
        <v>1132</v>
      </c>
      <c r="C101" s="1" t="s">
        <v>1131</v>
      </c>
      <c r="D101" s="3">
        <v>981020039137833</v>
      </c>
      <c r="E101" s="1" t="s">
        <v>1130</v>
      </c>
    </row>
    <row r="102" spans="1:5" x14ac:dyDescent="0.25">
      <c r="A102" s="1" t="s">
        <v>1133</v>
      </c>
      <c r="B102" s="1" t="s">
        <v>1048</v>
      </c>
      <c r="C102" s="1" t="s">
        <v>1134</v>
      </c>
      <c r="D102" s="3">
        <v>981020039321406</v>
      </c>
      <c r="E102" s="1" t="s">
        <v>1135</v>
      </c>
    </row>
    <row r="103" spans="1:5" x14ac:dyDescent="0.25">
      <c r="A103" s="1" t="s">
        <v>1133</v>
      </c>
      <c r="B103" s="1" t="s">
        <v>31</v>
      </c>
      <c r="C103" s="1" t="s">
        <v>1136</v>
      </c>
      <c r="D103" s="3">
        <v>981020035764992</v>
      </c>
      <c r="E103" s="1" t="s">
        <v>1034</v>
      </c>
    </row>
    <row r="104" spans="1:5" x14ac:dyDescent="0.25">
      <c r="A104" s="1" t="s">
        <v>1137</v>
      </c>
      <c r="B104" s="1" t="s">
        <v>1138</v>
      </c>
      <c r="C104" s="1" t="s">
        <v>1139</v>
      </c>
      <c r="D104" s="3">
        <v>981020037829738</v>
      </c>
      <c r="E104" s="1" t="s">
        <v>255</v>
      </c>
    </row>
    <row r="105" spans="1:5" x14ac:dyDescent="0.25">
      <c r="A105" s="1" t="s">
        <v>1142</v>
      </c>
      <c r="B105" s="1" t="s">
        <v>1141</v>
      </c>
      <c r="C105" s="1" t="s">
        <v>1140</v>
      </c>
      <c r="D105" s="3">
        <v>981020039667323</v>
      </c>
      <c r="E105" s="1" t="s">
        <v>100</v>
      </c>
    </row>
    <row r="106" spans="1:5" x14ac:dyDescent="0.25">
      <c r="A106" s="1" t="s">
        <v>1143</v>
      </c>
      <c r="B106" s="1" t="s">
        <v>688</v>
      </c>
      <c r="C106" s="1" t="s">
        <v>1144</v>
      </c>
      <c r="D106" s="3">
        <v>981020037381736</v>
      </c>
      <c r="E106" s="1" t="s">
        <v>981</v>
      </c>
    </row>
    <row r="107" spans="1:5" x14ac:dyDescent="0.25">
      <c r="A107" s="1" t="s">
        <v>1148</v>
      </c>
      <c r="B107" s="1" t="s">
        <v>1147</v>
      </c>
      <c r="C107" s="1" t="s">
        <v>1146</v>
      </c>
      <c r="D107" s="3">
        <v>981020037634231</v>
      </c>
      <c r="E107" s="1" t="s">
        <v>1145</v>
      </c>
    </row>
    <row r="108" spans="1:5" x14ac:dyDescent="0.25">
      <c r="A108" s="1" t="s">
        <v>1154</v>
      </c>
      <c r="B108" s="1" t="s">
        <v>79</v>
      </c>
      <c r="C108" s="1" t="s">
        <v>1155</v>
      </c>
      <c r="D108" s="3">
        <v>981020049190165</v>
      </c>
      <c r="E108" s="1" t="s">
        <v>1024</v>
      </c>
    </row>
    <row r="109" spans="1:5" x14ac:dyDescent="0.25">
      <c r="A109" s="1" t="s">
        <v>1149</v>
      </c>
      <c r="B109" s="1" t="s">
        <v>665</v>
      </c>
      <c r="C109" s="1" t="s">
        <v>1150</v>
      </c>
      <c r="D109" s="3">
        <v>981020031382661</v>
      </c>
      <c r="E109" s="1" t="s">
        <v>1151</v>
      </c>
    </row>
    <row r="110" spans="1:5" x14ac:dyDescent="0.25">
      <c r="A110" s="1" t="s">
        <v>1149</v>
      </c>
      <c r="B110" s="1" t="s">
        <v>39</v>
      </c>
      <c r="C110" s="1" t="s">
        <v>1156</v>
      </c>
      <c r="D110" s="3">
        <v>981020045083524</v>
      </c>
      <c r="E110" s="1" t="s">
        <v>1157</v>
      </c>
    </row>
    <row r="111" spans="1:5" x14ac:dyDescent="0.25">
      <c r="A111" s="1" t="s">
        <v>1163</v>
      </c>
      <c r="B111" s="1" t="s">
        <v>876</v>
      </c>
      <c r="C111" s="1" t="s">
        <v>1162</v>
      </c>
      <c r="D111" s="3">
        <v>981020041821530</v>
      </c>
      <c r="E111" s="1" t="s">
        <v>1161</v>
      </c>
    </row>
    <row r="112" spans="1:5" x14ac:dyDescent="0.25">
      <c r="A112" s="1" t="s">
        <v>1163</v>
      </c>
      <c r="B112" s="1" t="s">
        <v>1199</v>
      </c>
      <c r="C112" s="1" t="s">
        <v>1200</v>
      </c>
      <c r="D112" s="3">
        <v>981020049646207</v>
      </c>
      <c r="E112" s="1"/>
    </row>
    <row r="113" spans="1:5" x14ac:dyDescent="0.25">
      <c r="A113" s="1" t="s">
        <v>1153</v>
      </c>
      <c r="B113" s="1" t="s">
        <v>72</v>
      </c>
      <c r="C113" s="1" t="s">
        <v>1152</v>
      </c>
      <c r="D113" s="3">
        <v>981020037793810</v>
      </c>
      <c r="E113" s="1" t="s">
        <v>937</v>
      </c>
    </row>
    <row r="114" spans="1:5" x14ac:dyDescent="0.25">
      <c r="A114" s="1" t="s">
        <v>1153</v>
      </c>
      <c r="B114" s="1" t="s">
        <v>632</v>
      </c>
      <c r="C114" s="1" t="s">
        <v>1159</v>
      </c>
      <c r="D114" s="3">
        <v>981020037350442</v>
      </c>
      <c r="E114" s="1" t="s">
        <v>1158</v>
      </c>
    </row>
    <row r="115" spans="1:5" x14ac:dyDescent="0.25">
      <c r="A115" s="1" t="s">
        <v>1153</v>
      </c>
      <c r="B115" s="1" t="s">
        <v>73</v>
      </c>
      <c r="C115" s="1" t="s">
        <v>1160</v>
      </c>
      <c r="D115" s="3">
        <v>981020045082634</v>
      </c>
      <c r="E115" s="1" t="s">
        <v>1024</v>
      </c>
    </row>
    <row r="116" spans="1:5" x14ac:dyDescent="0.25">
      <c r="A116" s="1" t="s">
        <v>1167</v>
      </c>
      <c r="B116" s="1" t="s">
        <v>11</v>
      </c>
      <c r="C116" s="1" t="s">
        <v>1177</v>
      </c>
      <c r="D116" s="3">
        <v>981020041787251</v>
      </c>
      <c r="E116" s="1" t="s">
        <v>1178</v>
      </c>
    </row>
    <row r="117" spans="1:5" x14ac:dyDescent="0.25">
      <c r="A117" s="1" t="s">
        <v>1164</v>
      </c>
      <c r="B117" s="1" t="s">
        <v>1165</v>
      </c>
      <c r="C117" s="1" t="s">
        <v>1166</v>
      </c>
      <c r="D117" s="3">
        <v>981020049649500</v>
      </c>
      <c r="E117" s="1" t="s">
        <v>255</v>
      </c>
    </row>
    <row r="118" spans="1:5" x14ac:dyDescent="0.25">
      <c r="A118" s="1" t="s">
        <v>1168</v>
      </c>
      <c r="B118" s="1" t="s">
        <v>61</v>
      </c>
      <c r="C118" s="1" t="s">
        <v>1169</v>
      </c>
      <c r="D118" s="3">
        <v>900182001156510</v>
      </c>
      <c r="E118" s="1" t="s">
        <v>255</v>
      </c>
    </row>
    <row r="119" spans="1:5" x14ac:dyDescent="0.25">
      <c r="A119" s="1" t="s">
        <v>1168</v>
      </c>
      <c r="B119" s="1" t="s">
        <v>61</v>
      </c>
      <c r="C119" s="1" t="s">
        <v>1171</v>
      </c>
      <c r="D119" s="3">
        <v>981020031323501</v>
      </c>
      <c r="E119" s="1" t="s">
        <v>1170</v>
      </c>
    </row>
    <row r="120" spans="1:5" x14ac:dyDescent="0.25">
      <c r="A120" s="1" t="s">
        <v>1168</v>
      </c>
      <c r="B120" s="1" t="s">
        <v>61</v>
      </c>
      <c r="C120" s="1" t="s">
        <v>1172</v>
      </c>
      <c r="D120" s="3">
        <v>981020031322284</v>
      </c>
      <c r="E120" s="1" t="s">
        <v>101</v>
      </c>
    </row>
    <row r="121" spans="1:5" x14ac:dyDescent="0.25">
      <c r="A121" s="1" t="s">
        <v>1175</v>
      </c>
      <c r="B121" s="1" t="s">
        <v>28</v>
      </c>
      <c r="C121" s="1" t="s">
        <v>1174</v>
      </c>
      <c r="D121" s="3">
        <v>981020033204080</v>
      </c>
      <c r="E121" s="1" t="s">
        <v>1173</v>
      </c>
    </row>
    <row r="122" spans="1:5" x14ac:dyDescent="0.25">
      <c r="A122" s="1" t="s">
        <v>1176</v>
      </c>
      <c r="B122" s="1" t="s">
        <v>10</v>
      </c>
      <c r="C122" s="1" t="s">
        <v>1179</v>
      </c>
      <c r="D122" s="3">
        <v>981020051022595</v>
      </c>
      <c r="E122" s="1" t="s">
        <v>1180</v>
      </c>
    </row>
    <row r="123" spans="1:5" x14ac:dyDescent="0.25">
      <c r="A123" s="1" t="s">
        <v>1176</v>
      </c>
      <c r="B123" s="1" t="s">
        <v>1183</v>
      </c>
      <c r="C123" s="1" t="s">
        <v>1182</v>
      </c>
      <c r="D123" s="3">
        <v>981020045146518</v>
      </c>
      <c r="E123" s="1" t="s">
        <v>1181</v>
      </c>
    </row>
    <row r="124" spans="1:5" x14ac:dyDescent="0.25">
      <c r="A124" s="1" t="s">
        <v>1184</v>
      </c>
      <c r="B124" s="1" t="s">
        <v>1185</v>
      </c>
      <c r="C124" s="1" t="s">
        <v>1186</v>
      </c>
      <c r="D124" s="3">
        <v>981020023695438</v>
      </c>
      <c r="E124" s="1" t="s">
        <v>1187</v>
      </c>
    </row>
    <row r="125" spans="1:5" x14ac:dyDescent="0.25">
      <c r="A125" s="1" t="s">
        <v>1188</v>
      </c>
      <c r="B125" s="1" t="s">
        <v>837</v>
      </c>
      <c r="C125" s="1" t="s">
        <v>1189</v>
      </c>
      <c r="D125" s="3">
        <v>981020037804451</v>
      </c>
      <c r="E125" s="1" t="s">
        <v>1190</v>
      </c>
    </row>
    <row r="126" spans="1:5" x14ac:dyDescent="0.25">
      <c r="A126" s="1" t="s">
        <v>1201</v>
      </c>
      <c r="B126" s="1" t="s">
        <v>1202</v>
      </c>
      <c r="C126" s="1" t="s">
        <v>1203</v>
      </c>
      <c r="D126" s="3">
        <v>981020033614922</v>
      </c>
      <c r="E126" s="1" t="s">
        <v>1211</v>
      </c>
    </row>
    <row r="127" spans="1:5" x14ac:dyDescent="0.25">
      <c r="A127" s="1" t="s">
        <v>1204</v>
      </c>
      <c r="B127" s="1" t="s">
        <v>1205</v>
      </c>
      <c r="C127" s="1" t="s">
        <v>1206</v>
      </c>
      <c r="D127" s="3">
        <v>981020033778810</v>
      </c>
      <c r="E127" s="1" t="s">
        <v>1212</v>
      </c>
    </row>
    <row r="128" spans="1:5" x14ac:dyDescent="0.25">
      <c r="A128" s="1" t="s">
        <v>1193</v>
      </c>
      <c r="B128" s="1" t="s">
        <v>1207</v>
      </c>
      <c r="C128" s="1" t="s">
        <v>1208</v>
      </c>
      <c r="D128" s="3">
        <v>981020051022397</v>
      </c>
      <c r="E128" s="1" t="s">
        <v>1213</v>
      </c>
    </row>
    <row r="129" spans="1:5" x14ac:dyDescent="0.25">
      <c r="A129" s="1" t="s">
        <v>1193</v>
      </c>
      <c r="B129" s="1" t="s">
        <v>97</v>
      </c>
      <c r="C129" s="1" t="s">
        <v>1192</v>
      </c>
      <c r="D129" s="3">
        <v>981020045129643</v>
      </c>
      <c r="E129" s="1" t="s">
        <v>1191</v>
      </c>
    </row>
    <row r="130" spans="1:5" x14ac:dyDescent="0.25">
      <c r="A130" s="1" t="s">
        <v>1194</v>
      </c>
      <c r="B130" s="1" t="s">
        <v>218</v>
      </c>
      <c r="C130" s="1" t="s">
        <v>1195</v>
      </c>
      <c r="D130" s="3">
        <v>990000004659983</v>
      </c>
      <c r="E130" s="1" t="s">
        <v>255</v>
      </c>
    </row>
    <row r="131" spans="1:5" x14ac:dyDescent="0.25">
      <c r="A131" s="1" t="s">
        <v>1214</v>
      </c>
      <c r="B131" s="1" t="s">
        <v>96</v>
      </c>
      <c r="C131" s="1" t="s">
        <v>1215</v>
      </c>
      <c r="D131" s="3">
        <v>991001005640238</v>
      </c>
      <c r="E131" s="1" t="s">
        <v>1216</v>
      </c>
    </row>
    <row r="132" spans="1:5" x14ac:dyDescent="0.25">
      <c r="A132" s="1" t="s">
        <v>1196</v>
      </c>
      <c r="B132" s="1" t="s">
        <v>1197</v>
      </c>
      <c r="C132" s="1" t="s">
        <v>1198</v>
      </c>
      <c r="D132" s="3">
        <v>981020037640761</v>
      </c>
      <c r="E132" s="1" t="s">
        <v>255</v>
      </c>
    </row>
    <row r="133" spans="1:5" x14ac:dyDescent="0.25">
      <c r="A133" s="1" t="s">
        <v>1196</v>
      </c>
      <c r="B133" s="1" t="s">
        <v>815</v>
      </c>
      <c r="C133" s="1" t="s">
        <v>1210</v>
      </c>
      <c r="D133" s="3">
        <v>981020037347240</v>
      </c>
      <c r="E133" s="1" t="s">
        <v>1209</v>
      </c>
    </row>
    <row r="134" spans="1:5" x14ac:dyDescent="0.25">
      <c r="A134" s="1" t="s">
        <v>1217</v>
      </c>
      <c r="B134" s="1" t="s">
        <v>1218</v>
      </c>
      <c r="C134" s="1" t="s">
        <v>1219</v>
      </c>
      <c r="D134" s="3">
        <v>981020037644970</v>
      </c>
      <c r="E134" s="1" t="s">
        <v>103</v>
      </c>
    </row>
    <row r="135" spans="1:5" x14ac:dyDescent="0.25">
      <c r="A135" s="1" t="s">
        <v>1217</v>
      </c>
      <c r="B135" s="1" t="s">
        <v>47</v>
      </c>
      <c r="C135" s="1" t="s">
        <v>1221</v>
      </c>
      <c r="D135" s="3">
        <v>933000320594561</v>
      </c>
      <c r="E135" s="1" t="s">
        <v>1220</v>
      </c>
    </row>
    <row r="136" spans="1:5" x14ac:dyDescent="0.25">
      <c r="A136" s="1" t="s">
        <v>1288</v>
      </c>
      <c r="B136" s="1" t="s">
        <v>1289</v>
      </c>
      <c r="C136" s="1" t="s">
        <v>1290</v>
      </c>
      <c r="D136" s="3">
        <v>981020039349040</v>
      </c>
      <c r="E136" s="1" t="s">
        <v>1291</v>
      </c>
    </row>
    <row r="137" spans="1:5" x14ac:dyDescent="0.25">
      <c r="A137" s="1" t="s">
        <v>1222</v>
      </c>
      <c r="B137" s="1" t="s">
        <v>30</v>
      </c>
      <c r="C137" s="1" t="s">
        <v>1223</v>
      </c>
      <c r="D137" s="3">
        <v>981020017871905</v>
      </c>
      <c r="E137" s="1" t="s">
        <v>1224</v>
      </c>
    </row>
    <row r="138" spans="1:5" x14ac:dyDescent="0.25">
      <c r="A138" s="1" t="s">
        <v>1222</v>
      </c>
      <c r="B138" s="1" t="s">
        <v>106</v>
      </c>
      <c r="C138" s="1" t="s">
        <v>1225</v>
      </c>
      <c r="D138" s="3">
        <v>981020045111799</v>
      </c>
      <c r="E138" s="1" t="s">
        <v>661</v>
      </c>
    </row>
    <row r="139" spans="1:5" x14ac:dyDescent="0.25">
      <c r="A139" s="1" t="s">
        <v>1226</v>
      </c>
      <c r="B139" s="1" t="s">
        <v>106</v>
      </c>
      <c r="C139" s="1" t="s">
        <v>1227</v>
      </c>
      <c r="D139" s="3">
        <v>981020033586337</v>
      </c>
      <c r="E139" s="1" t="s">
        <v>1228</v>
      </c>
    </row>
    <row r="140" spans="1:5" x14ac:dyDescent="0.25">
      <c r="A140" s="1" t="s">
        <v>1229</v>
      </c>
      <c r="B140" s="1" t="s">
        <v>106</v>
      </c>
      <c r="C140" s="1" t="s">
        <v>1230</v>
      </c>
      <c r="D140" s="3" t="s">
        <v>1231</v>
      </c>
      <c r="E140" s="1" t="s">
        <v>1232</v>
      </c>
    </row>
    <row r="141" spans="1:5" x14ac:dyDescent="0.25">
      <c r="A141" s="1" t="s">
        <v>1237</v>
      </c>
      <c r="B141" s="1" t="s">
        <v>597</v>
      </c>
      <c r="C141" s="1" t="s">
        <v>1238</v>
      </c>
      <c r="D141" s="3">
        <v>981020037655891</v>
      </c>
      <c r="E141" s="1" t="s">
        <v>1239</v>
      </c>
    </row>
    <row r="142" spans="1:5" x14ac:dyDescent="0.25">
      <c r="A142" s="1" t="s">
        <v>1237</v>
      </c>
      <c r="B142" s="1" t="s">
        <v>106</v>
      </c>
      <c r="C142" s="1" t="s">
        <v>1240</v>
      </c>
      <c r="D142" s="3">
        <v>981020033118639</v>
      </c>
      <c r="E142" s="1" t="s">
        <v>171</v>
      </c>
    </row>
    <row r="143" spans="1:5" x14ac:dyDescent="0.25">
      <c r="A143" s="1" t="s">
        <v>1237</v>
      </c>
      <c r="B143" s="1" t="s">
        <v>618</v>
      </c>
      <c r="C143" s="1" t="s">
        <v>1242</v>
      </c>
      <c r="D143" s="3">
        <v>981020051124608</v>
      </c>
      <c r="E143" s="1" t="s">
        <v>1241</v>
      </c>
    </row>
    <row r="144" spans="1:5" x14ac:dyDescent="0.25">
      <c r="A144" s="1" t="s">
        <v>1243</v>
      </c>
      <c r="B144" s="1" t="s">
        <v>159</v>
      </c>
      <c r="C144" s="1" t="s">
        <v>1244</v>
      </c>
      <c r="D144" s="3">
        <v>981020037314843</v>
      </c>
      <c r="E144" s="1" t="s">
        <v>1245</v>
      </c>
    </row>
    <row r="145" spans="1:5" x14ac:dyDescent="0.25">
      <c r="A145" s="1" t="s">
        <v>1233</v>
      </c>
      <c r="B145" s="1" t="s">
        <v>1234</v>
      </c>
      <c r="C145" s="1" t="s">
        <v>1235</v>
      </c>
      <c r="D145" s="3">
        <v>981020023697937</v>
      </c>
      <c r="E145" s="1" t="s">
        <v>1236</v>
      </c>
    </row>
    <row r="146" spans="1:5" x14ac:dyDescent="0.25">
      <c r="A146" s="1" t="s">
        <v>1286</v>
      </c>
      <c r="B146" s="1" t="s">
        <v>12</v>
      </c>
      <c r="C146" s="1" t="s">
        <v>1287</v>
      </c>
      <c r="D146" s="3">
        <v>981020023228908</v>
      </c>
      <c r="E146" s="1" t="s">
        <v>1295</v>
      </c>
    </row>
    <row r="147" spans="1:5" x14ac:dyDescent="0.25">
      <c r="A147" s="1" t="s">
        <v>1247</v>
      </c>
      <c r="B147" s="1" t="s">
        <v>106</v>
      </c>
      <c r="C147" s="1" t="s">
        <v>1246</v>
      </c>
      <c r="D147" s="3">
        <v>981020037858741</v>
      </c>
      <c r="E147" s="1" t="s">
        <v>57</v>
      </c>
    </row>
    <row r="148" spans="1:5" x14ac:dyDescent="0.25">
      <c r="A148" s="1" t="s">
        <v>1248</v>
      </c>
      <c r="B148" s="1" t="s">
        <v>1089</v>
      </c>
      <c r="C148" s="1" t="s">
        <v>1249</v>
      </c>
      <c r="D148" s="3">
        <v>981020045089262</v>
      </c>
      <c r="E148" s="1" t="s">
        <v>1250</v>
      </c>
    </row>
    <row r="149" spans="1:5" x14ac:dyDescent="0.25">
      <c r="A149" s="1" t="s">
        <v>1248</v>
      </c>
      <c r="B149" s="1" t="s">
        <v>1253</v>
      </c>
      <c r="C149" s="1" t="s">
        <v>1252</v>
      </c>
      <c r="D149" s="3">
        <v>981020031373166</v>
      </c>
      <c r="E149" s="1" t="s">
        <v>1251</v>
      </c>
    </row>
    <row r="150" spans="1:5" x14ac:dyDescent="0.25">
      <c r="A150" s="1" t="s">
        <v>1254</v>
      </c>
      <c r="B150" s="1" t="s">
        <v>239</v>
      </c>
      <c r="C150" s="1" t="s">
        <v>1255</v>
      </c>
      <c r="D150" s="3">
        <v>900182001156508</v>
      </c>
      <c r="E150" s="1" t="s">
        <v>1256</v>
      </c>
    </row>
    <row r="151" spans="1:5" x14ac:dyDescent="0.25">
      <c r="A151" s="1" t="s">
        <v>1254</v>
      </c>
      <c r="B151" s="1" t="s">
        <v>42</v>
      </c>
      <c r="C151" s="1" t="s">
        <v>1258</v>
      </c>
      <c r="D151" s="3">
        <v>981020023568425</v>
      </c>
      <c r="E151" s="1" t="s">
        <v>1257</v>
      </c>
    </row>
    <row r="152" spans="1:5" x14ac:dyDescent="0.25">
      <c r="A152" s="1" t="s">
        <v>1254</v>
      </c>
      <c r="B152" s="1" t="s">
        <v>10</v>
      </c>
      <c r="C152" s="1" t="s">
        <v>1259</v>
      </c>
      <c r="D152" s="3">
        <v>985141001398406</v>
      </c>
      <c r="E152" s="1" t="s">
        <v>1260</v>
      </c>
    </row>
    <row r="153" spans="1:5" x14ac:dyDescent="0.25">
      <c r="A153" s="1" t="s">
        <v>1263</v>
      </c>
      <c r="B153" s="1" t="s">
        <v>665</v>
      </c>
      <c r="C153" s="1" t="s">
        <v>1262</v>
      </c>
      <c r="D153" s="3">
        <v>981020045146225</v>
      </c>
      <c r="E153" s="1" t="s">
        <v>1261</v>
      </c>
    </row>
    <row r="154" spans="1:5" x14ac:dyDescent="0.25">
      <c r="A154" s="1" t="s">
        <v>1264</v>
      </c>
      <c r="B154" s="1" t="s">
        <v>895</v>
      </c>
      <c r="C154" s="1" t="s">
        <v>1265</v>
      </c>
      <c r="D154" s="3">
        <v>981020037813389</v>
      </c>
      <c r="E154" s="1" t="s">
        <v>255</v>
      </c>
    </row>
    <row r="155" spans="1:5" x14ac:dyDescent="0.25">
      <c r="A155" s="1" t="s">
        <v>1268</v>
      </c>
      <c r="B155" s="1" t="s">
        <v>43</v>
      </c>
      <c r="C155" s="1" t="s">
        <v>1267</v>
      </c>
      <c r="D155" s="3">
        <v>981020045138657</v>
      </c>
      <c r="E155" s="1" t="s">
        <v>1266</v>
      </c>
    </row>
    <row r="156" spans="1:5" x14ac:dyDescent="0.25">
      <c r="A156" s="1" t="s">
        <v>1269</v>
      </c>
      <c r="B156" s="1" t="s">
        <v>1125</v>
      </c>
      <c r="C156" s="1" t="s">
        <v>1270</v>
      </c>
      <c r="D156" s="3">
        <v>933000320461343</v>
      </c>
      <c r="E156" s="1" t="s">
        <v>1271</v>
      </c>
    </row>
    <row r="157" spans="1:5" x14ac:dyDescent="0.25">
      <c r="A157" s="1" t="s">
        <v>1273</v>
      </c>
      <c r="B157" s="1" t="s">
        <v>26</v>
      </c>
      <c r="C157" s="1" t="s">
        <v>1274</v>
      </c>
      <c r="D157" s="3">
        <v>981020021515196</v>
      </c>
      <c r="E157" s="1" t="s">
        <v>100</v>
      </c>
    </row>
    <row r="158" spans="1:5" x14ac:dyDescent="0.25">
      <c r="A158" s="1" t="s">
        <v>1272</v>
      </c>
      <c r="B158" s="1" t="s">
        <v>1277</v>
      </c>
      <c r="C158" s="1" t="s">
        <v>1276</v>
      </c>
      <c r="D158" s="3">
        <v>981020035752919</v>
      </c>
      <c r="E158" s="1" t="s">
        <v>1275</v>
      </c>
    </row>
    <row r="159" spans="1:5" x14ac:dyDescent="0.25">
      <c r="A159" s="1" t="s">
        <v>1278</v>
      </c>
      <c r="B159" s="1" t="s">
        <v>812</v>
      </c>
      <c r="C159" s="1" t="s">
        <v>1279</v>
      </c>
      <c r="D159" s="3">
        <v>981020045118464</v>
      </c>
      <c r="E159" s="1" t="s">
        <v>1280</v>
      </c>
    </row>
    <row r="160" spans="1:5" x14ac:dyDescent="0.25">
      <c r="A160" s="1" t="s">
        <v>1278</v>
      </c>
      <c r="B160" s="1" t="s">
        <v>1048</v>
      </c>
      <c r="C160" s="1" t="s">
        <v>1282</v>
      </c>
      <c r="D160" s="3">
        <v>981020021008503</v>
      </c>
      <c r="E160" s="1" t="s">
        <v>1281</v>
      </c>
    </row>
    <row r="161" spans="1:5" x14ac:dyDescent="0.25">
      <c r="A161" s="1" t="s">
        <v>1283</v>
      </c>
      <c r="B161" s="1" t="s">
        <v>74</v>
      </c>
      <c r="C161" s="1" t="s">
        <v>1284</v>
      </c>
      <c r="D161" s="3">
        <v>981020037289492</v>
      </c>
      <c r="E161" s="1" t="s">
        <v>1285</v>
      </c>
    </row>
    <row r="162" spans="1:5" x14ac:dyDescent="0.25">
      <c r="A162" s="1" t="s">
        <v>1292</v>
      </c>
      <c r="B162" s="1" t="s">
        <v>12</v>
      </c>
      <c r="C162" s="1" t="s">
        <v>1293</v>
      </c>
      <c r="D162" s="3">
        <v>981020023309216</v>
      </c>
      <c r="E162" s="1" t="s">
        <v>1294</v>
      </c>
    </row>
    <row r="163" spans="1:5" x14ac:dyDescent="0.25">
      <c r="A163" s="1" t="s">
        <v>1292</v>
      </c>
      <c r="B163" s="1" t="s">
        <v>1296</v>
      </c>
      <c r="C163" s="1" t="s">
        <v>1364</v>
      </c>
      <c r="D163" s="3">
        <v>981020037348542</v>
      </c>
      <c r="E163" s="1" t="s">
        <v>1297</v>
      </c>
    </row>
    <row r="164" spans="1:5" x14ac:dyDescent="0.25">
      <c r="A164" s="1" t="s">
        <v>1292</v>
      </c>
      <c r="B164" s="1" t="s">
        <v>11</v>
      </c>
      <c r="C164" s="1" t="s">
        <v>1298</v>
      </c>
      <c r="D164" s="3">
        <v>981020023578639</v>
      </c>
      <c r="E164" s="1" t="s">
        <v>1299</v>
      </c>
    </row>
    <row r="165" spans="1:5" x14ac:dyDescent="0.25">
      <c r="A165" s="1" t="s">
        <v>1300</v>
      </c>
      <c r="B165" s="1" t="s">
        <v>38</v>
      </c>
      <c r="C165" s="1" t="s">
        <v>1301</v>
      </c>
      <c r="D165" s="3">
        <v>981020051009409</v>
      </c>
      <c r="E165" s="1" t="s">
        <v>1302</v>
      </c>
    </row>
    <row r="166" spans="1:5" x14ac:dyDescent="0.25">
      <c r="A166" s="1" t="s">
        <v>1303</v>
      </c>
      <c r="B166" s="1" t="s">
        <v>1304</v>
      </c>
      <c r="C166" s="1" t="s">
        <v>1305</v>
      </c>
      <c r="D166" s="3">
        <v>981020033097284</v>
      </c>
      <c r="E166" s="1" t="s">
        <v>255</v>
      </c>
    </row>
    <row r="167" spans="1:5" x14ac:dyDescent="0.25">
      <c r="A167" s="1" t="s">
        <v>1303</v>
      </c>
      <c r="B167" s="1" t="s">
        <v>73</v>
      </c>
      <c r="C167" s="1" t="s">
        <v>1306</v>
      </c>
      <c r="D167" s="3">
        <v>981020033549306</v>
      </c>
      <c r="E167" s="1" t="s">
        <v>255</v>
      </c>
    </row>
    <row r="168" spans="1:5" x14ac:dyDescent="0.25">
      <c r="A168" s="1" t="s">
        <v>1309</v>
      </c>
      <c r="B168" s="1" t="s">
        <v>37</v>
      </c>
      <c r="C168" s="1" t="s">
        <v>1308</v>
      </c>
      <c r="D168" s="3">
        <v>981020037349867</v>
      </c>
      <c r="E168" s="1" t="s">
        <v>1307</v>
      </c>
    </row>
    <row r="169" spans="1:5" x14ac:dyDescent="0.25">
      <c r="A169" s="1" t="s">
        <v>1309</v>
      </c>
      <c r="B169" s="1" t="s">
        <v>1310</v>
      </c>
      <c r="C169" s="1" t="s">
        <v>11</v>
      </c>
      <c r="D169" s="3">
        <v>981020045118621</v>
      </c>
      <c r="E169" s="1" t="s">
        <v>966</v>
      </c>
    </row>
    <row r="170" spans="1:5" x14ac:dyDescent="0.25">
      <c r="A170" s="1" t="s">
        <v>1312</v>
      </c>
      <c r="B170" s="1" t="s">
        <v>17</v>
      </c>
      <c r="C170" s="1" t="s">
        <v>1313</v>
      </c>
      <c r="D170" s="3">
        <v>981020051586531</v>
      </c>
      <c r="E170" s="1" t="s">
        <v>1311</v>
      </c>
    </row>
    <row r="171" spans="1:5" ht="30" x14ac:dyDescent="0.25">
      <c r="A171" s="1" t="s">
        <v>1314</v>
      </c>
      <c r="B171" s="1" t="s">
        <v>1234</v>
      </c>
      <c r="C171" s="1" t="s">
        <v>1315</v>
      </c>
      <c r="D171" s="15" t="s">
        <v>1316</v>
      </c>
      <c r="E171" s="1" t="s">
        <v>255</v>
      </c>
    </row>
    <row r="172" spans="1:5" x14ac:dyDescent="0.25">
      <c r="A172" s="1" t="s">
        <v>1314</v>
      </c>
      <c r="B172" s="1" t="s">
        <v>26</v>
      </c>
      <c r="C172" s="1" t="s">
        <v>1317</v>
      </c>
      <c r="D172" s="3">
        <v>981020033779774</v>
      </c>
      <c r="E172" s="1" t="s">
        <v>657</v>
      </c>
    </row>
    <row r="173" spans="1:5" x14ac:dyDescent="0.25">
      <c r="A173" s="1" t="s">
        <v>1314</v>
      </c>
      <c r="B173" s="1" t="s">
        <v>35</v>
      </c>
      <c r="C173" s="1" t="s">
        <v>1318</v>
      </c>
      <c r="D173" s="3">
        <v>981020051149871</v>
      </c>
      <c r="E173" s="1" t="s">
        <v>1319</v>
      </c>
    </row>
    <row r="174" spans="1:5" x14ac:dyDescent="0.25">
      <c r="A174" s="1" t="s">
        <v>1320</v>
      </c>
      <c r="B174" s="1" t="s">
        <v>1321</v>
      </c>
      <c r="C174" s="1" t="s">
        <v>1322</v>
      </c>
      <c r="D174" s="3">
        <v>981020049627447</v>
      </c>
      <c r="E174" s="1" t="s">
        <v>1323</v>
      </c>
    </row>
    <row r="175" spans="1:5" x14ac:dyDescent="0.25">
      <c r="A175" s="1" t="s">
        <v>1324</v>
      </c>
      <c r="B175" s="1" t="s">
        <v>1325</v>
      </c>
      <c r="C175" s="1" t="s">
        <v>1326</v>
      </c>
      <c r="D175" s="3">
        <v>981020049677158</v>
      </c>
      <c r="E175" s="1" t="s">
        <v>1271</v>
      </c>
    </row>
    <row r="176" spans="1:5" x14ac:dyDescent="0.25">
      <c r="A176" s="1" t="s">
        <v>1329</v>
      </c>
      <c r="B176" s="1" t="s">
        <v>73</v>
      </c>
      <c r="C176" s="1" t="s">
        <v>1328</v>
      </c>
      <c r="D176" s="3">
        <v>981020045085897</v>
      </c>
      <c r="E176" s="1" t="s">
        <v>1327</v>
      </c>
    </row>
    <row r="177" spans="1:5" x14ac:dyDescent="0.25">
      <c r="A177" s="1" t="s">
        <v>1329</v>
      </c>
      <c r="B177" s="1" t="s">
        <v>1330</v>
      </c>
      <c r="C177" s="1" t="s">
        <v>1331</v>
      </c>
      <c r="D177" s="3">
        <v>981020041803852</v>
      </c>
      <c r="E177" s="1" t="s">
        <v>1332</v>
      </c>
    </row>
    <row r="178" spans="1:5" x14ac:dyDescent="0.25">
      <c r="A178" s="1" t="s">
        <v>1333</v>
      </c>
      <c r="B178" s="1" t="s">
        <v>1234</v>
      </c>
      <c r="C178" s="1" t="s">
        <v>1334</v>
      </c>
      <c r="D178" s="3">
        <v>981020033600578</v>
      </c>
      <c r="E178" s="1" t="s">
        <v>1335</v>
      </c>
    </row>
    <row r="179" spans="1:5" x14ac:dyDescent="0.25">
      <c r="A179" s="1" t="s">
        <v>1336</v>
      </c>
      <c r="B179" s="1" t="s">
        <v>113</v>
      </c>
      <c r="C179" s="1" t="s">
        <v>1337</v>
      </c>
      <c r="D179" s="3">
        <v>981020049647346</v>
      </c>
      <c r="E179" s="1" t="s">
        <v>57</v>
      </c>
    </row>
    <row r="180" spans="1:5" x14ac:dyDescent="0.25">
      <c r="A180" s="1" t="s">
        <v>1336</v>
      </c>
      <c r="B180" s="1" t="s">
        <v>1339</v>
      </c>
      <c r="C180" s="1" t="s">
        <v>1338</v>
      </c>
      <c r="D180" s="3">
        <v>981020045108954</v>
      </c>
      <c r="E180" s="1" t="s">
        <v>87</v>
      </c>
    </row>
    <row r="181" spans="1:5" x14ac:dyDescent="0.25">
      <c r="A181" s="1" t="s">
        <v>1340</v>
      </c>
      <c r="B181" s="1" t="s">
        <v>895</v>
      </c>
      <c r="C181" s="1" t="s">
        <v>1341</v>
      </c>
      <c r="D181" s="3">
        <v>981020039137231</v>
      </c>
      <c r="E181" s="1" t="s">
        <v>667</v>
      </c>
    </row>
    <row r="182" spans="1:5" x14ac:dyDescent="0.25">
      <c r="A182" s="1" t="s">
        <v>1342</v>
      </c>
      <c r="B182" s="1" t="s">
        <v>1089</v>
      </c>
      <c r="C182" s="1" t="s">
        <v>1343</v>
      </c>
      <c r="D182" s="3">
        <v>981020037558611</v>
      </c>
      <c r="E182" s="1" t="s">
        <v>1344</v>
      </c>
    </row>
    <row r="183" spans="1:5" x14ac:dyDescent="0.25">
      <c r="A183" s="1" t="s">
        <v>1347</v>
      </c>
      <c r="B183" s="1" t="s">
        <v>1185</v>
      </c>
      <c r="C183" s="1" t="s">
        <v>1346</v>
      </c>
      <c r="D183" s="3">
        <v>981020021007884</v>
      </c>
      <c r="E183" s="1" t="s">
        <v>1345</v>
      </c>
    </row>
    <row r="184" spans="1:5" x14ac:dyDescent="0.25">
      <c r="A184" s="1" t="s">
        <v>1350</v>
      </c>
      <c r="B184" s="1" t="s">
        <v>1277</v>
      </c>
      <c r="C184" s="1" t="s">
        <v>1348</v>
      </c>
      <c r="D184" s="3">
        <v>981020023493830</v>
      </c>
      <c r="E184" s="1" t="s">
        <v>1349</v>
      </c>
    </row>
    <row r="185" spans="1:5" x14ac:dyDescent="0.25">
      <c r="A185" s="1" t="s">
        <v>1351</v>
      </c>
      <c r="B185" s="1" t="s">
        <v>52</v>
      </c>
      <c r="C185" s="1" t="s">
        <v>1352</v>
      </c>
      <c r="D185" s="3">
        <v>981020045154173</v>
      </c>
      <c r="E185" s="1" t="s">
        <v>1353</v>
      </c>
    </row>
    <row r="186" spans="1:5" x14ac:dyDescent="0.25">
      <c r="A186" s="1" t="s">
        <v>1354</v>
      </c>
      <c r="B186" s="1" t="s">
        <v>1355</v>
      </c>
      <c r="C186" s="1" t="s">
        <v>1356</v>
      </c>
      <c r="D186" s="3">
        <v>981020029166752</v>
      </c>
      <c r="E186" s="1" t="s">
        <v>1357</v>
      </c>
    </row>
    <row r="187" spans="1:5" x14ac:dyDescent="0.25">
      <c r="A187" s="1" t="s">
        <v>1358</v>
      </c>
      <c r="B187" s="1" t="s">
        <v>102</v>
      </c>
      <c r="C187" s="1" t="s">
        <v>1359</v>
      </c>
      <c r="D187" s="3">
        <v>981020039660290</v>
      </c>
      <c r="E187" s="1" t="s">
        <v>653</v>
      </c>
    </row>
    <row r="188" spans="1:5" x14ac:dyDescent="0.25">
      <c r="A188" s="1" t="s">
        <v>1360</v>
      </c>
      <c r="B188" s="1" t="s">
        <v>572</v>
      </c>
      <c r="C188" s="1" t="s">
        <v>1361</v>
      </c>
      <c r="D188" s="3">
        <v>981020051029833</v>
      </c>
      <c r="E188" s="1" t="s">
        <v>1362</v>
      </c>
    </row>
    <row r="189" spans="1:5" x14ac:dyDescent="0.25">
      <c r="A189" s="1" t="s">
        <v>1360</v>
      </c>
      <c r="B189" s="1" t="s">
        <v>15</v>
      </c>
      <c r="C189" s="1" t="s">
        <v>1363</v>
      </c>
      <c r="D189" s="3">
        <v>981020023630069</v>
      </c>
      <c r="E189" s="1" t="s">
        <v>1362</v>
      </c>
    </row>
    <row r="190" spans="1:5" x14ac:dyDescent="0.25">
      <c r="A190" s="1" t="s">
        <v>1365</v>
      </c>
      <c r="B190" s="1" t="s">
        <v>1253</v>
      </c>
      <c r="C190" s="1" t="s">
        <v>1366</v>
      </c>
      <c r="D190" s="3">
        <v>981020043530212</v>
      </c>
      <c r="E190" s="1" t="s">
        <v>1367</v>
      </c>
    </row>
    <row r="191" spans="1:5" x14ac:dyDescent="0.25">
      <c r="A191" s="1" t="s">
        <v>1371</v>
      </c>
      <c r="B191" s="1" t="s">
        <v>1373</v>
      </c>
      <c r="C191" s="1" t="s">
        <v>1372</v>
      </c>
      <c r="D191" s="3">
        <v>900182001156576</v>
      </c>
      <c r="E191" s="1" t="s">
        <v>1374</v>
      </c>
    </row>
    <row r="192" spans="1:5" x14ac:dyDescent="0.25">
      <c r="A192" s="1" t="s">
        <v>1371</v>
      </c>
      <c r="B192" s="1" t="s">
        <v>294</v>
      </c>
      <c r="C192" s="1" t="s">
        <v>1376</v>
      </c>
      <c r="D192" s="3">
        <v>981020037350472</v>
      </c>
      <c r="E192" s="1" t="s">
        <v>1375</v>
      </c>
    </row>
    <row r="193" spans="1:5" x14ac:dyDescent="0.25">
      <c r="A193" s="1" t="s">
        <v>1368</v>
      </c>
      <c r="B193" s="1" t="s">
        <v>11</v>
      </c>
      <c r="C193" s="1" t="s">
        <v>1369</v>
      </c>
      <c r="D193" s="3">
        <v>981020033107581</v>
      </c>
      <c r="E193" s="1" t="s">
        <v>1370</v>
      </c>
    </row>
    <row r="194" spans="1:5" x14ac:dyDescent="0.25">
      <c r="A194" s="1" t="s">
        <v>1377</v>
      </c>
      <c r="B194" s="1" t="s">
        <v>11</v>
      </c>
      <c r="C194" s="1" t="s">
        <v>1378</v>
      </c>
      <c r="D194" s="3">
        <v>985141004208848</v>
      </c>
      <c r="E194" s="1" t="s">
        <v>1379</v>
      </c>
    </row>
    <row r="195" spans="1:5" x14ac:dyDescent="0.25">
      <c r="A195" s="1" t="s">
        <v>1380</v>
      </c>
      <c r="B195" s="1" t="s">
        <v>887</v>
      </c>
      <c r="C195" s="1" t="s">
        <v>1381</v>
      </c>
      <c r="D195" s="3">
        <v>981020051568660</v>
      </c>
      <c r="E195" s="1" t="s">
        <v>1271</v>
      </c>
    </row>
    <row r="196" spans="1:5" x14ac:dyDescent="0.25">
      <c r="A196" s="1" t="s">
        <v>1385</v>
      </c>
      <c r="B196" s="1" t="s">
        <v>1386</v>
      </c>
      <c r="C196" s="1" t="s">
        <v>1387</v>
      </c>
      <c r="D196" s="3">
        <v>985101045346879</v>
      </c>
      <c r="E196" s="1" t="s">
        <v>1388</v>
      </c>
    </row>
    <row r="197" spans="1:5" x14ac:dyDescent="0.25">
      <c r="A197" s="1" t="s">
        <v>1385</v>
      </c>
      <c r="B197" s="1" t="s">
        <v>1391</v>
      </c>
      <c r="C197" s="1" t="s">
        <v>1390</v>
      </c>
      <c r="D197" s="3">
        <v>981020031366045</v>
      </c>
      <c r="E197" s="1" t="s">
        <v>1389</v>
      </c>
    </row>
    <row r="198" spans="1:5" x14ac:dyDescent="0.25">
      <c r="A198" s="1" t="s">
        <v>1382</v>
      </c>
      <c r="B198" s="1" t="s">
        <v>991</v>
      </c>
      <c r="C198" s="1" t="s">
        <v>1383</v>
      </c>
      <c r="D198" s="3">
        <v>933000220022893</v>
      </c>
      <c r="E198" s="1" t="s">
        <v>1384</v>
      </c>
    </row>
    <row r="199" spans="1:5" x14ac:dyDescent="0.25">
      <c r="A199" s="1" t="s">
        <v>1382</v>
      </c>
      <c r="B199" s="1" t="s">
        <v>10</v>
      </c>
      <c r="C199" s="1" t="s">
        <v>1392</v>
      </c>
      <c r="D199" s="3">
        <v>981020033596266</v>
      </c>
      <c r="E199" s="1" t="s">
        <v>1393</v>
      </c>
    </row>
    <row r="200" spans="1:5" x14ac:dyDescent="0.25">
      <c r="A200" s="1"/>
      <c r="B200" s="1"/>
      <c r="C200" s="1"/>
      <c r="D200" s="3"/>
      <c r="E200" s="1"/>
    </row>
    <row r="201" spans="1:5" x14ac:dyDescent="0.25">
      <c r="A201" s="1"/>
      <c r="B201" s="1"/>
      <c r="C201" s="1"/>
      <c r="D201" s="3"/>
      <c r="E201" s="1"/>
    </row>
    <row r="202" spans="1:5" x14ac:dyDescent="0.25">
      <c r="A202" s="1"/>
      <c r="B202" s="1"/>
      <c r="C202" s="1"/>
      <c r="D202" s="3"/>
      <c r="E202" s="1"/>
    </row>
    <row r="203" spans="1:5" x14ac:dyDescent="0.25">
      <c r="A203" s="1"/>
      <c r="B203" s="1"/>
      <c r="C203" s="1"/>
      <c r="D203" s="3"/>
      <c r="E203" s="1"/>
    </row>
    <row r="204" spans="1:5" x14ac:dyDescent="0.25">
      <c r="A204" s="1"/>
      <c r="B204" s="1"/>
      <c r="C204" s="1"/>
      <c r="D204" s="3"/>
      <c r="E204" s="1"/>
    </row>
    <row r="205" spans="1:5" x14ac:dyDescent="0.25">
      <c r="A205" s="1"/>
      <c r="B205" s="1"/>
      <c r="C205" s="1"/>
      <c r="D205" s="3"/>
      <c r="E205" s="1"/>
    </row>
    <row r="206" spans="1:5" x14ac:dyDescent="0.25">
      <c r="A206" s="1"/>
      <c r="B206" s="1"/>
      <c r="C206" s="1"/>
      <c r="D206" s="3"/>
      <c r="E206" s="1"/>
    </row>
    <row r="207" spans="1:5" x14ac:dyDescent="0.25">
      <c r="A207" s="1"/>
      <c r="B207" s="1"/>
      <c r="C207" s="1"/>
      <c r="D207" s="3"/>
      <c r="E207" s="1"/>
    </row>
    <row r="208" spans="1:5" x14ac:dyDescent="0.25">
      <c r="A208" s="1"/>
      <c r="B208" s="1"/>
      <c r="C208" s="1"/>
      <c r="D208" s="3"/>
      <c r="E208" s="1"/>
    </row>
    <row r="209" spans="1:5" x14ac:dyDescent="0.25">
      <c r="A209" s="1"/>
      <c r="B209" s="1"/>
      <c r="C209" s="1"/>
      <c r="D209" s="3"/>
      <c r="E209" s="1"/>
    </row>
    <row r="210" spans="1:5" x14ac:dyDescent="0.25">
      <c r="A210" s="1"/>
      <c r="B210" s="1"/>
      <c r="C210" s="1"/>
      <c r="D210" s="3"/>
      <c r="E210" s="1"/>
    </row>
    <row r="211" spans="1:5" x14ac:dyDescent="0.25">
      <c r="A211" s="1"/>
      <c r="B211" s="1"/>
      <c r="C211" s="1"/>
      <c r="D211" s="3"/>
      <c r="E211" s="1"/>
    </row>
    <row r="212" spans="1:5" x14ac:dyDescent="0.25">
      <c r="A212" s="1"/>
      <c r="B212" s="1"/>
      <c r="C212" s="1"/>
      <c r="D212" s="3"/>
      <c r="E212" s="1"/>
    </row>
    <row r="213" spans="1:5" x14ac:dyDescent="0.25">
      <c r="A213" s="1"/>
      <c r="B213" s="1"/>
      <c r="C213" s="1"/>
      <c r="D213" s="3"/>
      <c r="E213" s="1"/>
    </row>
    <row r="214" spans="1:5" x14ac:dyDescent="0.25">
      <c r="A214" s="1"/>
      <c r="B214" s="1"/>
      <c r="C214" s="1"/>
      <c r="D214" s="3"/>
      <c r="E214" s="1"/>
    </row>
    <row r="215" spans="1:5" x14ac:dyDescent="0.25">
      <c r="A215" s="1"/>
      <c r="B215" s="1"/>
      <c r="C215" s="1"/>
      <c r="D215" s="3"/>
      <c r="E215" s="1"/>
    </row>
    <row r="216" spans="1:5" x14ac:dyDescent="0.25">
      <c r="A216" s="1"/>
      <c r="B216" s="1"/>
      <c r="C216" s="1"/>
      <c r="D216" s="3"/>
      <c r="E216" s="1"/>
    </row>
    <row r="217" spans="1:5" x14ac:dyDescent="0.25">
      <c r="A217" s="1"/>
      <c r="B217" s="1"/>
      <c r="C217" s="1"/>
      <c r="D217" s="3"/>
      <c r="E217" s="1"/>
    </row>
    <row r="218" spans="1:5" x14ac:dyDescent="0.25">
      <c r="A218" s="1"/>
      <c r="B218" s="1"/>
      <c r="C218" s="1"/>
      <c r="D218" s="3"/>
      <c r="E218" s="1"/>
    </row>
    <row r="219" spans="1:5" x14ac:dyDescent="0.25">
      <c r="A219" s="1"/>
      <c r="B219" s="1"/>
      <c r="C219" s="1"/>
      <c r="D219" s="3"/>
      <c r="E219" s="1"/>
    </row>
    <row r="220" spans="1:5" x14ac:dyDescent="0.25">
      <c r="A220" s="1"/>
      <c r="B220" s="1"/>
      <c r="C220" s="1"/>
      <c r="D220" s="3"/>
      <c r="E220" s="1"/>
    </row>
    <row r="221" spans="1:5" x14ac:dyDescent="0.25">
      <c r="A221" s="1"/>
      <c r="B221" s="1"/>
      <c r="C221" s="1"/>
      <c r="D221" s="3"/>
      <c r="E221" s="1"/>
    </row>
    <row r="222" spans="1:5" x14ac:dyDescent="0.25">
      <c r="A222" s="1"/>
      <c r="B222" s="1"/>
      <c r="C222" s="1"/>
      <c r="D222" s="3"/>
      <c r="E222" s="1"/>
    </row>
    <row r="223" spans="1:5" x14ac:dyDescent="0.25">
      <c r="A223" s="1"/>
      <c r="B223" s="1"/>
      <c r="C223" s="1"/>
      <c r="D223" s="3"/>
      <c r="E223" s="1"/>
    </row>
    <row r="224" spans="1:5" x14ac:dyDescent="0.25">
      <c r="A224" s="1"/>
      <c r="B224" s="1"/>
      <c r="C224" s="1"/>
      <c r="D224" s="3"/>
      <c r="E224" s="1"/>
    </row>
    <row r="225" spans="1:5" x14ac:dyDescent="0.25">
      <c r="A225" s="1"/>
      <c r="B225" s="1"/>
      <c r="C225" s="1"/>
      <c r="D225" s="3"/>
      <c r="E225" s="1"/>
    </row>
    <row r="226" spans="1:5" x14ac:dyDescent="0.25">
      <c r="A226" s="1"/>
      <c r="B226" s="1"/>
      <c r="C226" s="1"/>
      <c r="D226" s="3"/>
      <c r="E226" s="1"/>
    </row>
    <row r="227" spans="1:5" x14ac:dyDescent="0.25">
      <c r="A227" s="1"/>
      <c r="B227" s="1"/>
      <c r="C227" s="1"/>
      <c r="D227" s="3"/>
      <c r="E227" s="1"/>
    </row>
    <row r="228" spans="1:5" x14ac:dyDescent="0.25">
      <c r="A228" s="1"/>
      <c r="B228" s="1"/>
      <c r="C228" s="1"/>
      <c r="D228" s="3"/>
      <c r="E228" s="1"/>
    </row>
    <row r="229" spans="1:5" x14ac:dyDescent="0.25">
      <c r="A229" s="1"/>
      <c r="B229" s="1"/>
      <c r="C229" s="1"/>
      <c r="D229" s="3"/>
      <c r="E229" s="1"/>
    </row>
    <row r="230" spans="1:5" x14ac:dyDescent="0.25">
      <c r="A230" s="1"/>
      <c r="B230" s="1"/>
      <c r="C230" s="1"/>
      <c r="D230" s="3"/>
      <c r="E230" s="1"/>
    </row>
    <row r="231" spans="1:5" x14ac:dyDescent="0.25">
      <c r="A231" s="1"/>
      <c r="B231" s="1"/>
      <c r="C231" s="1"/>
      <c r="D231" s="3"/>
      <c r="E231" s="1"/>
    </row>
    <row r="232" spans="1:5" x14ac:dyDescent="0.25">
      <c r="A232" s="1"/>
      <c r="B232" s="1"/>
      <c r="C232" s="1"/>
      <c r="D232" s="3"/>
      <c r="E232" s="1"/>
    </row>
    <row r="233" spans="1:5" x14ac:dyDescent="0.25">
      <c r="A233" s="1"/>
      <c r="B233" s="1"/>
      <c r="C233" s="1"/>
      <c r="D233" s="3"/>
      <c r="E233" s="1"/>
    </row>
    <row r="234" spans="1:5" x14ac:dyDescent="0.25">
      <c r="A234" s="1"/>
      <c r="B234" s="1"/>
      <c r="C234" s="1"/>
      <c r="D234" s="3"/>
      <c r="E234" s="1"/>
    </row>
    <row r="235" spans="1:5" x14ac:dyDescent="0.25">
      <c r="A235" s="1"/>
      <c r="B235" s="1"/>
      <c r="C235" s="1"/>
      <c r="D235" s="3"/>
      <c r="E235" s="1"/>
    </row>
    <row r="236" spans="1:5" x14ac:dyDescent="0.25">
      <c r="A236" s="1"/>
      <c r="B236" s="1"/>
      <c r="C236" s="1"/>
      <c r="D236" s="3"/>
      <c r="E236" s="1"/>
    </row>
    <row r="237" spans="1:5" x14ac:dyDescent="0.25">
      <c r="A237" s="1"/>
      <c r="B237" s="1"/>
      <c r="C237" s="1"/>
      <c r="D237" s="3"/>
      <c r="E237" s="1"/>
    </row>
    <row r="238" spans="1:5" x14ac:dyDescent="0.25">
      <c r="A238" s="1"/>
      <c r="B238" s="1"/>
      <c r="C238" s="1"/>
      <c r="D238" s="3"/>
      <c r="E238" s="1"/>
    </row>
    <row r="239" spans="1:5" x14ac:dyDescent="0.25">
      <c r="A239" s="1"/>
      <c r="B239" s="1"/>
      <c r="C239" s="1"/>
      <c r="D239" s="3"/>
      <c r="E239" s="1"/>
    </row>
    <row r="240" spans="1:5" x14ac:dyDescent="0.25">
      <c r="A240" s="1"/>
      <c r="B240" s="1"/>
      <c r="C240" s="1"/>
      <c r="D240" s="3"/>
      <c r="E240" s="1"/>
    </row>
    <row r="241" spans="1:5" x14ac:dyDescent="0.25">
      <c r="A241" s="1"/>
      <c r="B241" s="1"/>
      <c r="C241" s="1"/>
      <c r="D241" s="3"/>
      <c r="E241" s="1"/>
    </row>
    <row r="242" spans="1:5" x14ac:dyDescent="0.25">
      <c r="A242" s="1"/>
      <c r="B242" s="1"/>
      <c r="C242" s="1"/>
      <c r="D242" s="3"/>
      <c r="E242" s="1"/>
    </row>
    <row r="243" spans="1:5" x14ac:dyDescent="0.25">
      <c r="A243" s="1"/>
      <c r="B243" s="1"/>
      <c r="C243" s="1"/>
      <c r="D243" s="3"/>
      <c r="E243" s="1"/>
    </row>
    <row r="244" spans="1:5" x14ac:dyDescent="0.25">
      <c r="A244" s="1"/>
      <c r="B244" s="1"/>
      <c r="C244" s="1"/>
      <c r="D244" s="3"/>
      <c r="E244" s="1"/>
    </row>
    <row r="245" spans="1:5" x14ac:dyDescent="0.25">
      <c r="A245" s="1"/>
      <c r="B245" s="1"/>
      <c r="C245" s="1"/>
      <c r="D245" s="3"/>
      <c r="E245" s="1"/>
    </row>
    <row r="246" spans="1:5" x14ac:dyDescent="0.25">
      <c r="A246" s="1"/>
      <c r="B246" s="1"/>
      <c r="C246" s="1"/>
      <c r="D246" s="3"/>
      <c r="E246" s="1"/>
    </row>
    <row r="247" spans="1:5" x14ac:dyDescent="0.25">
      <c r="A247" s="1"/>
      <c r="B247" s="1"/>
      <c r="C247" s="1"/>
      <c r="D247" s="3"/>
      <c r="E247" s="1"/>
    </row>
    <row r="248" spans="1:5" x14ac:dyDescent="0.25">
      <c r="A248" s="1"/>
      <c r="B248" s="1"/>
      <c r="C248" s="1"/>
      <c r="D248" s="3"/>
      <c r="E248" s="1"/>
    </row>
    <row r="249" spans="1:5" x14ac:dyDescent="0.25">
      <c r="A249" s="1"/>
      <c r="B249" s="1"/>
      <c r="C249" s="1"/>
      <c r="D249" s="3"/>
      <c r="E249" s="1"/>
    </row>
    <row r="250" spans="1:5" x14ac:dyDescent="0.25">
      <c r="A250" s="1"/>
      <c r="B250" s="1"/>
      <c r="C250" s="1"/>
      <c r="D250" s="3"/>
      <c r="E250" s="1"/>
    </row>
    <row r="251" spans="1:5" x14ac:dyDescent="0.25">
      <c r="A251" s="1"/>
      <c r="B251" s="1"/>
      <c r="C251" s="1"/>
      <c r="D251" s="3"/>
      <c r="E251" s="1"/>
    </row>
    <row r="252" spans="1:5" x14ac:dyDescent="0.25">
      <c r="A252" s="1"/>
      <c r="B252" s="1"/>
      <c r="C252" s="1"/>
      <c r="D252" s="3"/>
      <c r="E252" s="1"/>
    </row>
    <row r="253" spans="1:5" x14ac:dyDescent="0.25">
      <c r="A253" s="1"/>
      <c r="B253" s="1"/>
      <c r="C253" s="1"/>
      <c r="D253" s="3"/>
      <c r="E253" s="1"/>
    </row>
    <row r="254" spans="1:5" x14ac:dyDescent="0.25">
      <c r="A254" s="1"/>
      <c r="B254" s="1"/>
      <c r="C254" s="1"/>
      <c r="D254" s="3"/>
      <c r="E254" s="1"/>
    </row>
    <row r="255" spans="1:5" x14ac:dyDescent="0.25">
      <c r="A255" s="1"/>
      <c r="B255" s="1"/>
      <c r="C255" s="1"/>
      <c r="D255" s="3"/>
      <c r="E255" s="1"/>
    </row>
    <row r="256" spans="1:5" x14ac:dyDescent="0.25">
      <c r="A256" s="1"/>
      <c r="B256" s="1"/>
      <c r="C256" s="1"/>
      <c r="D256" s="3"/>
      <c r="E256" s="1"/>
    </row>
    <row r="257" spans="1:5" x14ac:dyDescent="0.25">
      <c r="A257" s="1"/>
      <c r="B257" s="1"/>
      <c r="C257" s="1"/>
      <c r="D257" s="3"/>
      <c r="E257" s="1"/>
    </row>
    <row r="258" spans="1:5" x14ac:dyDescent="0.25">
      <c r="A258" s="1"/>
      <c r="B258" s="1"/>
      <c r="C258" s="1"/>
      <c r="D258" s="3"/>
      <c r="E258" s="1"/>
    </row>
    <row r="259" spans="1:5" x14ac:dyDescent="0.25">
      <c r="A259" s="1"/>
      <c r="B259" s="1"/>
      <c r="C259" s="1"/>
      <c r="D259" s="3"/>
      <c r="E259" s="1"/>
    </row>
    <row r="260" spans="1:5" x14ac:dyDescent="0.25">
      <c r="A260" s="1"/>
      <c r="B260" s="1"/>
      <c r="C260" s="1"/>
      <c r="D260" s="3"/>
      <c r="E260" s="1"/>
    </row>
    <row r="261" spans="1:5" x14ac:dyDescent="0.25">
      <c r="A261" s="1"/>
      <c r="B261" s="1"/>
      <c r="C261" s="1"/>
      <c r="D261" s="3"/>
      <c r="E261" s="1"/>
    </row>
    <row r="262" spans="1:5" x14ac:dyDescent="0.25">
      <c r="A262" s="1"/>
      <c r="B262" s="1"/>
      <c r="C262" s="1"/>
      <c r="D262" s="3"/>
      <c r="E262" s="1"/>
    </row>
    <row r="263" spans="1:5" x14ac:dyDescent="0.25">
      <c r="A263" s="1"/>
      <c r="B263" s="1"/>
      <c r="C263" s="1"/>
      <c r="D263" s="3"/>
      <c r="E263" s="1"/>
    </row>
    <row r="264" spans="1:5" x14ac:dyDescent="0.25">
      <c r="A264" s="1"/>
      <c r="B264" s="1"/>
      <c r="C264" s="1"/>
      <c r="D264" s="3"/>
      <c r="E264" s="1"/>
    </row>
    <row r="265" spans="1:5" x14ac:dyDescent="0.25">
      <c r="A265" s="1"/>
      <c r="B265" s="1"/>
      <c r="C265" s="1"/>
      <c r="D265" s="3"/>
      <c r="E265" s="1"/>
    </row>
    <row r="266" spans="1:5" x14ac:dyDescent="0.25">
      <c r="A266" s="1"/>
      <c r="B266" s="1"/>
      <c r="C266" s="1"/>
      <c r="D266" s="3"/>
      <c r="E266" s="1"/>
    </row>
    <row r="267" spans="1:5" x14ac:dyDescent="0.25">
      <c r="A267" s="1"/>
      <c r="B267" s="1"/>
      <c r="C267" s="1"/>
      <c r="D267" s="3"/>
      <c r="E267" s="1"/>
    </row>
    <row r="268" spans="1:5" x14ac:dyDescent="0.25">
      <c r="A268" s="1"/>
      <c r="B268" s="1"/>
      <c r="C268" s="1"/>
      <c r="D268" s="3"/>
      <c r="E268" s="1"/>
    </row>
    <row r="269" spans="1:5" x14ac:dyDescent="0.25">
      <c r="A269" s="1"/>
      <c r="B269" s="1"/>
      <c r="C269" s="1"/>
      <c r="D269" s="3"/>
      <c r="E269" s="1"/>
    </row>
    <row r="270" spans="1:5" x14ac:dyDescent="0.25">
      <c r="A270" s="1"/>
      <c r="B270" s="1"/>
      <c r="C270" s="1"/>
      <c r="D270" s="3"/>
      <c r="E270" s="1"/>
    </row>
    <row r="271" spans="1:5" x14ac:dyDescent="0.25">
      <c r="A271" s="1"/>
      <c r="B271" s="1"/>
      <c r="C271" s="1"/>
      <c r="D271" s="3"/>
      <c r="E271" s="1"/>
    </row>
    <row r="272" spans="1:5" x14ac:dyDescent="0.25">
      <c r="A272" s="1"/>
      <c r="B272" s="1"/>
      <c r="C272" s="1"/>
      <c r="D272" s="3"/>
      <c r="E272" s="1"/>
    </row>
    <row r="273" spans="1:5" x14ac:dyDescent="0.25">
      <c r="A273" s="1"/>
      <c r="B273" s="1"/>
      <c r="C273" s="1"/>
      <c r="D273" s="3"/>
      <c r="E273" s="1"/>
    </row>
    <row r="274" spans="1:5" x14ac:dyDescent="0.25">
      <c r="A274" s="1"/>
      <c r="B274" s="1"/>
      <c r="C274" s="1"/>
      <c r="D274" s="3"/>
      <c r="E274" s="1"/>
    </row>
    <row r="275" spans="1:5" x14ac:dyDescent="0.25">
      <c r="A275" s="1"/>
      <c r="B275" s="1"/>
      <c r="C275" s="1"/>
      <c r="D275" s="3"/>
      <c r="E275" s="1"/>
    </row>
    <row r="276" spans="1:5" x14ac:dyDescent="0.25">
      <c r="A276" s="1"/>
      <c r="B276" s="1"/>
      <c r="C276" s="1"/>
      <c r="D276" s="3"/>
      <c r="E276" s="1"/>
    </row>
    <row r="277" spans="1:5" x14ac:dyDescent="0.25">
      <c r="A277" s="1"/>
      <c r="B277" s="1"/>
      <c r="C277" s="1"/>
      <c r="D277" s="3"/>
      <c r="E277" s="1"/>
    </row>
    <row r="278" spans="1:5" x14ac:dyDescent="0.25">
      <c r="A278" s="1"/>
      <c r="B278" s="1"/>
      <c r="C278" s="1"/>
      <c r="D278" s="3"/>
      <c r="E278" s="1"/>
    </row>
    <row r="279" spans="1:5" x14ac:dyDescent="0.25">
      <c r="A279" s="1"/>
      <c r="B279" s="1"/>
      <c r="C279" s="1"/>
      <c r="D279" s="3"/>
      <c r="E279" s="1"/>
    </row>
    <row r="280" spans="1:5" x14ac:dyDescent="0.25">
      <c r="A280" s="1"/>
      <c r="B280" s="1"/>
      <c r="C280" s="1"/>
      <c r="D280" s="3"/>
      <c r="E280" s="1"/>
    </row>
    <row r="281" spans="1:5" x14ac:dyDescent="0.25">
      <c r="A281" s="1"/>
      <c r="B281" s="1"/>
      <c r="C281" s="1"/>
      <c r="D281" s="3"/>
      <c r="E281" s="1"/>
    </row>
    <row r="282" spans="1:5" x14ac:dyDescent="0.25">
      <c r="A282" s="1"/>
      <c r="B282" s="1"/>
      <c r="C282" s="1"/>
      <c r="D282" s="3"/>
      <c r="E282" s="1"/>
    </row>
    <row r="283" spans="1:5" x14ac:dyDescent="0.25">
      <c r="A283" s="1"/>
      <c r="B283" s="1"/>
      <c r="C283" s="1"/>
      <c r="D283" s="3"/>
      <c r="E283" s="1"/>
    </row>
    <row r="284" spans="1:5" x14ac:dyDescent="0.25">
      <c r="A284" s="1"/>
      <c r="B284" s="1"/>
      <c r="C284" s="1"/>
      <c r="D284" s="3"/>
      <c r="E284" s="1"/>
    </row>
    <row r="285" spans="1:5" x14ac:dyDescent="0.25">
      <c r="A285" s="1"/>
      <c r="B285" s="1"/>
      <c r="C285" s="1"/>
      <c r="D285" s="3"/>
      <c r="E285" s="1"/>
    </row>
    <row r="286" spans="1:5" x14ac:dyDescent="0.25">
      <c r="A286" s="1"/>
      <c r="B286" s="1"/>
      <c r="C286" s="1"/>
      <c r="D286" s="3"/>
      <c r="E286" s="1"/>
    </row>
    <row r="287" spans="1:5" x14ac:dyDescent="0.25">
      <c r="A287" s="1"/>
      <c r="B287" s="1"/>
      <c r="C287" s="1"/>
      <c r="D287" s="3"/>
      <c r="E287" s="1"/>
    </row>
    <row r="288" spans="1:5" x14ac:dyDescent="0.25">
      <c r="A288" s="1"/>
      <c r="B288" s="1"/>
      <c r="C288" s="1"/>
      <c r="D288" s="3"/>
      <c r="E288" s="1"/>
    </row>
    <row r="289" spans="1:5" x14ac:dyDescent="0.25">
      <c r="A289" s="1"/>
      <c r="B289" s="1"/>
      <c r="C289" s="1"/>
      <c r="D289" s="3"/>
      <c r="E289" s="1"/>
    </row>
    <row r="290" spans="1:5" x14ac:dyDescent="0.25">
      <c r="A290" s="1"/>
      <c r="B290" s="1"/>
      <c r="C290" s="1"/>
      <c r="D290" s="3"/>
      <c r="E290" s="1"/>
    </row>
    <row r="291" spans="1:5" x14ac:dyDescent="0.25">
      <c r="A291" s="1"/>
      <c r="B291" s="1"/>
      <c r="C291" s="1"/>
      <c r="D291" s="3"/>
      <c r="E291" s="1"/>
    </row>
    <row r="292" spans="1:5" x14ac:dyDescent="0.25">
      <c r="A292" s="1"/>
      <c r="B292" s="1"/>
      <c r="C292" s="1"/>
      <c r="D292" s="3"/>
      <c r="E292" s="1"/>
    </row>
    <row r="293" spans="1:5" x14ac:dyDescent="0.25">
      <c r="A293" s="1"/>
      <c r="B293" s="1"/>
      <c r="C293" s="1"/>
      <c r="D293" s="3"/>
      <c r="E293" s="1"/>
    </row>
    <row r="294" spans="1:5" x14ac:dyDescent="0.25">
      <c r="A294" s="1"/>
      <c r="B294" s="1"/>
      <c r="C294" s="1"/>
      <c r="D294" s="3"/>
      <c r="E294" s="1"/>
    </row>
    <row r="295" spans="1:5" x14ac:dyDescent="0.25">
      <c r="A295" s="1"/>
      <c r="B295" s="1"/>
      <c r="C295" s="1"/>
      <c r="D295" s="3"/>
      <c r="E295" s="1"/>
    </row>
    <row r="296" spans="1:5" x14ac:dyDescent="0.25">
      <c r="A296" s="1"/>
      <c r="B296" s="1"/>
      <c r="C296" s="1"/>
      <c r="D296" s="3"/>
      <c r="E296" s="1"/>
    </row>
    <row r="297" spans="1:5" x14ac:dyDescent="0.25">
      <c r="A297" s="1"/>
      <c r="B297" s="1"/>
      <c r="C297" s="1"/>
      <c r="D297" s="3"/>
      <c r="E297" s="1"/>
    </row>
    <row r="298" spans="1:5" x14ac:dyDescent="0.25">
      <c r="A298" s="1"/>
      <c r="B298" s="1"/>
      <c r="C298" s="1"/>
      <c r="D298" s="3"/>
      <c r="E298" s="1"/>
    </row>
    <row r="299" spans="1:5" x14ac:dyDescent="0.25">
      <c r="A299" s="1"/>
      <c r="B299" s="1"/>
      <c r="C299" s="1"/>
      <c r="D299" s="3"/>
      <c r="E299" s="1"/>
    </row>
    <row r="300" spans="1:5" x14ac:dyDescent="0.25">
      <c r="A300" s="1"/>
      <c r="B300" s="1"/>
      <c r="C300" s="1"/>
      <c r="D300" s="3"/>
      <c r="E300" s="1"/>
    </row>
    <row r="301" spans="1:5" x14ac:dyDescent="0.25">
      <c r="A301" s="1"/>
      <c r="B301" s="1"/>
      <c r="C301" s="1"/>
      <c r="D301" s="3"/>
      <c r="E301" s="1"/>
    </row>
    <row r="302" spans="1:5" x14ac:dyDescent="0.25">
      <c r="A302" s="1"/>
      <c r="B302" s="1"/>
      <c r="C302" s="1"/>
      <c r="D302" s="3"/>
      <c r="E302" s="1"/>
    </row>
    <row r="303" spans="1:5" x14ac:dyDescent="0.25">
      <c r="A303" s="1"/>
      <c r="B303" s="1"/>
      <c r="C303" s="1"/>
      <c r="D303" s="3"/>
      <c r="E303" s="1"/>
    </row>
    <row r="304" spans="1:5" x14ac:dyDescent="0.25">
      <c r="A304" s="1"/>
      <c r="B304" s="1"/>
      <c r="C304" s="1"/>
      <c r="D304" s="3"/>
      <c r="E304" s="1"/>
    </row>
    <row r="305" spans="1:5" x14ac:dyDescent="0.25">
      <c r="A305" s="1"/>
      <c r="B305" s="1"/>
      <c r="C305" s="1"/>
      <c r="D305" s="3"/>
      <c r="E305" s="1"/>
    </row>
    <row r="306" spans="1:5" x14ac:dyDescent="0.25">
      <c r="A306" s="1"/>
      <c r="B306" s="1"/>
      <c r="C306" s="1"/>
      <c r="D306" s="3"/>
      <c r="E306" s="1"/>
    </row>
    <row r="307" spans="1:5" x14ac:dyDescent="0.25">
      <c r="A307" s="1"/>
      <c r="B307" s="1"/>
      <c r="C307" s="1"/>
      <c r="D307" s="3"/>
      <c r="E307" s="1"/>
    </row>
    <row r="308" spans="1:5" x14ac:dyDescent="0.25">
      <c r="A308" s="1"/>
      <c r="B308" s="1"/>
      <c r="C308" s="1"/>
      <c r="D308" s="3"/>
      <c r="E308" s="1"/>
    </row>
    <row r="309" spans="1:5" x14ac:dyDescent="0.25">
      <c r="A309" s="1"/>
      <c r="B309" s="1"/>
      <c r="C309" s="1"/>
      <c r="D309" s="3"/>
      <c r="E309" s="1"/>
    </row>
    <row r="310" spans="1:5" x14ac:dyDescent="0.25">
      <c r="A310" s="1"/>
      <c r="B310" s="1"/>
      <c r="C310" s="1"/>
      <c r="D310" s="3"/>
      <c r="E310" s="1"/>
    </row>
    <row r="311" spans="1:5" x14ac:dyDescent="0.25">
      <c r="A311" s="1"/>
      <c r="B311" s="1"/>
      <c r="C311" s="1"/>
      <c r="D311" s="3"/>
      <c r="E311" s="1"/>
    </row>
    <row r="312" spans="1:5" x14ac:dyDescent="0.25">
      <c r="A312" s="1"/>
      <c r="B312" s="1"/>
      <c r="C312" s="1"/>
      <c r="D312" s="3"/>
      <c r="E312" s="1"/>
    </row>
    <row r="313" spans="1:5" x14ac:dyDescent="0.25">
      <c r="A313" s="1"/>
      <c r="B313" s="1"/>
      <c r="C313" s="1"/>
      <c r="D313" s="3"/>
      <c r="E313" s="1"/>
    </row>
    <row r="314" spans="1:5" x14ac:dyDescent="0.25">
      <c r="A314" s="1"/>
      <c r="B314" s="1"/>
      <c r="C314" s="1"/>
      <c r="D314" s="3"/>
      <c r="E314" s="1"/>
    </row>
    <row r="315" spans="1:5" x14ac:dyDescent="0.25">
      <c r="A315" s="1"/>
      <c r="B315" s="1"/>
      <c r="C315" s="1"/>
      <c r="D315" s="3"/>
      <c r="E315" s="1"/>
    </row>
    <row r="316" spans="1:5" x14ac:dyDescent="0.25">
      <c r="A316" s="1"/>
      <c r="B316" s="1"/>
      <c r="C316" s="1"/>
      <c r="D316" s="3"/>
      <c r="E316" s="1"/>
    </row>
    <row r="317" spans="1:5" x14ac:dyDescent="0.25">
      <c r="A317" s="1"/>
      <c r="B317" s="1"/>
      <c r="C317" s="1"/>
      <c r="D317" s="3"/>
      <c r="E317" s="1"/>
    </row>
    <row r="318" spans="1:5" x14ac:dyDescent="0.25">
      <c r="A318" s="1"/>
      <c r="B318" s="1"/>
      <c r="C318" s="1"/>
      <c r="D318" s="3"/>
      <c r="E318" s="1"/>
    </row>
    <row r="319" spans="1:5" x14ac:dyDescent="0.25">
      <c r="A319" s="1"/>
      <c r="B319" s="1"/>
      <c r="C319" s="1"/>
      <c r="D319" s="3"/>
      <c r="E319" s="1"/>
    </row>
    <row r="320" spans="1:5" x14ac:dyDescent="0.25">
      <c r="A320" s="1"/>
      <c r="B320" s="1"/>
      <c r="C320" s="1"/>
      <c r="D320" s="3"/>
      <c r="E320" s="1"/>
    </row>
    <row r="321" spans="1:5" x14ac:dyDescent="0.25">
      <c r="A321" s="1"/>
      <c r="B321" s="1"/>
      <c r="C321" s="1"/>
      <c r="D321" s="3"/>
      <c r="E321" s="1"/>
    </row>
    <row r="322" spans="1:5" x14ac:dyDescent="0.25">
      <c r="A322" s="1"/>
      <c r="B322" s="1"/>
      <c r="C322" s="1"/>
      <c r="D322" s="3"/>
      <c r="E322" s="1"/>
    </row>
    <row r="323" spans="1:5" x14ac:dyDescent="0.25">
      <c r="A323" s="1"/>
      <c r="B323" s="1"/>
      <c r="C323" s="1"/>
      <c r="D323" s="3"/>
      <c r="E323" s="1"/>
    </row>
    <row r="324" spans="1:5" x14ac:dyDescent="0.25">
      <c r="A324" s="1"/>
      <c r="B324" s="1"/>
      <c r="C324" s="1"/>
      <c r="D324" s="3"/>
      <c r="E324" s="1"/>
    </row>
    <row r="325" spans="1:5" x14ac:dyDescent="0.25">
      <c r="A325" s="1"/>
      <c r="B325" s="1"/>
      <c r="C325" s="1"/>
      <c r="D325" s="3"/>
      <c r="E325" s="1"/>
    </row>
    <row r="326" spans="1:5" x14ac:dyDescent="0.25">
      <c r="A326" s="1"/>
      <c r="B326" s="1"/>
      <c r="C326" s="1"/>
      <c r="D326" s="3"/>
      <c r="E326" s="1"/>
    </row>
    <row r="327" spans="1:5" x14ac:dyDescent="0.25">
      <c r="A327" s="1"/>
      <c r="B327" s="1"/>
      <c r="C327" s="1"/>
      <c r="D327" s="3"/>
      <c r="E327" s="1"/>
    </row>
    <row r="328" spans="1:5" x14ac:dyDescent="0.25">
      <c r="A328" s="1"/>
      <c r="B328" s="1"/>
      <c r="C328" s="1"/>
      <c r="D328" s="3"/>
      <c r="E328" s="1"/>
    </row>
    <row r="329" spans="1:5" x14ac:dyDescent="0.25">
      <c r="A329" s="1"/>
      <c r="B329" s="1"/>
      <c r="C329" s="1"/>
      <c r="D329" s="3"/>
      <c r="E329" s="1"/>
    </row>
    <row r="330" spans="1:5" x14ac:dyDescent="0.25">
      <c r="A330" s="1"/>
      <c r="B330" s="1"/>
      <c r="C330" s="1"/>
      <c r="D330" s="3"/>
      <c r="E330" s="1"/>
    </row>
    <row r="331" spans="1:5" x14ac:dyDescent="0.25">
      <c r="A331" s="1"/>
      <c r="B331" s="1"/>
      <c r="C331" s="1"/>
      <c r="D331" s="3"/>
      <c r="E331" s="1"/>
    </row>
    <row r="332" spans="1:5" x14ac:dyDescent="0.25">
      <c r="A332" s="1"/>
      <c r="B332" s="1"/>
      <c r="C332" s="1"/>
      <c r="D332" s="3"/>
      <c r="E332" s="1"/>
    </row>
    <row r="333" spans="1:5" x14ac:dyDescent="0.25">
      <c r="A333" s="1"/>
      <c r="B333" s="1"/>
      <c r="C333" s="1"/>
      <c r="D333" s="3"/>
      <c r="E333" s="1"/>
    </row>
    <row r="334" spans="1:5" x14ac:dyDescent="0.25">
      <c r="A334" s="1"/>
      <c r="B334" s="1"/>
      <c r="C334" s="1"/>
      <c r="D334" s="3"/>
      <c r="E334" s="1"/>
    </row>
    <row r="335" spans="1:5" x14ac:dyDescent="0.25">
      <c r="A335" s="1"/>
      <c r="B335" s="1"/>
      <c r="C335" s="1"/>
      <c r="D335" s="3"/>
      <c r="E335" s="1"/>
    </row>
    <row r="336" spans="1:5" x14ac:dyDescent="0.25">
      <c r="A336" s="1"/>
      <c r="B336" s="1"/>
      <c r="C336" s="1"/>
      <c r="D336" s="3"/>
      <c r="E336" s="1"/>
    </row>
    <row r="337" spans="1:5" x14ac:dyDescent="0.25">
      <c r="A337" s="1"/>
      <c r="B337" s="1"/>
      <c r="C337" s="1"/>
      <c r="D337" s="3"/>
      <c r="E337" s="1"/>
    </row>
    <row r="338" spans="1:5" x14ac:dyDescent="0.25">
      <c r="A338" s="1"/>
      <c r="B338" s="1"/>
      <c r="C338" s="1"/>
      <c r="D338" s="3"/>
      <c r="E338" s="1"/>
    </row>
    <row r="339" spans="1:5" x14ac:dyDescent="0.25">
      <c r="A339" s="1"/>
      <c r="B339" s="1"/>
      <c r="C339" s="1"/>
      <c r="D339" s="3"/>
      <c r="E339" s="1"/>
    </row>
    <row r="340" spans="1:5" x14ac:dyDescent="0.25">
      <c r="A340" s="1"/>
      <c r="B340" s="1"/>
      <c r="C340" s="1"/>
      <c r="D340" s="3"/>
      <c r="E340" s="1"/>
    </row>
    <row r="341" spans="1:5" x14ac:dyDescent="0.25">
      <c r="A341" s="1"/>
      <c r="B341" s="1"/>
      <c r="C341" s="1"/>
      <c r="D341" s="3"/>
      <c r="E341" s="1"/>
    </row>
    <row r="342" spans="1:5" x14ac:dyDescent="0.25">
      <c r="A342" s="1"/>
      <c r="B342" s="1"/>
      <c r="C342" s="1"/>
      <c r="D342" s="3"/>
      <c r="E342" s="1"/>
    </row>
    <row r="343" spans="1:5" x14ac:dyDescent="0.25">
      <c r="A343" s="1"/>
      <c r="B343" s="1"/>
      <c r="C343" s="1"/>
      <c r="D343" s="3"/>
      <c r="E343" s="1"/>
    </row>
    <row r="344" spans="1:5" x14ac:dyDescent="0.25">
      <c r="A344" s="1"/>
      <c r="B344" s="1"/>
      <c r="C344" s="1"/>
      <c r="D344" s="3"/>
      <c r="E344" s="1"/>
    </row>
    <row r="345" spans="1:5" x14ac:dyDescent="0.25">
      <c r="A345" s="1"/>
      <c r="B345" s="1"/>
      <c r="C345" s="1"/>
      <c r="D345" s="3"/>
      <c r="E345" s="1"/>
    </row>
    <row r="346" spans="1:5" x14ac:dyDescent="0.25">
      <c r="A346" s="1"/>
      <c r="B346" s="1"/>
      <c r="C346" s="1"/>
      <c r="D346" s="3"/>
      <c r="E346" s="1"/>
    </row>
    <row r="347" spans="1:5" x14ac:dyDescent="0.25">
      <c r="A347" s="1"/>
      <c r="B347" s="1"/>
      <c r="C347" s="1"/>
      <c r="D347" s="3"/>
      <c r="E347" s="1"/>
    </row>
    <row r="348" spans="1:5" x14ac:dyDescent="0.25">
      <c r="A348" s="1"/>
      <c r="B348" s="1"/>
      <c r="C348" s="1"/>
      <c r="D348" s="3"/>
      <c r="E348" s="1"/>
    </row>
    <row r="349" spans="1:5" x14ac:dyDescent="0.25">
      <c r="A349" s="1"/>
      <c r="B349" s="1"/>
      <c r="C349" s="1"/>
      <c r="D349" s="3"/>
      <c r="E349" s="1"/>
    </row>
    <row r="350" spans="1:5" x14ac:dyDescent="0.25">
      <c r="A350" s="1"/>
      <c r="B350" s="1"/>
      <c r="C350" s="1"/>
      <c r="D350" s="3"/>
      <c r="E350" s="1"/>
    </row>
    <row r="351" spans="1:5" x14ac:dyDescent="0.25">
      <c r="A351" s="1"/>
      <c r="B351" s="1"/>
      <c r="C351" s="1"/>
      <c r="D351" s="3"/>
      <c r="E351" s="1"/>
    </row>
    <row r="352" spans="1:5" x14ac:dyDescent="0.25">
      <c r="A352" s="1"/>
      <c r="B352" s="1"/>
      <c r="C352" s="1"/>
      <c r="D352" s="3"/>
      <c r="E352" s="1"/>
    </row>
    <row r="353" spans="1:5" x14ac:dyDescent="0.25">
      <c r="A353" s="1"/>
      <c r="B353" s="1"/>
      <c r="C353" s="1"/>
      <c r="D353" s="3"/>
      <c r="E353" s="1"/>
    </row>
    <row r="354" spans="1:5" x14ac:dyDescent="0.25">
      <c r="A354" s="1"/>
      <c r="B354" s="1"/>
      <c r="C354" s="1"/>
      <c r="D354" s="3"/>
      <c r="E354" s="1"/>
    </row>
    <row r="355" spans="1:5" x14ac:dyDescent="0.25">
      <c r="A355" s="1"/>
      <c r="B355" s="1"/>
      <c r="C355" s="1"/>
      <c r="D355" s="3"/>
      <c r="E355" s="1"/>
    </row>
    <row r="356" spans="1:5" x14ac:dyDescent="0.25">
      <c r="A356" s="1"/>
      <c r="B356" s="1"/>
      <c r="C356" s="1"/>
      <c r="D356" s="3"/>
      <c r="E356" s="1"/>
    </row>
    <row r="357" spans="1:5" x14ac:dyDescent="0.25">
      <c r="A357" s="1"/>
      <c r="B357" s="1"/>
      <c r="C357" s="1"/>
      <c r="D357" s="3"/>
      <c r="E357" s="1"/>
    </row>
    <row r="358" spans="1:5" x14ac:dyDescent="0.25">
      <c r="A358" s="1"/>
      <c r="B358" s="1"/>
      <c r="C358" s="1"/>
      <c r="D358" s="3"/>
      <c r="E358" s="1"/>
    </row>
    <row r="359" spans="1:5" x14ac:dyDescent="0.25">
      <c r="A359" s="1"/>
      <c r="B359" s="1"/>
      <c r="C359" s="1"/>
      <c r="D359" s="3"/>
      <c r="E359" s="1"/>
    </row>
    <row r="360" spans="1:5" x14ac:dyDescent="0.25">
      <c r="A360" s="1"/>
      <c r="B360" s="1"/>
      <c r="C360" s="1"/>
      <c r="D360" s="3"/>
      <c r="E360" s="1"/>
    </row>
    <row r="361" spans="1:5" x14ac:dyDescent="0.25">
      <c r="A361" s="1"/>
      <c r="B361" s="1"/>
      <c r="C361" s="1"/>
      <c r="D361" s="3"/>
      <c r="E361" s="1"/>
    </row>
    <row r="362" spans="1:5" x14ac:dyDescent="0.25">
      <c r="A362" s="1"/>
      <c r="B362" s="1"/>
      <c r="C362" s="1"/>
      <c r="D362" s="3"/>
      <c r="E362" s="1"/>
    </row>
    <row r="363" spans="1:5" x14ac:dyDescent="0.25">
      <c r="A363" s="1"/>
      <c r="B363" s="1"/>
      <c r="C363" s="1"/>
      <c r="D363" s="3"/>
      <c r="E363" s="1"/>
    </row>
    <row r="364" spans="1:5" x14ac:dyDescent="0.25">
      <c r="A364" s="1"/>
      <c r="B364" s="1"/>
      <c r="C364" s="1"/>
      <c r="D364" s="3"/>
      <c r="E364" s="1"/>
    </row>
    <row r="365" spans="1:5" x14ac:dyDescent="0.25">
      <c r="A365" s="1"/>
      <c r="B365" s="1"/>
      <c r="C365" s="1"/>
      <c r="D365" s="3"/>
      <c r="E365" s="1"/>
    </row>
    <row r="366" spans="1:5" x14ac:dyDescent="0.25">
      <c r="A366" s="1"/>
      <c r="B366" s="1"/>
      <c r="C366" s="1"/>
      <c r="D366" s="3"/>
      <c r="E366" s="1"/>
    </row>
    <row r="367" spans="1:5" x14ac:dyDescent="0.25">
      <c r="A367" s="1"/>
      <c r="B367" s="1"/>
      <c r="C367" s="1"/>
      <c r="D367" s="3"/>
      <c r="E367" s="1"/>
    </row>
    <row r="368" spans="1:5" x14ac:dyDescent="0.25">
      <c r="A368" s="1"/>
      <c r="B368" s="1"/>
      <c r="C368" s="1"/>
      <c r="D368" s="3"/>
      <c r="E368" s="1"/>
    </row>
    <row r="369" spans="1:5" x14ac:dyDescent="0.25">
      <c r="A369" s="1"/>
      <c r="B369" s="1"/>
      <c r="C369" s="1"/>
      <c r="D369" s="3"/>
      <c r="E369" s="1"/>
    </row>
    <row r="370" spans="1:5" x14ac:dyDescent="0.25">
      <c r="A370" s="1"/>
      <c r="B370" s="1"/>
      <c r="C370" s="1"/>
      <c r="D370" s="3"/>
      <c r="E370" s="1"/>
    </row>
    <row r="371" spans="1:5" x14ac:dyDescent="0.25">
      <c r="A371" s="1"/>
      <c r="B371" s="1"/>
      <c r="C371" s="1"/>
      <c r="D371" s="3"/>
      <c r="E371" s="1"/>
    </row>
    <row r="372" spans="1:5" x14ac:dyDescent="0.25">
      <c r="A372" s="1"/>
      <c r="B372" s="1"/>
      <c r="C372" s="1"/>
      <c r="D372" s="3"/>
      <c r="E372" s="1"/>
    </row>
    <row r="373" spans="1:5" x14ac:dyDescent="0.25">
      <c r="A373" s="1"/>
      <c r="B373" s="1"/>
      <c r="C373" s="1"/>
      <c r="D373" s="3"/>
      <c r="E373" s="1"/>
    </row>
    <row r="374" spans="1:5" x14ac:dyDescent="0.25">
      <c r="A374" s="1"/>
      <c r="B374" s="1"/>
      <c r="C374" s="1"/>
      <c r="D374" s="3"/>
      <c r="E374" s="1"/>
    </row>
    <row r="375" spans="1:5" x14ac:dyDescent="0.25">
      <c r="A375" s="1"/>
      <c r="B375" s="1"/>
      <c r="C375" s="1"/>
      <c r="D375" s="3"/>
      <c r="E375" s="1"/>
    </row>
    <row r="376" spans="1:5" x14ac:dyDescent="0.25">
      <c r="A376" s="1"/>
      <c r="B376" s="1"/>
      <c r="C376" s="1"/>
      <c r="D376" s="3"/>
      <c r="E376" s="1"/>
    </row>
    <row r="377" spans="1:5" x14ac:dyDescent="0.25">
      <c r="A377" s="1"/>
      <c r="B377" s="1"/>
      <c r="C377" s="1"/>
      <c r="D377" s="3"/>
      <c r="E377" s="1"/>
    </row>
    <row r="378" spans="1:5" x14ac:dyDescent="0.25">
      <c r="A378" s="1"/>
      <c r="B378" s="1"/>
      <c r="C378" s="1"/>
      <c r="D378" s="3"/>
      <c r="E378" s="1"/>
    </row>
    <row r="379" spans="1:5" x14ac:dyDescent="0.25">
      <c r="A379" s="1"/>
      <c r="B379" s="1"/>
      <c r="C379" s="1"/>
      <c r="D379" s="3"/>
      <c r="E379" s="1"/>
    </row>
    <row r="380" spans="1:5" x14ac:dyDescent="0.25">
      <c r="A380" s="1"/>
      <c r="B380" s="1"/>
      <c r="C380" s="1"/>
      <c r="D380" s="3"/>
      <c r="E380" s="1"/>
    </row>
    <row r="381" spans="1:5" x14ac:dyDescent="0.25">
      <c r="A381" s="1"/>
      <c r="B381" s="1"/>
      <c r="C381" s="1"/>
      <c r="D381" s="3"/>
      <c r="E381" s="1"/>
    </row>
    <row r="382" spans="1:5" x14ac:dyDescent="0.25">
      <c r="A382" s="1"/>
      <c r="B382" s="1"/>
      <c r="C382" s="1"/>
      <c r="D382" s="3"/>
      <c r="E382" s="1"/>
    </row>
    <row r="383" spans="1:5" x14ac:dyDescent="0.25">
      <c r="A383" s="1"/>
      <c r="B383" s="1"/>
      <c r="C383" s="1"/>
      <c r="D383" s="3"/>
      <c r="E383" s="1"/>
    </row>
    <row r="384" spans="1:5" x14ac:dyDescent="0.25">
      <c r="A384" s="1"/>
      <c r="B384" s="1"/>
      <c r="C384" s="1"/>
      <c r="D384" s="3"/>
      <c r="E384" s="1"/>
    </row>
    <row r="385" spans="1:5" x14ac:dyDescent="0.25">
      <c r="A385" s="1"/>
      <c r="B385" s="1"/>
      <c r="C385" s="1"/>
      <c r="D385" s="3"/>
      <c r="E385" s="1"/>
    </row>
    <row r="386" spans="1:5" x14ac:dyDescent="0.25">
      <c r="A386" s="1"/>
      <c r="B386" s="1"/>
      <c r="C386" s="1"/>
      <c r="D386" s="3"/>
      <c r="E386" s="1"/>
    </row>
    <row r="387" spans="1:5" x14ac:dyDescent="0.25">
      <c r="A387" s="1"/>
      <c r="B387" s="1"/>
      <c r="C387" s="1"/>
      <c r="D387" s="3"/>
      <c r="E387" s="1"/>
    </row>
    <row r="388" spans="1:5" x14ac:dyDescent="0.25">
      <c r="A388" s="1"/>
      <c r="B388" s="1"/>
      <c r="C388" s="1"/>
      <c r="D388" s="3"/>
      <c r="E388" s="1"/>
    </row>
    <row r="389" spans="1:5" x14ac:dyDescent="0.25">
      <c r="A389" s="1"/>
      <c r="B389" s="1"/>
      <c r="C389" s="1"/>
      <c r="D389" s="3"/>
      <c r="E389" s="1"/>
    </row>
    <row r="390" spans="1:5" x14ac:dyDescent="0.25">
      <c r="A390" s="1"/>
      <c r="B390" s="1"/>
      <c r="C390" s="1"/>
      <c r="D390" s="3"/>
      <c r="E390" s="1"/>
    </row>
    <row r="391" spans="1:5" x14ac:dyDescent="0.25">
      <c r="A391" s="1"/>
      <c r="B391" s="1"/>
      <c r="C391" s="1"/>
      <c r="D391" s="3"/>
      <c r="E391" s="1"/>
    </row>
    <row r="392" spans="1:5" x14ac:dyDescent="0.25">
      <c r="A392" s="1"/>
      <c r="B392" s="1"/>
      <c r="C392" s="1"/>
      <c r="D392" s="3"/>
      <c r="E392" s="1"/>
    </row>
    <row r="393" spans="1:5" x14ac:dyDescent="0.25">
      <c r="A393" s="1"/>
      <c r="B393" s="1"/>
      <c r="C393" s="1"/>
      <c r="D393" s="3"/>
      <c r="E393" s="1"/>
    </row>
    <row r="394" spans="1:5" x14ac:dyDescent="0.25">
      <c r="A394" s="1"/>
      <c r="B394" s="1"/>
      <c r="C394" s="1"/>
      <c r="D394" s="3"/>
      <c r="E394" s="1"/>
    </row>
    <row r="395" spans="1:5" x14ac:dyDescent="0.25">
      <c r="A395" s="1"/>
      <c r="B395" s="1"/>
      <c r="C395" s="1"/>
      <c r="D395" s="3"/>
      <c r="E395" s="1"/>
    </row>
    <row r="396" spans="1:5" x14ac:dyDescent="0.25">
      <c r="A396" s="1"/>
      <c r="B396" s="1"/>
      <c r="C396" s="1"/>
      <c r="D396" s="3"/>
      <c r="E396" s="1"/>
    </row>
    <row r="397" spans="1:5" x14ac:dyDescent="0.25">
      <c r="A397" s="1"/>
      <c r="B397" s="1"/>
      <c r="C397" s="1"/>
      <c r="D397" s="3"/>
      <c r="E397" s="1"/>
    </row>
    <row r="398" spans="1:5" x14ac:dyDescent="0.25">
      <c r="A398" s="1"/>
      <c r="B398" s="1"/>
      <c r="C398" s="1"/>
      <c r="D398" s="3"/>
      <c r="E398" s="1"/>
    </row>
    <row r="399" spans="1:5" x14ac:dyDescent="0.25">
      <c r="A399" s="1"/>
      <c r="B399" s="1"/>
      <c r="C399" s="1"/>
      <c r="D399" s="3"/>
      <c r="E399" s="1"/>
    </row>
    <row r="400" spans="1:5" x14ac:dyDescent="0.25">
      <c r="A400" s="1"/>
      <c r="B400" s="1"/>
      <c r="C400" s="1"/>
      <c r="D400" s="3"/>
      <c r="E400" s="1"/>
    </row>
    <row r="401" spans="1:5" x14ac:dyDescent="0.25">
      <c r="A401" s="1"/>
      <c r="B401" s="1"/>
      <c r="C401" s="1"/>
      <c r="D401" s="3"/>
      <c r="E401" s="1"/>
    </row>
    <row r="402" spans="1:5" x14ac:dyDescent="0.25">
      <c r="A402" s="1"/>
      <c r="B402" s="1"/>
      <c r="C402" s="1"/>
      <c r="D402" s="3"/>
      <c r="E402" s="1"/>
    </row>
    <row r="403" spans="1:5" x14ac:dyDescent="0.25">
      <c r="A403" s="1"/>
      <c r="B403" s="1"/>
      <c r="C403" s="1"/>
      <c r="D403" s="3"/>
      <c r="E403" s="1"/>
    </row>
    <row r="404" spans="1:5" x14ac:dyDescent="0.25">
      <c r="A404" s="1"/>
      <c r="B404" s="1"/>
      <c r="C404" s="1"/>
      <c r="D404" s="3"/>
      <c r="E404" s="1"/>
    </row>
    <row r="405" spans="1:5" x14ac:dyDescent="0.25">
      <c r="A405" s="1"/>
      <c r="B405" s="1"/>
      <c r="C405" s="1"/>
      <c r="D405" s="3"/>
      <c r="E405" s="1"/>
    </row>
    <row r="406" spans="1:5" x14ac:dyDescent="0.25">
      <c r="A406" s="1"/>
      <c r="B406" s="1"/>
      <c r="C406" s="1"/>
      <c r="D406" s="3"/>
      <c r="E406" s="1"/>
    </row>
    <row r="407" spans="1:5" x14ac:dyDescent="0.25">
      <c r="A407" s="1"/>
      <c r="B407" s="1"/>
      <c r="C407" s="1"/>
      <c r="D407" s="3"/>
      <c r="E407" s="1"/>
    </row>
    <row r="408" spans="1:5" x14ac:dyDescent="0.25">
      <c r="A408" s="1"/>
      <c r="B408" s="1"/>
      <c r="C408" s="1"/>
      <c r="D408" s="3"/>
      <c r="E408" s="1"/>
    </row>
    <row r="409" spans="1:5" x14ac:dyDescent="0.25">
      <c r="A409" s="1"/>
      <c r="B409" s="1"/>
      <c r="C409" s="1"/>
      <c r="D409" s="3"/>
      <c r="E409" s="1"/>
    </row>
    <row r="410" spans="1:5" x14ac:dyDescent="0.25">
      <c r="A410" s="1"/>
      <c r="B410" s="1"/>
      <c r="C410" s="1"/>
      <c r="D410" s="3"/>
      <c r="E410" s="1"/>
    </row>
    <row r="411" spans="1:5" x14ac:dyDescent="0.25">
      <c r="A411" s="1"/>
      <c r="B411" s="1"/>
      <c r="C411" s="1"/>
      <c r="D411" s="3"/>
      <c r="E411" s="1"/>
    </row>
    <row r="412" spans="1:5" x14ac:dyDescent="0.25">
      <c r="A412" s="1"/>
      <c r="B412" s="1"/>
      <c r="C412" s="1"/>
      <c r="D412" s="3"/>
      <c r="E412" s="1"/>
    </row>
    <row r="413" spans="1:5" x14ac:dyDescent="0.25">
      <c r="A413" s="1"/>
      <c r="B413" s="1"/>
      <c r="C413" s="1"/>
      <c r="D413" s="3"/>
      <c r="E413" s="1"/>
    </row>
    <row r="414" spans="1:5" x14ac:dyDescent="0.25">
      <c r="A414" s="1"/>
      <c r="B414" s="1"/>
      <c r="C414" s="1"/>
      <c r="D414" s="3"/>
      <c r="E414" s="1"/>
    </row>
    <row r="415" spans="1:5" x14ac:dyDescent="0.25">
      <c r="A415" s="1"/>
      <c r="B415" s="1"/>
      <c r="C415" s="1"/>
      <c r="D415" s="3"/>
      <c r="E415" s="1"/>
    </row>
    <row r="416" spans="1:5" x14ac:dyDescent="0.25">
      <c r="A416" s="1"/>
      <c r="B416" s="1"/>
      <c r="C416" s="1"/>
      <c r="D416" s="3"/>
      <c r="E416" s="1"/>
    </row>
    <row r="417" spans="1:5" x14ac:dyDescent="0.25">
      <c r="A417" s="1"/>
      <c r="B417" s="1"/>
      <c r="C417" s="1"/>
      <c r="D417" s="3"/>
      <c r="E417" s="1"/>
    </row>
    <row r="418" spans="1:5" x14ac:dyDescent="0.25">
      <c r="A418" s="1"/>
      <c r="B418" s="1"/>
      <c r="C418" s="1"/>
      <c r="D418" s="3"/>
      <c r="E418" s="1"/>
    </row>
    <row r="419" spans="1:5" x14ac:dyDescent="0.25">
      <c r="A419" s="1"/>
      <c r="B419" s="1"/>
      <c r="C419" s="1"/>
      <c r="D419" s="3"/>
      <c r="E419" s="1"/>
    </row>
    <row r="420" spans="1:5" x14ac:dyDescent="0.25">
      <c r="A420" s="1"/>
      <c r="B420" s="1"/>
      <c r="C420" s="1"/>
      <c r="D420" s="3"/>
      <c r="E420" s="1"/>
    </row>
    <row r="421" spans="1:5" x14ac:dyDescent="0.25">
      <c r="A421" s="1"/>
      <c r="B421" s="1"/>
      <c r="C421" s="1"/>
      <c r="D421" s="3"/>
      <c r="E421" s="1"/>
    </row>
    <row r="422" spans="1:5" x14ac:dyDescent="0.25">
      <c r="A422" s="1"/>
      <c r="B422" s="1"/>
      <c r="C422" s="1"/>
      <c r="D422" s="3"/>
      <c r="E422" s="1"/>
    </row>
    <row r="423" spans="1:5" x14ac:dyDescent="0.25">
      <c r="A423" s="1"/>
      <c r="B423" s="1"/>
      <c r="C423" s="1"/>
      <c r="D423" s="3"/>
      <c r="E423" s="1"/>
    </row>
    <row r="424" spans="1:5" x14ac:dyDescent="0.25">
      <c r="A424" s="1"/>
      <c r="B424" s="1"/>
      <c r="C424" s="1"/>
      <c r="D424" s="3"/>
      <c r="E424" s="1"/>
    </row>
    <row r="425" spans="1:5" x14ac:dyDescent="0.25">
      <c r="A425" s="1"/>
      <c r="B425" s="1"/>
      <c r="C425" s="1"/>
      <c r="D425" s="3"/>
      <c r="E425" s="1"/>
    </row>
    <row r="426" spans="1:5" x14ac:dyDescent="0.25">
      <c r="A426" s="1"/>
      <c r="B426" s="1"/>
      <c r="C426" s="1"/>
      <c r="D426" s="3"/>
      <c r="E426" s="1"/>
    </row>
    <row r="427" spans="1:5" x14ac:dyDescent="0.25">
      <c r="A427" s="1"/>
      <c r="B427" s="1"/>
      <c r="C427" s="1"/>
      <c r="D427" s="3"/>
      <c r="E427" s="1"/>
    </row>
    <row r="428" spans="1:5" x14ac:dyDescent="0.25">
      <c r="A428" s="1"/>
      <c r="B428" s="1"/>
      <c r="C428" s="1"/>
      <c r="D428" s="3"/>
      <c r="E428" s="1"/>
    </row>
    <row r="429" spans="1:5" x14ac:dyDescent="0.25">
      <c r="A429" s="1"/>
      <c r="B429" s="1"/>
      <c r="C429" s="1"/>
      <c r="D429" s="3"/>
      <c r="E429" s="1"/>
    </row>
    <row r="430" spans="1:5" x14ac:dyDescent="0.25">
      <c r="A430" s="1"/>
      <c r="B430" s="1"/>
      <c r="C430" s="1"/>
      <c r="D430" s="3"/>
      <c r="E430" s="1"/>
    </row>
    <row r="431" spans="1:5" x14ac:dyDescent="0.25">
      <c r="A431" s="1"/>
      <c r="B431" s="1"/>
      <c r="C431" s="1"/>
      <c r="D431" s="3"/>
      <c r="E431" s="1"/>
    </row>
    <row r="432" spans="1:5" x14ac:dyDescent="0.25">
      <c r="A432" s="1"/>
      <c r="B432" s="1"/>
      <c r="C432" s="1"/>
      <c r="D432" s="3"/>
      <c r="E432" s="1"/>
    </row>
    <row r="433" spans="1:5" x14ac:dyDescent="0.25">
      <c r="A433" s="1"/>
      <c r="B433" s="1"/>
      <c r="C433" s="1"/>
      <c r="D433" s="3"/>
      <c r="E433" s="1"/>
    </row>
    <row r="434" spans="1:5" x14ac:dyDescent="0.25">
      <c r="A434" s="1"/>
      <c r="B434" s="1"/>
      <c r="C434" s="1"/>
      <c r="D434" s="3"/>
      <c r="E434" s="1"/>
    </row>
    <row r="435" spans="1:5" x14ac:dyDescent="0.25">
      <c r="A435" s="1"/>
      <c r="B435" s="1"/>
      <c r="C435" s="1"/>
      <c r="D435" s="3"/>
      <c r="E435" s="1"/>
    </row>
    <row r="436" spans="1:5" x14ac:dyDescent="0.25">
      <c r="A436" s="1"/>
      <c r="B436" s="1"/>
      <c r="C436" s="1"/>
      <c r="D436" s="3"/>
      <c r="E436" s="1"/>
    </row>
    <row r="437" spans="1:5" x14ac:dyDescent="0.25">
      <c r="A437" s="1"/>
      <c r="B437" s="1"/>
      <c r="C437" s="1"/>
      <c r="D437" s="3"/>
      <c r="E437" s="1"/>
    </row>
    <row r="438" spans="1:5" x14ac:dyDescent="0.25">
      <c r="A438" s="1"/>
      <c r="B438" s="1"/>
      <c r="C438" s="1"/>
      <c r="D438" s="3"/>
      <c r="E438" s="1"/>
    </row>
    <row r="439" spans="1:5" x14ac:dyDescent="0.25">
      <c r="A439" s="1"/>
      <c r="B439" s="1"/>
      <c r="C439" s="1"/>
      <c r="D439" s="3"/>
      <c r="E439" s="1"/>
    </row>
    <row r="440" spans="1:5" x14ac:dyDescent="0.25">
      <c r="A440" s="1"/>
      <c r="B440" s="1"/>
      <c r="C440" s="1"/>
      <c r="D440" s="3"/>
      <c r="E440" s="1"/>
    </row>
    <row r="441" spans="1:5" x14ac:dyDescent="0.25">
      <c r="A441" s="1"/>
      <c r="B441" s="1"/>
      <c r="C441" s="1"/>
      <c r="D441" s="3"/>
      <c r="E441" s="1"/>
    </row>
    <row r="442" spans="1:5" x14ac:dyDescent="0.25">
      <c r="A442" s="1"/>
      <c r="B442" s="1"/>
      <c r="C442" s="1"/>
      <c r="D442" s="3"/>
      <c r="E442" s="1"/>
    </row>
    <row r="443" spans="1:5" x14ac:dyDescent="0.25">
      <c r="A443" s="1"/>
      <c r="B443" s="1"/>
      <c r="C443" s="1"/>
      <c r="D443" s="3"/>
      <c r="E443" s="1"/>
    </row>
    <row r="444" spans="1:5" x14ac:dyDescent="0.25">
      <c r="A444" s="1"/>
      <c r="B444" s="1"/>
      <c r="C444" s="1"/>
      <c r="D444" s="3"/>
      <c r="E444" s="1"/>
    </row>
    <row r="445" spans="1:5" x14ac:dyDescent="0.25">
      <c r="A445" s="1"/>
      <c r="B445" s="1"/>
      <c r="C445" s="1"/>
      <c r="D445" s="3"/>
      <c r="E445" s="1"/>
    </row>
    <row r="446" spans="1:5" x14ac:dyDescent="0.25">
      <c r="A446" s="1"/>
      <c r="B446" s="1"/>
      <c r="C446" s="1"/>
      <c r="D446" s="3"/>
      <c r="E446" s="1"/>
    </row>
    <row r="447" spans="1:5" x14ac:dyDescent="0.25">
      <c r="A447" s="1"/>
      <c r="B447" s="1"/>
      <c r="C447" s="1"/>
      <c r="D447" s="3"/>
      <c r="E447" s="1"/>
    </row>
    <row r="448" spans="1:5" x14ac:dyDescent="0.25">
      <c r="A448" s="1"/>
      <c r="B448" s="1"/>
      <c r="C448" s="1"/>
      <c r="D448" s="3"/>
      <c r="E448" s="1"/>
    </row>
    <row r="449" spans="1:5" x14ac:dyDescent="0.25">
      <c r="A449" s="1"/>
      <c r="B449" s="1"/>
      <c r="C449" s="1"/>
      <c r="D449" s="3"/>
      <c r="E449" s="1"/>
    </row>
    <row r="450" spans="1:5" x14ac:dyDescent="0.25">
      <c r="A450" s="1"/>
      <c r="B450" s="1"/>
      <c r="C450" s="1"/>
      <c r="D450" s="3"/>
      <c r="E450" s="1"/>
    </row>
    <row r="451" spans="1:5" x14ac:dyDescent="0.25">
      <c r="A451" s="1"/>
      <c r="B451" s="1"/>
      <c r="C451" s="1"/>
      <c r="D451" s="3"/>
      <c r="E451" s="1"/>
    </row>
    <row r="452" spans="1:5" x14ac:dyDescent="0.25">
      <c r="A452" s="1"/>
      <c r="B452" s="1"/>
      <c r="C452" s="1"/>
      <c r="D452" s="3"/>
      <c r="E452" s="1"/>
    </row>
    <row r="453" spans="1:5" x14ac:dyDescent="0.25">
      <c r="A453" s="1"/>
      <c r="B453" s="1"/>
      <c r="C453" s="1"/>
      <c r="D453" s="3"/>
      <c r="E453" s="1"/>
    </row>
    <row r="454" spans="1:5" x14ac:dyDescent="0.25">
      <c r="A454" s="1"/>
      <c r="B454" s="1"/>
      <c r="C454" s="1"/>
      <c r="D454" s="3"/>
      <c r="E454" s="1"/>
    </row>
    <row r="455" spans="1:5" x14ac:dyDescent="0.25">
      <c r="A455" s="1"/>
      <c r="B455" s="1"/>
      <c r="C455" s="1"/>
      <c r="D455" s="3"/>
      <c r="E455" s="1"/>
    </row>
    <row r="456" spans="1:5" x14ac:dyDescent="0.25">
      <c r="A456" s="1"/>
      <c r="B456" s="1"/>
      <c r="C456" s="1"/>
      <c r="D456" s="3"/>
      <c r="E456" s="1"/>
    </row>
    <row r="457" spans="1:5" x14ac:dyDescent="0.25">
      <c r="A457" s="1"/>
      <c r="B457" s="1"/>
      <c r="C457" s="1"/>
      <c r="D457" s="3"/>
      <c r="E457" s="1"/>
    </row>
    <row r="458" spans="1:5" x14ac:dyDescent="0.25">
      <c r="A458" s="1"/>
      <c r="B458" s="1"/>
      <c r="C458" s="1"/>
      <c r="D458" s="3"/>
      <c r="E458" s="1"/>
    </row>
    <row r="459" spans="1:5" x14ac:dyDescent="0.25">
      <c r="A459" s="1"/>
      <c r="B459" s="1"/>
      <c r="C459" s="1"/>
      <c r="D459" s="3"/>
      <c r="E459" s="1"/>
    </row>
    <row r="460" spans="1:5" x14ac:dyDescent="0.25">
      <c r="A460" s="1"/>
      <c r="B460" s="1"/>
      <c r="C460" s="1"/>
      <c r="D460" s="3"/>
      <c r="E460" s="1"/>
    </row>
    <row r="461" spans="1:5" x14ac:dyDescent="0.25">
      <c r="A461" s="1"/>
      <c r="B461" s="1"/>
      <c r="C461" s="1"/>
      <c r="D461" s="3"/>
      <c r="E461" s="1"/>
    </row>
    <row r="462" spans="1:5" x14ac:dyDescent="0.25">
      <c r="A462" s="1"/>
      <c r="B462" s="1"/>
      <c r="C462" s="1"/>
      <c r="D462" s="3"/>
      <c r="E462" s="1"/>
    </row>
    <row r="463" spans="1:5" x14ac:dyDescent="0.25">
      <c r="A463" s="1"/>
      <c r="B463" s="1"/>
      <c r="C463" s="1"/>
      <c r="D463" s="3"/>
      <c r="E463" s="1"/>
    </row>
    <row r="464" spans="1:5" x14ac:dyDescent="0.25">
      <c r="A464" s="1"/>
      <c r="B464" s="1"/>
      <c r="C464" s="1"/>
      <c r="D464" s="3"/>
      <c r="E464" s="1"/>
    </row>
    <row r="465" spans="1:5" x14ac:dyDescent="0.25">
      <c r="A465" s="1"/>
      <c r="B465" s="1"/>
      <c r="C465" s="1"/>
      <c r="D465" s="3"/>
      <c r="E465" s="1"/>
    </row>
    <row r="466" spans="1:5" x14ac:dyDescent="0.25">
      <c r="A466" s="1"/>
      <c r="B466" s="1"/>
      <c r="C466" s="1"/>
      <c r="D466" s="3"/>
      <c r="E466" s="1"/>
    </row>
    <row r="467" spans="1:5" x14ac:dyDescent="0.25">
      <c r="A467" s="1"/>
      <c r="B467" s="1"/>
      <c r="C467" s="1"/>
      <c r="D467" s="3"/>
      <c r="E467" s="1"/>
    </row>
    <row r="468" spans="1:5" x14ac:dyDescent="0.25">
      <c r="A468" s="1"/>
      <c r="B468" s="1"/>
      <c r="C468" s="1"/>
      <c r="D468" s="3"/>
      <c r="E468" s="1"/>
    </row>
    <row r="469" spans="1:5" x14ac:dyDescent="0.25">
      <c r="A469" s="1"/>
      <c r="B469" s="1"/>
      <c r="C469" s="1"/>
      <c r="D469" s="3"/>
      <c r="E469" s="1"/>
    </row>
    <row r="470" spans="1:5" x14ac:dyDescent="0.25">
      <c r="A470" s="1"/>
      <c r="B470" s="1"/>
      <c r="C470" s="1"/>
      <c r="D470" s="3"/>
      <c r="E470" s="1"/>
    </row>
    <row r="471" spans="1:5" x14ac:dyDescent="0.25">
      <c r="A471" s="1"/>
      <c r="B471" s="1"/>
      <c r="C471" s="1"/>
      <c r="D471" s="3"/>
      <c r="E471" s="1"/>
    </row>
    <row r="472" spans="1:5" x14ac:dyDescent="0.25">
      <c r="A472" s="1"/>
      <c r="B472" s="1"/>
      <c r="C472" s="1"/>
      <c r="D472" s="3"/>
      <c r="E472" s="1"/>
    </row>
    <row r="473" spans="1:5" x14ac:dyDescent="0.25">
      <c r="A473" s="1"/>
      <c r="B473" s="1"/>
      <c r="C473" s="1"/>
      <c r="D473" s="3"/>
      <c r="E473" s="1"/>
    </row>
    <row r="474" spans="1:5" x14ac:dyDescent="0.25">
      <c r="A474" s="1"/>
      <c r="B474" s="1"/>
      <c r="C474" s="1"/>
      <c r="D474" s="3"/>
      <c r="E474" s="1"/>
    </row>
    <row r="475" spans="1:5" x14ac:dyDescent="0.25">
      <c r="A475" s="1"/>
      <c r="B475" s="1"/>
      <c r="C475" s="1"/>
      <c r="D475" s="3"/>
      <c r="E475" s="1"/>
    </row>
    <row r="476" spans="1:5" x14ac:dyDescent="0.25">
      <c r="A476" s="1"/>
      <c r="B476" s="1"/>
      <c r="C476" s="1"/>
      <c r="D476" s="3"/>
      <c r="E476" s="1"/>
    </row>
    <row r="477" spans="1:5" x14ac:dyDescent="0.25">
      <c r="A477" s="1"/>
      <c r="B477" s="1"/>
      <c r="C477" s="1"/>
      <c r="D477" s="3"/>
      <c r="E477" s="1"/>
    </row>
    <row r="478" spans="1:5" x14ac:dyDescent="0.25">
      <c r="A478" s="1"/>
      <c r="B478" s="1"/>
      <c r="C478" s="1"/>
      <c r="D478" s="3"/>
      <c r="E478" s="1"/>
    </row>
    <row r="479" spans="1:5" x14ac:dyDescent="0.25">
      <c r="A479" s="1"/>
      <c r="B479" s="1"/>
      <c r="C479" s="1"/>
      <c r="D479" s="3"/>
      <c r="E479" s="1"/>
    </row>
    <row r="480" spans="1:5" x14ac:dyDescent="0.25">
      <c r="A480" s="1"/>
      <c r="B480" s="1"/>
      <c r="C480" s="1"/>
      <c r="D480" s="3"/>
      <c r="E480" s="1"/>
    </row>
    <row r="481" spans="1:5" x14ac:dyDescent="0.25">
      <c r="A481" s="1"/>
      <c r="B481" s="1"/>
      <c r="C481" s="1"/>
      <c r="D481" s="3"/>
      <c r="E481" s="1"/>
    </row>
    <row r="482" spans="1:5" x14ac:dyDescent="0.25">
      <c r="A482" s="1"/>
      <c r="B482" s="1"/>
      <c r="C482" s="1"/>
      <c r="D482" s="3"/>
      <c r="E482" s="1"/>
    </row>
    <row r="483" spans="1:5" x14ac:dyDescent="0.25">
      <c r="A483" s="1"/>
      <c r="B483" s="1"/>
      <c r="C483" s="1"/>
      <c r="D483" s="3"/>
      <c r="E483" s="1"/>
    </row>
    <row r="484" spans="1:5" x14ac:dyDescent="0.25">
      <c r="A484" s="1"/>
      <c r="B484" s="1"/>
      <c r="C484" s="1"/>
      <c r="D484" s="3"/>
      <c r="E484" s="1"/>
    </row>
    <row r="485" spans="1:5" x14ac:dyDescent="0.25">
      <c r="A485" s="1"/>
      <c r="B485" s="1"/>
      <c r="C485" s="1"/>
      <c r="D485" s="3"/>
      <c r="E485" s="1"/>
    </row>
    <row r="486" spans="1:5" x14ac:dyDescent="0.25">
      <c r="A486" s="1"/>
      <c r="B486" s="1"/>
      <c r="C486" s="1"/>
      <c r="D486" s="3"/>
      <c r="E486" s="1"/>
    </row>
    <row r="487" spans="1:5" x14ac:dyDescent="0.25">
      <c r="A487" s="1"/>
      <c r="B487" s="1"/>
      <c r="C487" s="1"/>
      <c r="D487" s="3"/>
      <c r="E487" s="1"/>
    </row>
    <row r="488" spans="1:5" x14ac:dyDescent="0.25">
      <c r="A488" s="1"/>
      <c r="B488" s="1"/>
      <c r="C488" s="1"/>
      <c r="D488" s="3"/>
      <c r="E488" s="1"/>
    </row>
    <row r="489" spans="1:5" x14ac:dyDescent="0.25">
      <c r="A489" s="1"/>
      <c r="B489" s="1"/>
      <c r="C489" s="1"/>
      <c r="D489" s="3"/>
      <c r="E489" s="1"/>
    </row>
    <row r="490" spans="1:5" x14ac:dyDescent="0.25">
      <c r="A490" s="1"/>
      <c r="B490" s="1"/>
      <c r="C490" s="1"/>
      <c r="D490" s="3"/>
      <c r="E490" s="1"/>
    </row>
    <row r="491" spans="1:5" x14ac:dyDescent="0.25">
      <c r="A491" s="1"/>
      <c r="B491" s="1"/>
      <c r="C491" s="1"/>
      <c r="D491" s="3"/>
      <c r="E491" s="1"/>
    </row>
    <row r="492" spans="1:5" x14ac:dyDescent="0.25">
      <c r="A492" s="1"/>
      <c r="B492" s="1"/>
      <c r="C492" s="1"/>
      <c r="D492" s="3"/>
      <c r="E492" s="1"/>
    </row>
    <row r="493" spans="1:5" x14ac:dyDescent="0.25">
      <c r="A493" s="1"/>
      <c r="B493" s="1"/>
      <c r="C493" s="1"/>
      <c r="D493" s="3"/>
      <c r="E493" s="1"/>
    </row>
    <row r="494" spans="1:5" x14ac:dyDescent="0.25">
      <c r="A494" s="1"/>
      <c r="B494" s="1"/>
      <c r="C494" s="1"/>
      <c r="D494" s="3"/>
      <c r="E494" s="1"/>
    </row>
    <row r="495" spans="1:5" x14ac:dyDescent="0.25">
      <c r="A495" s="1"/>
      <c r="B495" s="1"/>
      <c r="C495" s="1"/>
      <c r="D495" s="3"/>
      <c r="E495" s="1"/>
    </row>
    <row r="496" spans="1:5" x14ac:dyDescent="0.25">
      <c r="A496" s="1"/>
      <c r="B496" s="1"/>
      <c r="C496" s="1"/>
      <c r="D496" s="3"/>
      <c r="E496" s="1"/>
    </row>
    <row r="497" spans="1:5" x14ac:dyDescent="0.25">
      <c r="A497" s="1"/>
      <c r="B497" s="1"/>
      <c r="C497" s="1"/>
      <c r="D497" s="3"/>
      <c r="E497" s="1"/>
    </row>
    <row r="498" spans="1:5" x14ac:dyDescent="0.25">
      <c r="A498" s="1"/>
      <c r="B498" s="1"/>
      <c r="C498" s="1"/>
      <c r="D498" s="3"/>
      <c r="E498" s="1"/>
    </row>
    <row r="499" spans="1:5" x14ac:dyDescent="0.25">
      <c r="A499" s="1"/>
      <c r="B499" s="1"/>
      <c r="C499" s="1"/>
      <c r="D499" s="3"/>
      <c r="E499" s="1"/>
    </row>
    <row r="500" spans="1:5" x14ac:dyDescent="0.25">
      <c r="A500" s="1"/>
      <c r="B500" s="1"/>
      <c r="C500" s="1"/>
      <c r="D500" s="3"/>
      <c r="E500" s="1"/>
    </row>
    <row r="501" spans="1:5" x14ac:dyDescent="0.25">
      <c r="A501" s="1"/>
      <c r="B501" s="1"/>
      <c r="C501" s="1"/>
      <c r="D501" s="3"/>
      <c r="E501" s="1"/>
    </row>
    <row r="502" spans="1:5" x14ac:dyDescent="0.25">
      <c r="A502" s="1"/>
      <c r="B502" s="1"/>
      <c r="C502" s="1"/>
      <c r="D502" s="3"/>
      <c r="E502" s="1"/>
    </row>
    <row r="503" spans="1:5" x14ac:dyDescent="0.25">
      <c r="A503" s="1"/>
      <c r="B503" s="1"/>
      <c r="C503" s="1"/>
      <c r="D503" s="3"/>
      <c r="E503" s="1"/>
    </row>
    <row r="504" spans="1:5" x14ac:dyDescent="0.25">
      <c r="A504" s="1"/>
      <c r="B504" s="1"/>
      <c r="C504" s="1"/>
      <c r="D504" s="3"/>
      <c r="E504" s="1"/>
    </row>
    <row r="505" spans="1:5" x14ac:dyDescent="0.25">
      <c r="A505" s="1"/>
      <c r="B505" s="1"/>
      <c r="C505" s="1"/>
      <c r="D505" s="3"/>
      <c r="E505" s="1"/>
    </row>
    <row r="506" spans="1:5" x14ac:dyDescent="0.25">
      <c r="A506" s="1"/>
      <c r="B506" s="1"/>
      <c r="C506" s="1"/>
      <c r="D506" s="3"/>
      <c r="E506" s="1"/>
    </row>
    <row r="507" spans="1:5" x14ac:dyDescent="0.25">
      <c r="A507" s="1"/>
      <c r="B507" s="1"/>
      <c r="C507" s="1"/>
      <c r="D507" s="3"/>
      <c r="E507" s="1"/>
    </row>
    <row r="508" spans="1:5" x14ac:dyDescent="0.25">
      <c r="A508" s="1"/>
      <c r="B508" s="1"/>
      <c r="C508" s="1"/>
      <c r="D508" s="3"/>
      <c r="E508" s="1"/>
    </row>
    <row r="509" spans="1:5" x14ac:dyDescent="0.25">
      <c r="A509" s="1"/>
      <c r="B509" s="1"/>
      <c r="C509" s="1"/>
      <c r="D509" s="3"/>
      <c r="E509" s="1"/>
    </row>
    <row r="510" spans="1:5" x14ac:dyDescent="0.25">
      <c r="A510" s="1"/>
      <c r="B510" s="1"/>
      <c r="C510" s="1"/>
      <c r="D510" s="3"/>
      <c r="E510" s="1"/>
    </row>
    <row r="511" spans="1:5" x14ac:dyDescent="0.25">
      <c r="A511" s="1"/>
      <c r="B511" s="1"/>
      <c r="C511" s="1"/>
      <c r="D511" s="3"/>
      <c r="E511" s="1"/>
    </row>
    <row r="512" spans="1:5" x14ac:dyDescent="0.25">
      <c r="A512" s="1"/>
      <c r="B512" s="1"/>
      <c r="C512" s="1"/>
      <c r="D512" s="3"/>
      <c r="E512" s="1"/>
    </row>
    <row r="513" spans="1:5" x14ac:dyDescent="0.25">
      <c r="A513" s="1"/>
      <c r="B513" s="1"/>
      <c r="C513" s="1"/>
      <c r="D513" s="3"/>
      <c r="E513" s="1"/>
    </row>
    <row r="514" spans="1:5" x14ac:dyDescent="0.25">
      <c r="A514" s="1"/>
      <c r="B514" s="1"/>
      <c r="C514" s="1"/>
      <c r="D514" s="3"/>
      <c r="E514" s="1"/>
    </row>
    <row r="515" spans="1:5" x14ac:dyDescent="0.25">
      <c r="A515" s="1"/>
      <c r="B515" s="1"/>
      <c r="C515" s="1"/>
      <c r="D515" s="3"/>
      <c r="E515" s="1"/>
    </row>
    <row r="516" spans="1:5" x14ac:dyDescent="0.25">
      <c r="A516" s="1"/>
      <c r="B516" s="1"/>
      <c r="C516" s="1"/>
      <c r="D516" s="3"/>
      <c r="E516" s="1"/>
    </row>
    <row r="517" spans="1:5" x14ac:dyDescent="0.25">
      <c r="A517" s="1"/>
      <c r="B517" s="1"/>
      <c r="C517" s="1"/>
      <c r="D517" s="3"/>
      <c r="E517" s="1"/>
    </row>
    <row r="518" spans="1:5" x14ac:dyDescent="0.25">
      <c r="A518" s="1"/>
      <c r="B518" s="1"/>
      <c r="C518" s="1"/>
      <c r="D518" s="3"/>
      <c r="E518" s="1"/>
    </row>
    <row r="519" spans="1:5" x14ac:dyDescent="0.25">
      <c r="A519" s="1"/>
      <c r="B519" s="1"/>
      <c r="C519" s="1"/>
      <c r="D519" s="3"/>
      <c r="E519" s="1"/>
    </row>
    <row r="520" spans="1:5" x14ac:dyDescent="0.25">
      <c r="A520" s="1"/>
      <c r="B520" s="1"/>
      <c r="C520" s="1"/>
      <c r="D520" s="3"/>
      <c r="E520" s="1"/>
    </row>
    <row r="521" spans="1:5" x14ac:dyDescent="0.25">
      <c r="A521" s="1"/>
      <c r="B521" s="1"/>
      <c r="C521" s="1"/>
      <c r="D521" s="3"/>
      <c r="E521" s="1"/>
    </row>
    <row r="522" spans="1:5" x14ac:dyDescent="0.25">
      <c r="A522" s="1"/>
      <c r="B522" s="1"/>
      <c r="C522" s="1"/>
      <c r="D522" s="3"/>
      <c r="E522" s="1"/>
    </row>
    <row r="523" spans="1:5" x14ac:dyDescent="0.25">
      <c r="A523" s="1"/>
      <c r="B523" s="1"/>
      <c r="C523" s="1"/>
      <c r="D523" s="3"/>
      <c r="E523" s="1"/>
    </row>
    <row r="524" spans="1:5" x14ac:dyDescent="0.25">
      <c r="A524" s="1"/>
      <c r="B524" s="1"/>
      <c r="C524" s="1"/>
      <c r="D524" s="3"/>
      <c r="E524" s="1"/>
    </row>
    <row r="525" spans="1:5" x14ac:dyDescent="0.25">
      <c r="A525" s="1"/>
      <c r="B525" s="1"/>
      <c r="C525" s="1"/>
      <c r="D525" s="3"/>
      <c r="E525" s="1"/>
    </row>
    <row r="526" spans="1:5" x14ac:dyDescent="0.25">
      <c r="A526" s="1"/>
      <c r="B526" s="1"/>
      <c r="C526" s="1"/>
      <c r="D526" s="3"/>
      <c r="E526" s="1"/>
    </row>
    <row r="527" spans="1:5" x14ac:dyDescent="0.25">
      <c r="A527" s="1"/>
      <c r="B527" s="1"/>
      <c r="C527" s="1"/>
      <c r="D527" s="3"/>
      <c r="E527" s="1"/>
    </row>
    <row r="528" spans="1:5" x14ac:dyDescent="0.25">
      <c r="A528" s="1"/>
      <c r="B528" s="1"/>
      <c r="C528" s="1"/>
      <c r="D528" s="3"/>
      <c r="E528" s="1"/>
    </row>
    <row r="529" spans="1:5" x14ac:dyDescent="0.25">
      <c r="A529" s="1"/>
      <c r="B529" s="1"/>
      <c r="C529" s="1"/>
      <c r="D529" s="3"/>
      <c r="E529" s="1"/>
    </row>
    <row r="530" spans="1:5" x14ac:dyDescent="0.25">
      <c r="A530" s="1"/>
      <c r="B530" s="1"/>
      <c r="C530" s="1"/>
      <c r="D530" s="3"/>
      <c r="E530" s="1"/>
    </row>
    <row r="531" spans="1:5" x14ac:dyDescent="0.25">
      <c r="A531" s="1"/>
      <c r="B531" s="1"/>
      <c r="C531" s="1"/>
      <c r="D531" s="3"/>
      <c r="E531" s="1"/>
    </row>
    <row r="532" spans="1:5" x14ac:dyDescent="0.25">
      <c r="A532" s="1"/>
      <c r="B532" s="1"/>
      <c r="C532" s="1"/>
      <c r="D532" s="3"/>
      <c r="E532" s="1"/>
    </row>
    <row r="533" spans="1:5" x14ac:dyDescent="0.25">
      <c r="A533" s="1"/>
      <c r="B533" s="1"/>
      <c r="C533" s="1"/>
      <c r="D533" s="3"/>
      <c r="E533" s="1"/>
    </row>
    <row r="534" spans="1:5" x14ac:dyDescent="0.25">
      <c r="A534" s="1"/>
      <c r="B534" s="1"/>
      <c r="C534" s="1"/>
      <c r="D534" s="3"/>
      <c r="E534" s="1"/>
    </row>
    <row r="535" spans="1:5" x14ac:dyDescent="0.25">
      <c r="A535" s="1"/>
      <c r="B535" s="1"/>
      <c r="C535" s="1"/>
      <c r="D535" s="3"/>
      <c r="E535" s="1"/>
    </row>
    <row r="536" spans="1:5" x14ac:dyDescent="0.25">
      <c r="A536" s="1"/>
      <c r="B536" s="1"/>
      <c r="C536" s="1"/>
      <c r="D536" s="3"/>
      <c r="E536" s="1"/>
    </row>
    <row r="537" spans="1:5" x14ac:dyDescent="0.25">
      <c r="A537" s="1"/>
      <c r="B537" s="1"/>
      <c r="C537" s="1"/>
      <c r="D537" s="3"/>
      <c r="E537" s="1"/>
    </row>
    <row r="538" spans="1:5" x14ac:dyDescent="0.25">
      <c r="A538" s="1"/>
      <c r="B538" s="1"/>
      <c r="C538" s="1"/>
      <c r="D538" s="3"/>
      <c r="E538" s="1"/>
    </row>
    <row r="539" spans="1:5" x14ac:dyDescent="0.25">
      <c r="A539" s="1"/>
      <c r="B539" s="1"/>
      <c r="C539" s="1"/>
      <c r="D539" s="3"/>
      <c r="E539" s="1"/>
    </row>
    <row r="540" spans="1:5" x14ac:dyDescent="0.25">
      <c r="A540" s="1"/>
      <c r="B540" s="1"/>
      <c r="C540" s="1"/>
      <c r="D540" s="3"/>
      <c r="E540" s="1"/>
    </row>
    <row r="541" spans="1:5" x14ac:dyDescent="0.25">
      <c r="A541" s="1"/>
      <c r="B541" s="1"/>
      <c r="C541" s="1"/>
      <c r="D541" s="3"/>
      <c r="E541" s="1"/>
    </row>
    <row r="542" spans="1:5" x14ac:dyDescent="0.25">
      <c r="A542" s="1"/>
      <c r="B542" s="1"/>
      <c r="C542" s="1"/>
      <c r="D542" s="3"/>
      <c r="E542" s="1"/>
    </row>
    <row r="543" spans="1:5" x14ac:dyDescent="0.25">
      <c r="A543" s="1"/>
      <c r="B543" s="1"/>
      <c r="C543" s="1"/>
      <c r="D543" s="3"/>
      <c r="E543" s="1"/>
    </row>
    <row r="544" spans="1:5" x14ac:dyDescent="0.25">
      <c r="A544" s="1"/>
      <c r="B544" s="1"/>
      <c r="C544" s="1"/>
      <c r="D544" s="3"/>
      <c r="E544" s="1"/>
    </row>
    <row r="545" spans="1:5" x14ac:dyDescent="0.25">
      <c r="A545" s="1"/>
      <c r="B545" s="1"/>
      <c r="C545" s="1"/>
      <c r="D545" s="3"/>
      <c r="E545" s="1"/>
    </row>
    <row r="546" spans="1:5" x14ac:dyDescent="0.25">
      <c r="A546" s="1"/>
      <c r="B546" s="1"/>
      <c r="C546" s="1"/>
      <c r="D546" s="3"/>
      <c r="E546" s="1"/>
    </row>
    <row r="547" spans="1:5" x14ac:dyDescent="0.25">
      <c r="A547" s="1"/>
      <c r="B547" s="1"/>
      <c r="C547" s="1"/>
      <c r="D547" s="3"/>
      <c r="E547" s="1"/>
    </row>
    <row r="548" spans="1:5" x14ac:dyDescent="0.25">
      <c r="A548" s="1"/>
      <c r="B548" s="1"/>
      <c r="C548" s="1"/>
      <c r="D548" s="3"/>
      <c r="E548" s="1"/>
    </row>
    <row r="549" spans="1:5" x14ac:dyDescent="0.25">
      <c r="A549" s="1"/>
      <c r="B549" s="1"/>
      <c r="C549" s="1"/>
      <c r="D549" s="3"/>
      <c r="E549" s="1"/>
    </row>
    <row r="550" spans="1:5" x14ac:dyDescent="0.25">
      <c r="A550" s="1"/>
      <c r="B550" s="1"/>
      <c r="C550" s="1"/>
      <c r="D550" s="3"/>
      <c r="E550" s="1"/>
    </row>
    <row r="551" spans="1:5" x14ac:dyDescent="0.25">
      <c r="A551" s="1"/>
      <c r="B551" s="1"/>
      <c r="C551" s="1"/>
      <c r="D551" s="3"/>
      <c r="E551" s="1"/>
    </row>
    <row r="552" spans="1:5" x14ac:dyDescent="0.25">
      <c r="A552" s="1"/>
      <c r="B552" s="1"/>
      <c r="C552" s="1"/>
      <c r="D552" s="3"/>
      <c r="E552" s="1"/>
    </row>
    <row r="553" spans="1:5" x14ac:dyDescent="0.25">
      <c r="A553" s="1"/>
      <c r="B553" s="1"/>
      <c r="C553" s="1"/>
      <c r="D553" s="3"/>
      <c r="E553" s="1"/>
    </row>
    <row r="554" spans="1:5" x14ac:dyDescent="0.25">
      <c r="A554" s="1"/>
      <c r="B554" s="1"/>
      <c r="C554" s="1"/>
      <c r="D554" s="3"/>
      <c r="E554" s="1"/>
    </row>
    <row r="555" spans="1:5" x14ac:dyDescent="0.25">
      <c r="A555" s="1"/>
      <c r="B555" s="1"/>
      <c r="C555" s="1"/>
      <c r="D555" s="3"/>
      <c r="E555" s="1"/>
    </row>
    <row r="556" spans="1:5" x14ac:dyDescent="0.25">
      <c r="A556" s="1"/>
      <c r="B556" s="1"/>
      <c r="C556" s="1"/>
      <c r="D556" s="3"/>
      <c r="E556" s="1"/>
    </row>
    <row r="557" spans="1:5" x14ac:dyDescent="0.25">
      <c r="A557" s="1"/>
      <c r="B557" s="1"/>
      <c r="C557" s="1"/>
      <c r="D557" s="3"/>
      <c r="E557" s="1"/>
    </row>
    <row r="558" spans="1:5" x14ac:dyDescent="0.25">
      <c r="A558" s="1"/>
      <c r="B558" s="1"/>
      <c r="C558" s="1"/>
      <c r="D558" s="3"/>
      <c r="E558" s="1"/>
    </row>
    <row r="559" spans="1:5" x14ac:dyDescent="0.25">
      <c r="A559" s="1"/>
      <c r="B559" s="1"/>
      <c r="C559" s="1"/>
      <c r="D559" s="3"/>
      <c r="E559" s="1"/>
    </row>
    <row r="560" spans="1:5" x14ac:dyDescent="0.25">
      <c r="A560" s="1"/>
      <c r="B560" s="1"/>
      <c r="C560" s="1"/>
      <c r="D560" s="3"/>
      <c r="E560" s="1"/>
    </row>
    <row r="561" spans="1:5" x14ac:dyDescent="0.25">
      <c r="A561" s="1"/>
      <c r="B561" s="1"/>
      <c r="C561" s="1"/>
      <c r="D561" s="3"/>
      <c r="E561" s="1"/>
    </row>
    <row r="562" spans="1:5" x14ac:dyDescent="0.25">
      <c r="A562" s="1"/>
      <c r="B562" s="1"/>
      <c r="C562" s="1"/>
      <c r="D562" s="3"/>
      <c r="E562" s="1"/>
    </row>
    <row r="563" spans="1:5" x14ac:dyDescent="0.25">
      <c r="A563" s="1"/>
      <c r="B563" s="1"/>
      <c r="C563" s="1"/>
      <c r="D563" s="3"/>
      <c r="E563" s="1"/>
    </row>
    <row r="564" spans="1:5" x14ac:dyDescent="0.25">
      <c r="A564" s="1"/>
      <c r="B564" s="1"/>
      <c r="C564" s="1"/>
      <c r="D564" s="3"/>
      <c r="E564" s="1"/>
    </row>
    <row r="565" spans="1:5" x14ac:dyDescent="0.25">
      <c r="A565" s="1"/>
      <c r="B565" s="1"/>
      <c r="C565" s="1"/>
      <c r="D565" s="3"/>
      <c r="E565" s="1"/>
    </row>
    <row r="566" spans="1:5" x14ac:dyDescent="0.25">
      <c r="A566" s="1"/>
      <c r="B566" s="1"/>
      <c r="C566" s="1"/>
      <c r="D566" s="3"/>
      <c r="E566" s="1"/>
    </row>
    <row r="567" spans="1:5" x14ac:dyDescent="0.25">
      <c r="A567" s="1"/>
      <c r="B567" s="1"/>
      <c r="C567" s="1"/>
      <c r="D567" s="3"/>
      <c r="E567" s="1"/>
    </row>
    <row r="568" spans="1:5" x14ac:dyDescent="0.25">
      <c r="A568" s="1"/>
      <c r="B568" s="1"/>
      <c r="C568" s="1"/>
      <c r="D568" s="3"/>
      <c r="E568" s="1"/>
    </row>
    <row r="569" spans="1:5" x14ac:dyDescent="0.25">
      <c r="A569" s="1"/>
      <c r="B569" s="1"/>
      <c r="C569" s="1"/>
      <c r="D569" s="3"/>
      <c r="E569" s="1"/>
    </row>
    <row r="570" spans="1:5" x14ac:dyDescent="0.25">
      <c r="A570" s="1"/>
      <c r="B570" s="1"/>
      <c r="C570" s="1"/>
      <c r="D570" s="3"/>
      <c r="E570" s="1"/>
    </row>
    <row r="571" spans="1:5" x14ac:dyDescent="0.25">
      <c r="A571" s="1"/>
      <c r="B571" s="1"/>
      <c r="C571" s="1"/>
      <c r="D571" s="3"/>
      <c r="E571" s="1"/>
    </row>
    <row r="572" spans="1:5" x14ac:dyDescent="0.25">
      <c r="A572" s="1"/>
      <c r="B572" s="1"/>
      <c r="C572" s="1"/>
      <c r="D572" s="3"/>
      <c r="E572" s="1"/>
    </row>
    <row r="573" spans="1:5" x14ac:dyDescent="0.25">
      <c r="A573" s="1"/>
      <c r="B573" s="1"/>
      <c r="C573" s="1"/>
      <c r="D573" s="3"/>
      <c r="E573" s="1"/>
    </row>
    <row r="574" spans="1:5" x14ac:dyDescent="0.25">
      <c r="A574" s="1"/>
      <c r="B574" s="1"/>
      <c r="C574" s="1"/>
      <c r="D574" s="3"/>
      <c r="E574" s="1"/>
    </row>
    <row r="575" spans="1:5" x14ac:dyDescent="0.25">
      <c r="A575" s="1"/>
      <c r="B575" s="1"/>
      <c r="C575" s="1"/>
      <c r="D575" s="3"/>
      <c r="E575" s="1"/>
    </row>
    <row r="576" spans="1:5" x14ac:dyDescent="0.25">
      <c r="A576" s="1"/>
      <c r="B576" s="1"/>
      <c r="C576" s="1"/>
      <c r="D576" s="3"/>
      <c r="E576" s="1"/>
    </row>
    <row r="577" spans="1:5" x14ac:dyDescent="0.25">
      <c r="A577" s="1"/>
      <c r="B577" s="1"/>
      <c r="C577" s="1"/>
      <c r="D577" s="3"/>
      <c r="E577" s="1"/>
    </row>
    <row r="578" spans="1:5" x14ac:dyDescent="0.25">
      <c r="A578" s="1"/>
      <c r="B578" s="1"/>
      <c r="C578" s="1"/>
      <c r="D578" s="3"/>
      <c r="E578" s="1"/>
    </row>
    <row r="579" spans="1:5" x14ac:dyDescent="0.25">
      <c r="A579" s="1"/>
      <c r="B579" s="1"/>
      <c r="C579" s="1"/>
      <c r="D579" s="3"/>
      <c r="E579" s="1"/>
    </row>
    <row r="580" spans="1:5" x14ac:dyDescent="0.25">
      <c r="A580" s="1"/>
      <c r="B580" s="1"/>
      <c r="C580" s="1"/>
      <c r="D580" s="3"/>
      <c r="E580" s="1"/>
    </row>
    <row r="581" spans="1:5" x14ac:dyDescent="0.25">
      <c r="A581" s="1"/>
      <c r="B581" s="1"/>
      <c r="C581" s="1"/>
      <c r="D581" s="3"/>
      <c r="E581" s="1"/>
    </row>
    <row r="582" spans="1:5" x14ac:dyDescent="0.25">
      <c r="A582" s="1"/>
      <c r="B582" s="1"/>
      <c r="C582" s="1"/>
      <c r="D582" s="3"/>
      <c r="E582" s="1"/>
    </row>
    <row r="583" spans="1:5" x14ac:dyDescent="0.25">
      <c r="A583" s="1"/>
      <c r="B583" s="1"/>
      <c r="C583" s="1"/>
      <c r="D583" s="3"/>
      <c r="E583" s="1"/>
    </row>
    <row r="584" spans="1:5" x14ac:dyDescent="0.25">
      <c r="A584" s="1"/>
      <c r="B584" s="1"/>
      <c r="C584" s="1"/>
      <c r="D584" s="3"/>
      <c r="E584" s="1"/>
    </row>
    <row r="585" spans="1:5" x14ac:dyDescent="0.25">
      <c r="A585" s="1"/>
      <c r="B585" s="1"/>
      <c r="C585" s="1"/>
      <c r="D585" s="3"/>
      <c r="E585" s="1"/>
    </row>
    <row r="586" spans="1:5" x14ac:dyDescent="0.25">
      <c r="A586" s="1"/>
      <c r="B586" s="1"/>
      <c r="C586" s="1"/>
      <c r="D586" s="3"/>
      <c r="E586" s="1"/>
    </row>
    <row r="587" spans="1:5" x14ac:dyDescent="0.25">
      <c r="A587" s="1"/>
      <c r="B587" s="1"/>
      <c r="C587" s="1"/>
      <c r="D587" s="3"/>
      <c r="E587" s="1"/>
    </row>
    <row r="588" spans="1:5" x14ac:dyDescent="0.25">
      <c r="A588" s="1"/>
      <c r="B588" s="1"/>
      <c r="C588" s="1"/>
      <c r="D588" s="3"/>
      <c r="E588" s="1"/>
    </row>
    <row r="589" spans="1:5" x14ac:dyDescent="0.25">
      <c r="A589" s="1"/>
      <c r="B589" s="1"/>
      <c r="C589" s="1"/>
      <c r="D589" s="3"/>
      <c r="E589" s="1"/>
    </row>
    <row r="590" spans="1:5" x14ac:dyDescent="0.25">
      <c r="A590" s="1"/>
      <c r="B590" s="1"/>
      <c r="C590" s="1"/>
      <c r="D590" s="3"/>
      <c r="E590" s="1"/>
    </row>
    <row r="591" spans="1:5" x14ac:dyDescent="0.25">
      <c r="A591" s="1"/>
      <c r="B591" s="1"/>
      <c r="C591" s="1"/>
      <c r="D591" s="3"/>
      <c r="E591" s="1"/>
    </row>
    <row r="592" spans="1:5" x14ac:dyDescent="0.25">
      <c r="A592" s="1"/>
      <c r="B592" s="1"/>
      <c r="C592" s="1"/>
      <c r="D592" s="3"/>
      <c r="E592" s="1"/>
    </row>
    <row r="593" spans="1:5" x14ac:dyDescent="0.25">
      <c r="A593" s="1"/>
      <c r="B593" s="1"/>
      <c r="C593" s="1"/>
      <c r="D593" s="3"/>
      <c r="E593" s="1"/>
    </row>
    <row r="594" spans="1:5" x14ac:dyDescent="0.25">
      <c r="A594" s="1"/>
      <c r="B594" s="1"/>
      <c r="C594" s="1"/>
      <c r="D594" s="3"/>
      <c r="E594" s="1"/>
    </row>
    <row r="595" spans="1:5" x14ac:dyDescent="0.25">
      <c r="A595" s="1"/>
      <c r="B595" s="1"/>
      <c r="C595" s="1"/>
      <c r="D595" s="3"/>
      <c r="E595" s="1"/>
    </row>
    <row r="596" spans="1:5" x14ac:dyDescent="0.25">
      <c r="A596" s="1"/>
      <c r="B596" s="1"/>
      <c r="C596" s="1"/>
      <c r="D596" s="3"/>
      <c r="E596" s="1"/>
    </row>
    <row r="597" spans="1:5" x14ac:dyDescent="0.25">
      <c r="A597" s="1"/>
      <c r="B597" s="1"/>
      <c r="C597" s="1"/>
      <c r="D597" s="3"/>
      <c r="E597" s="1"/>
    </row>
    <row r="598" spans="1:5" x14ac:dyDescent="0.25">
      <c r="A598" s="1"/>
      <c r="B598" s="1"/>
      <c r="C598" s="1"/>
      <c r="D598" s="3"/>
      <c r="E598" s="1"/>
    </row>
    <row r="599" spans="1:5" x14ac:dyDescent="0.25">
      <c r="A599" s="1"/>
      <c r="B599" s="1"/>
      <c r="C599" s="1"/>
      <c r="D599" s="3"/>
      <c r="E599" s="1"/>
    </row>
    <row r="600" spans="1:5" x14ac:dyDescent="0.25">
      <c r="A600" s="1"/>
      <c r="B600" s="1"/>
      <c r="C600" s="1"/>
      <c r="D600" s="3"/>
      <c r="E600" s="1"/>
    </row>
    <row r="601" spans="1:5" x14ac:dyDescent="0.25">
      <c r="A601" s="1"/>
      <c r="B601" s="1"/>
      <c r="C601" s="1"/>
      <c r="D601" s="3"/>
      <c r="E601" s="1"/>
    </row>
    <row r="602" spans="1:5" x14ac:dyDescent="0.25">
      <c r="A602" s="1"/>
      <c r="B602" s="1"/>
      <c r="C602" s="1"/>
      <c r="D602" s="3"/>
      <c r="E602" s="1"/>
    </row>
    <row r="603" spans="1:5" x14ac:dyDescent="0.25">
      <c r="A603" s="1"/>
      <c r="B603" s="1"/>
      <c r="C603" s="1"/>
      <c r="D603" s="3"/>
      <c r="E603" s="1"/>
    </row>
    <row r="604" spans="1:5" x14ac:dyDescent="0.25">
      <c r="A604" s="1"/>
      <c r="B604" s="1"/>
      <c r="C604" s="1"/>
      <c r="D604" s="3"/>
      <c r="E604" s="1"/>
    </row>
    <row r="605" spans="1:5" x14ac:dyDescent="0.25">
      <c r="A605" s="1"/>
      <c r="B605" s="1"/>
      <c r="C605" s="1"/>
      <c r="D605" s="3"/>
      <c r="E605" s="1"/>
    </row>
    <row r="606" spans="1:5" x14ac:dyDescent="0.25">
      <c r="A606" s="1"/>
      <c r="B606" s="1"/>
      <c r="C606" s="1"/>
      <c r="D606" s="3"/>
      <c r="E606" s="1"/>
    </row>
    <row r="607" spans="1:5" x14ac:dyDescent="0.25">
      <c r="A607" s="1"/>
      <c r="B607" s="1"/>
      <c r="C607" s="1"/>
      <c r="D607" s="3"/>
      <c r="E607" s="1"/>
    </row>
    <row r="608" spans="1:5" x14ac:dyDescent="0.25">
      <c r="A608" s="1"/>
      <c r="B608" s="1"/>
      <c r="C608" s="1"/>
      <c r="D608" s="3"/>
      <c r="E608" s="1"/>
    </row>
    <row r="609" spans="1:5" x14ac:dyDescent="0.25">
      <c r="A609" s="1"/>
      <c r="B609" s="1"/>
      <c r="C609" s="1"/>
      <c r="D609" s="3"/>
      <c r="E609" s="1"/>
    </row>
    <row r="610" spans="1:5" x14ac:dyDescent="0.25">
      <c r="A610" s="1"/>
      <c r="B610" s="1"/>
      <c r="C610" s="1"/>
      <c r="D610" s="3"/>
      <c r="E610" s="1"/>
    </row>
    <row r="611" spans="1:5" x14ac:dyDescent="0.25">
      <c r="A611" s="1"/>
      <c r="B611" s="1"/>
      <c r="C611" s="1"/>
      <c r="D611" s="3"/>
      <c r="E611" s="1"/>
    </row>
    <row r="612" spans="1:5" x14ac:dyDescent="0.25">
      <c r="A612" s="1"/>
      <c r="B612" s="1"/>
      <c r="C612" s="1"/>
      <c r="D612" s="3"/>
      <c r="E612" s="1"/>
    </row>
    <row r="613" spans="1:5" x14ac:dyDescent="0.25">
      <c r="A613" s="1"/>
      <c r="B613" s="1"/>
      <c r="C613" s="1"/>
      <c r="D613" s="3"/>
      <c r="E613" s="1"/>
    </row>
    <row r="614" spans="1:5" x14ac:dyDescent="0.25">
      <c r="A614" s="1"/>
      <c r="B614" s="1"/>
      <c r="C614" s="1"/>
      <c r="D614" s="3"/>
      <c r="E614" s="1"/>
    </row>
    <row r="615" spans="1:5" x14ac:dyDescent="0.25">
      <c r="A615" s="1"/>
      <c r="B615" s="1"/>
      <c r="C615" s="1"/>
      <c r="D615" s="3"/>
      <c r="E615" s="1"/>
    </row>
    <row r="616" spans="1:5" x14ac:dyDescent="0.25">
      <c r="A616" s="1"/>
      <c r="B616" s="1"/>
      <c r="C616" s="1"/>
      <c r="D616" s="3"/>
      <c r="E616" s="1"/>
    </row>
    <row r="617" spans="1:5" x14ac:dyDescent="0.25">
      <c r="A617" s="1"/>
      <c r="B617" s="1"/>
      <c r="C617" s="1"/>
      <c r="D617" s="3"/>
      <c r="E617" s="1"/>
    </row>
    <row r="618" spans="1:5" x14ac:dyDescent="0.25">
      <c r="A618" s="1"/>
      <c r="B618" s="1"/>
      <c r="C618" s="1"/>
      <c r="D618" s="3"/>
      <c r="E618" s="1"/>
    </row>
    <row r="619" spans="1:5" x14ac:dyDescent="0.25">
      <c r="A619" s="1"/>
      <c r="B619" s="1"/>
      <c r="C619" s="1"/>
      <c r="D619" s="3"/>
      <c r="E619" s="1"/>
    </row>
    <row r="620" spans="1:5" x14ac:dyDescent="0.25">
      <c r="A620" s="1"/>
      <c r="B620" s="1"/>
      <c r="C620" s="1"/>
      <c r="D620" s="3"/>
      <c r="E620" s="1"/>
    </row>
    <row r="621" spans="1:5" x14ac:dyDescent="0.25">
      <c r="A621" s="1"/>
      <c r="B621" s="1"/>
      <c r="C621" s="1"/>
      <c r="D621" s="3"/>
      <c r="E621" s="1"/>
    </row>
    <row r="622" spans="1:5" x14ac:dyDescent="0.25">
      <c r="A622" s="1"/>
      <c r="B622" s="1"/>
      <c r="C622" s="1"/>
      <c r="D622" s="3"/>
      <c r="E622" s="1"/>
    </row>
    <row r="623" spans="1:5" x14ac:dyDescent="0.25">
      <c r="A623" s="1"/>
      <c r="B623" s="1"/>
      <c r="C623" s="1"/>
      <c r="D623" s="3"/>
      <c r="E623" s="1"/>
    </row>
    <row r="624" spans="1:5" x14ac:dyDescent="0.25">
      <c r="A624" s="1"/>
      <c r="B624" s="1"/>
      <c r="C624" s="1"/>
      <c r="D624" s="3"/>
      <c r="E624" s="1"/>
    </row>
    <row r="625" spans="1:5" x14ac:dyDescent="0.25">
      <c r="A625" s="1"/>
      <c r="B625" s="1"/>
      <c r="C625" s="1"/>
      <c r="D625" s="3"/>
      <c r="E625" s="1"/>
    </row>
    <row r="626" spans="1:5" x14ac:dyDescent="0.25">
      <c r="A626" s="1"/>
      <c r="B626" s="1"/>
      <c r="C626" s="1"/>
      <c r="D626" s="3"/>
      <c r="E626" s="1"/>
    </row>
    <row r="627" spans="1:5" x14ac:dyDescent="0.25">
      <c r="A627" s="1"/>
      <c r="B627" s="1"/>
      <c r="C627" s="1"/>
      <c r="D627" s="3"/>
      <c r="E627" s="1"/>
    </row>
    <row r="628" spans="1:5" x14ac:dyDescent="0.25">
      <c r="A628" s="1"/>
      <c r="B628" s="1"/>
      <c r="C628" s="1"/>
      <c r="D628" s="3"/>
      <c r="E628" s="1"/>
    </row>
    <row r="629" spans="1:5" x14ac:dyDescent="0.25">
      <c r="A629" s="1"/>
      <c r="B629" s="1"/>
      <c r="C629" s="1"/>
      <c r="D629" s="3"/>
      <c r="E629" s="1"/>
    </row>
    <row r="630" spans="1:5" x14ac:dyDescent="0.25">
      <c r="A630" s="1"/>
      <c r="B630" s="1"/>
      <c r="C630" s="1"/>
      <c r="D630" s="3"/>
      <c r="E630" s="1"/>
    </row>
    <row r="631" spans="1:5" x14ac:dyDescent="0.25">
      <c r="A631" s="1"/>
      <c r="B631" s="1"/>
      <c r="C631" s="1"/>
      <c r="D631" s="3"/>
      <c r="E631" s="1"/>
    </row>
    <row r="632" spans="1:5" x14ac:dyDescent="0.25">
      <c r="A632" s="1"/>
      <c r="B632" s="1"/>
      <c r="C632" s="1"/>
      <c r="D632" s="3"/>
      <c r="E632" s="1"/>
    </row>
    <row r="633" spans="1:5" x14ac:dyDescent="0.25">
      <c r="A633" s="1"/>
      <c r="B633" s="1"/>
      <c r="C633" s="1"/>
      <c r="D633" s="3"/>
      <c r="E633" s="1"/>
    </row>
    <row r="634" spans="1:5" x14ac:dyDescent="0.25">
      <c r="A634" s="1"/>
      <c r="B634" s="1"/>
      <c r="C634" s="1"/>
      <c r="D634" s="3"/>
      <c r="E634" s="1"/>
    </row>
    <row r="635" spans="1:5" x14ac:dyDescent="0.25">
      <c r="A635" s="1"/>
      <c r="B635" s="1"/>
      <c r="C635" s="1"/>
      <c r="D635" s="3"/>
      <c r="E635" s="1"/>
    </row>
    <row r="636" spans="1:5" x14ac:dyDescent="0.25">
      <c r="A636" s="1"/>
      <c r="B636" s="1"/>
      <c r="C636" s="1"/>
      <c r="D636" s="3"/>
      <c r="E636" s="1"/>
    </row>
    <row r="637" spans="1:5" x14ac:dyDescent="0.25">
      <c r="A637" s="1"/>
      <c r="B637" s="1"/>
      <c r="C637" s="1"/>
      <c r="D637" s="3"/>
      <c r="E637" s="1"/>
    </row>
    <row r="638" spans="1:5" x14ac:dyDescent="0.25">
      <c r="A638" s="1"/>
      <c r="B638" s="1"/>
      <c r="C638" s="1"/>
      <c r="D638" s="3"/>
      <c r="E638" s="1"/>
    </row>
    <row r="639" spans="1:5" x14ac:dyDescent="0.25">
      <c r="A639" s="1"/>
      <c r="B639" s="1"/>
      <c r="C639" s="1"/>
      <c r="D639" s="3"/>
      <c r="E639" s="1"/>
    </row>
    <row r="640" spans="1:5" x14ac:dyDescent="0.25">
      <c r="A640" s="1"/>
      <c r="B640" s="1"/>
      <c r="C640" s="1"/>
      <c r="D640" s="3"/>
      <c r="E640" s="1"/>
    </row>
    <row r="641" spans="1:5" x14ac:dyDescent="0.25">
      <c r="A641" s="1"/>
      <c r="B641" s="1"/>
      <c r="C641" s="1"/>
      <c r="D641" s="3"/>
      <c r="E641" s="1"/>
    </row>
    <row r="642" spans="1:5" x14ac:dyDescent="0.25">
      <c r="A642" s="1"/>
      <c r="B642" s="1"/>
      <c r="C642" s="1"/>
      <c r="D642" s="3"/>
      <c r="E642" s="1"/>
    </row>
    <row r="643" spans="1:5" x14ac:dyDescent="0.25">
      <c r="A643" s="1"/>
      <c r="B643" s="1"/>
      <c r="C643" s="1"/>
      <c r="D643" s="3"/>
      <c r="E643" s="1"/>
    </row>
    <row r="644" spans="1:5" x14ac:dyDescent="0.25">
      <c r="A644" s="1"/>
      <c r="B644" s="1"/>
      <c r="C644" s="1"/>
      <c r="D644" s="3"/>
      <c r="E644" s="1"/>
    </row>
    <row r="645" spans="1:5" x14ac:dyDescent="0.25">
      <c r="A645" s="1"/>
      <c r="B645" s="1"/>
      <c r="C645" s="1"/>
      <c r="D645" s="3"/>
      <c r="E645" s="1"/>
    </row>
    <row r="646" spans="1:5" x14ac:dyDescent="0.25">
      <c r="A646" s="1"/>
      <c r="B646" s="1"/>
      <c r="C646" s="1"/>
      <c r="D646" s="3"/>
      <c r="E646" s="1"/>
    </row>
    <row r="647" spans="1:5" x14ac:dyDescent="0.25">
      <c r="A647" s="1"/>
      <c r="B647" s="1"/>
      <c r="C647" s="1"/>
      <c r="D647" s="3"/>
      <c r="E647" s="1"/>
    </row>
    <row r="648" spans="1:5" x14ac:dyDescent="0.25">
      <c r="A648" s="1"/>
      <c r="B648" s="1"/>
      <c r="C648" s="1"/>
      <c r="D648" s="3"/>
      <c r="E648" s="1"/>
    </row>
    <row r="649" spans="1:5" x14ac:dyDescent="0.25">
      <c r="A649" s="1"/>
      <c r="B649" s="1"/>
      <c r="C649" s="1"/>
      <c r="D649" s="3"/>
      <c r="E649" s="1"/>
    </row>
    <row r="650" spans="1:5" x14ac:dyDescent="0.25">
      <c r="A650" s="1"/>
      <c r="B650" s="1"/>
      <c r="C650" s="1"/>
      <c r="D650" s="3"/>
      <c r="E650" s="1"/>
    </row>
    <row r="651" spans="1:5" x14ac:dyDescent="0.25">
      <c r="A651" s="1"/>
      <c r="B651" s="1"/>
      <c r="C651" s="1"/>
      <c r="D651" s="3"/>
      <c r="E651" s="1"/>
    </row>
    <row r="652" spans="1:5" x14ac:dyDescent="0.25">
      <c r="A652" s="1"/>
      <c r="B652" s="1"/>
      <c r="C652" s="1"/>
      <c r="D652" s="3"/>
      <c r="E652" s="1"/>
    </row>
    <row r="653" spans="1:5" x14ac:dyDescent="0.25">
      <c r="A653" s="1"/>
      <c r="B653" s="1"/>
      <c r="C653" s="1"/>
      <c r="D653" s="3"/>
      <c r="E653" s="1"/>
    </row>
    <row r="654" spans="1:5" x14ac:dyDescent="0.25">
      <c r="A654" s="1"/>
      <c r="B654" s="1"/>
      <c r="C654" s="1"/>
      <c r="D654" s="3"/>
      <c r="E654" s="1"/>
    </row>
    <row r="655" spans="1:5" x14ac:dyDescent="0.25">
      <c r="A655" s="1"/>
      <c r="B655" s="1"/>
      <c r="C655" s="1"/>
      <c r="D655" s="3"/>
      <c r="E65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0D68-C302-45F0-9BEE-5E47BA2B5B89}">
  <dimension ref="A1:E199"/>
  <sheetViews>
    <sheetView workbookViewId="0">
      <selection activeCell="F30" sqref="F30"/>
    </sheetView>
  </sheetViews>
  <sheetFormatPr defaultColWidth="9.140625" defaultRowHeight="15" x14ac:dyDescent="0.25"/>
  <cols>
    <col min="1" max="1" width="20.28515625" customWidth="1"/>
    <col min="2" max="2" width="29.28515625" customWidth="1"/>
    <col min="3" max="3" width="22.5703125" customWidth="1"/>
    <col min="4" max="4" width="23.28515625" customWidth="1"/>
    <col min="5" max="5" width="118.28515625" customWidth="1"/>
  </cols>
  <sheetData>
    <row r="1" spans="1:5" ht="18.75" x14ac:dyDescent="0.3">
      <c r="A1" s="5" t="s">
        <v>1394</v>
      </c>
      <c r="D1" s="4"/>
    </row>
    <row r="2" spans="1:5" x14ac:dyDescent="0.25">
      <c r="A2" s="6" t="s">
        <v>0</v>
      </c>
      <c r="B2" s="6" t="s">
        <v>1</v>
      </c>
      <c r="C2" s="6" t="s">
        <v>2</v>
      </c>
      <c r="D2" s="16" t="s">
        <v>115</v>
      </c>
      <c r="E2" s="6" t="s">
        <v>3</v>
      </c>
    </row>
    <row r="3" spans="1:5" x14ac:dyDescent="0.25">
      <c r="A3" s="1" t="s">
        <v>1395</v>
      </c>
      <c r="B3" s="1" t="s">
        <v>1207</v>
      </c>
      <c r="C3" s="1" t="s">
        <v>1396</v>
      </c>
      <c r="D3" s="3">
        <v>981020037309179</v>
      </c>
      <c r="E3" s="1" t="s">
        <v>1397</v>
      </c>
    </row>
    <row r="4" spans="1:5" x14ac:dyDescent="0.25">
      <c r="A4" s="1" t="s">
        <v>1395</v>
      </c>
      <c r="B4" s="1" t="s">
        <v>423</v>
      </c>
      <c r="C4" s="1" t="s">
        <v>1399</v>
      </c>
      <c r="D4" s="3">
        <v>981020031389160</v>
      </c>
      <c r="E4" s="1" t="s">
        <v>1398</v>
      </c>
    </row>
    <row r="5" spans="1:5" x14ac:dyDescent="0.25">
      <c r="A5" s="1" t="s">
        <v>1395</v>
      </c>
      <c r="B5" s="1" t="s">
        <v>34</v>
      </c>
      <c r="C5" s="1" t="s">
        <v>1400</v>
      </c>
      <c r="D5" s="3">
        <v>981020049702663</v>
      </c>
      <c r="E5" s="1" t="s">
        <v>1401</v>
      </c>
    </row>
    <row r="6" spans="1:5" x14ac:dyDescent="0.25">
      <c r="A6" s="1" t="s">
        <v>1402</v>
      </c>
      <c r="B6" s="1" t="s">
        <v>1403</v>
      </c>
      <c r="C6" s="1" t="s">
        <v>1404</v>
      </c>
      <c r="D6" s="3">
        <v>981020045084422</v>
      </c>
      <c r="E6" s="1" t="s">
        <v>1405</v>
      </c>
    </row>
    <row r="7" spans="1:5" x14ac:dyDescent="0.25">
      <c r="A7" s="1" t="s">
        <v>1406</v>
      </c>
      <c r="B7" s="1" t="s">
        <v>1407</v>
      </c>
      <c r="C7" s="1" t="s">
        <v>1408</v>
      </c>
      <c r="D7" s="3">
        <v>981020037381563</v>
      </c>
      <c r="E7" s="1" t="s">
        <v>1409</v>
      </c>
    </row>
    <row r="8" spans="1:5" x14ac:dyDescent="0.25">
      <c r="A8" s="1"/>
      <c r="B8" s="1"/>
      <c r="C8" s="1"/>
      <c r="D8" s="3"/>
      <c r="E8" s="1"/>
    </row>
    <row r="9" spans="1:5" x14ac:dyDescent="0.25">
      <c r="A9" s="1"/>
      <c r="B9" s="1"/>
      <c r="C9" s="1"/>
      <c r="D9" s="3"/>
      <c r="E9" s="1"/>
    </row>
    <row r="10" spans="1:5" x14ac:dyDescent="0.25">
      <c r="A10" s="1"/>
      <c r="B10" s="1"/>
      <c r="C10" s="1"/>
      <c r="D10" s="3"/>
      <c r="E10" s="1"/>
    </row>
    <row r="11" spans="1:5" x14ac:dyDescent="0.25">
      <c r="A11" s="1"/>
      <c r="B11" s="1"/>
      <c r="C11" s="1"/>
      <c r="D11" s="3"/>
      <c r="E11" s="1"/>
    </row>
    <row r="12" spans="1:5" x14ac:dyDescent="0.25">
      <c r="A12" s="1"/>
      <c r="B12" s="1"/>
      <c r="C12" s="1"/>
      <c r="D12" s="3"/>
      <c r="E12" s="1"/>
    </row>
    <row r="13" spans="1:5" x14ac:dyDescent="0.25">
      <c r="A13" s="1"/>
      <c r="B13" s="1"/>
      <c r="C13" s="1"/>
      <c r="D13" s="3"/>
      <c r="E13" s="1"/>
    </row>
    <row r="14" spans="1:5" x14ac:dyDescent="0.25">
      <c r="A14" s="1"/>
      <c r="B14" s="1"/>
      <c r="C14" s="1"/>
      <c r="D14" s="3"/>
      <c r="E14" s="1"/>
    </row>
    <row r="15" spans="1:5" x14ac:dyDescent="0.25">
      <c r="A15" s="1"/>
      <c r="B15" s="1"/>
      <c r="C15" s="1"/>
      <c r="D15" s="3"/>
      <c r="E15" s="1"/>
    </row>
    <row r="16" spans="1:5" x14ac:dyDescent="0.25">
      <c r="A16" s="1"/>
      <c r="B16" s="1"/>
      <c r="C16" s="1"/>
      <c r="D16" s="3"/>
      <c r="E16" s="1"/>
    </row>
    <row r="17" spans="1:5" x14ac:dyDescent="0.25">
      <c r="A17" s="1"/>
      <c r="B17" s="1"/>
      <c r="C17" s="1"/>
      <c r="D17" s="3"/>
      <c r="E17" s="1"/>
    </row>
    <row r="18" spans="1:5" x14ac:dyDescent="0.25">
      <c r="A18" s="1"/>
      <c r="B18" s="1"/>
      <c r="C18" s="1"/>
      <c r="D18" s="3"/>
      <c r="E18" s="1"/>
    </row>
    <row r="19" spans="1:5" x14ac:dyDescent="0.25">
      <c r="A19" s="1"/>
      <c r="B19" s="1"/>
      <c r="C19" s="1"/>
      <c r="D19" s="3"/>
      <c r="E19" s="1"/>
    </row>
    <row r="20" spans="1:5" x14ac:dyDescent="0.25">
      <c r="A20" s="1"/>
      <c r="B20" s="1"/>
      <c r="C20" s="1"/>
      <c r="D20" s="3"/>
      <c r="E20" s="1"/>
    </row>
    <row r="21" spans="1:5" x14ac:dyDescent="0.25">
      <c r="A21" s="1"/>
      <c r="B21" s="1"/>
      <c r="C21" s="1"/>
      <c r="D21" s="3"/>
      <c r="E21" s="1"/>
    </row>
    <row r="22" spans="1:5" x14ac:dyDescent="0.25">
      <c r="A22" s="1"/>
      <c r="B22" s="1"/>
      <c r="C22" s="1"/>
      <c r="D22" s="3"/>
      <c r="E22" s="1"/>
    </row>
    <row r="23" spans="1:5" x14ac:dyDescent="0.25">
      <c r="A23" s="1"/>
      <c r="B23" s="1"/>
      <c r="C23" s="1"/>
      <c r="D23" s="3"/>
      <c r="E23" s="1"/>
    </row>
    <row r="24" spans="1:5" x14ac:dyDescent="0.25">
      <c r="A24" s="1"/>
      <c r="B24" s="1"/>
      <c r="C24" s="1"/>
      <c r="D24" s="3"/>
      <c r="E24" s="1"/>
    </row>
    <row r="25" spans="1:5" x14ac:dyDescent="0.25">
      <c r="A25" s="1"/>
      <c r="B25" s="1"/>
      <c r="C25" s="1"/>
      <c r="D25" s="3"/>
      <c r="E25" s="1"/>
    </row>
    <row r="26" spans="1:5" x14ac:dyDescent="0.25">
      <c r="A26" s="1"/>
      <c r="B26" s="1"/>
      <c r="C26" s="1"/>
      <c r="D26" s="3"/>
      <c r="E26" s="1"/>
    </row>
    <row r="27" spans="1:5" x14ac:dyDescent="0.25">
      <c r="A27" s="1"/>
      <c r="B27" s="1"/>
      <c r="C27" s="1"/>
      <c r="D27" s="3"/>
      <c r="E27" s="1"/>
    </row>
    <row r="28" spans="1:5" x14ac:dyDescent="0.25">
      <c r="A28" s="1"/>
      <c r="B28" s="1"/>
      <c r="C28" s="1"/>
      <c r="D28" s="3"/>
      <c r="E28" s="1"/>
    </row>
    <row r="29" spans="1:5" x14ac:dyDescent="0.25">
      <c r="A29" s="1"/>
      <c r="B29" s="1"/>
      <c r="C29" s="1"/>
      <c r="D29" s="3"/>
      <c r="E29" s="1"/>
    </row>
    <row r="30" spans="1:5" x14ac:dyDescent="0.25">
      <c r="A30" s="1"/>
      <c r="B30" s="1"/>
      <c r="C30" s="1"/>
      <c r="D30" s="3"/>
      <c r="E30" s="1"/>
    </row>
    <row r="31" spans="1:5" x14ac:dyDescent="0.25">
      <c r="A31" s="1"/>
      <c r="B31" s="1"/>
      <c r="C31" s="1"/>
      <c r="D31" s="3"/>
      <c r="E31" s="1"/>
    </row>
    <row r="32" spans="1:5" x14ac:dyDescent="0.25">
      <c r="A32" s="1"/>
      <c r="B32" s="1"/>
      <c r="C32" s="1"/>
      <c r="D32" s="3"/>
      <c r="E32" s="1"/>
    </row>
    <row r="33" spans="1:5" x14ac:dyDescent="0.25">
      <c r="A33" s="1"/>
      <c r="B33" s="1"/>
      <c r="C33" s="1"/>
      <c r="D33" s="3"/>
      <c r="E33" s="1"/>
    </row>
    <row r="34" spans="1:5" x14ac:dyDescent="0.25">
      <c r="A34" s="1"/>
      <c r="B34" s="1"/>
      <c r="C34" s="1"/>
      <c r="D34" s="3"/>
      <c r="E34" s="1"/>
    </row>
    <row r="35" spans="1:5" x14ac:dyDescent="0.25">
      <c r="A35" s="1"/>
      <c r="B35" s="1"/>
      <c r="C35" s="1"/>
      <c r="D35" s="3"/>
      <c r="E35" s="1"/>
    </row>
    <row r="36" spans="1:5" x14ac:dyDescent="0.25">
      <c r="A36" s="1"/>
      <c r="B36" s="1"/>
      <c r="C36" s="1"/>
      <c r="D36" s="3"/>
      <c r="E36" s="1"/>
    </row>
    <row r="37" spans="1:5" x14ac:dyDescent="0.25">
      <c r="A37" s="1"/>
      <c r="B37" s="1"/>
      <c r="C37" s="1"/>
      <c r="D37" s="3"/>
      <c r="E37" s="1"/>
    </row>
    <row r="38" spans="1:5" x14ac:dyDescent="0.25">
      <c r="A38" s="1"/>
      <c r="B38" s="1"/>
      <c r="C38" s="1"/>
      <c r="D38" s="3"/>
      <c r="E38" s="1"/>
    </row>
    <row r="39" spans="1:5" x14ac:dyDescent="0.25">
      <c r="A39" s="1"/>
      <c r="B39" s="1"/>
      <c r="C39" s="1"/>
      <c r="D39" s="3"/>
      <c r="E39" s="1"/>
    </row>
    <row r="40" spans="1:5" x14ac:dyDescent="0.25">
      <c r="A40" s="1"/>
      <c r="B40" s="1"/>
      <c r="C40" s="1"/>
      <c r="D40" s="3"/>
      <c r="E40" s="1"/>
    </row>
    <row r="41" spans="1:5" x14ac:dyDescent="0.25">
      <c r="A41" s="1"/>
      <c r="B41" s="1"/>
      <c r="C41" s="1"/>
      <c r="D41" s="3"/>
      <c r="E41" s="1"/>
    </row>
    <row r="42" spans="1:5" x14ac:dyDescent="0.25">
      <c r="A42" s="1"/>
      <c r="B42" s="1"/>
      <c r="C42" s="1"/>
      <c r="D42" s="3"/>
      <c r="E42" s="1"/>
    </row>
    <row r="43" spans="1:5" x14ac:dyDescent="0.25">
      <c r="A43" s="1"/>
      <c r="B43" s="1"/>
      <c r="C43" s="1"/>
      <c r="D43" s="3"/>
      <c r="E43" s="1"/>
    </row>
    <row r="44" spans="1:5" x14ac:dyDescent="0.25">
      <c r="A44" s="1"/>
      <c r="B44" s="1"/>
      <c r="C44" s="1"/>
      <c r="D44" s="3"/>
      <c r="E44" s="1"/>
    </row>
    <row r="45" spans="1:5" x14ac:dyDescent="0.25">
      <c r="A45" s="1"/>
      <c r="B45" s="1"/>
      <c r="C45" s="1"/>
      <c r="D45" s="3"/>
      <c r="E45" s="1"/>
    </row>
    <row r="46" spans="1:5" x14ac:dyDescent="0.25">
      <c r="A46" s="1"/>
      <c r="B46" s="1"/>
      <c r="C46" s="1"/>
      <c r="D46" s="3"/>
      <c r="E46" s="1"/>
    </row>
    <row r="47" spans="1:5" x14ac:dyDescent="0.25">
      <c r="A47" s="1"/>
      <c r="B47" s="1"/>
      <c r="C47" s="1"/>
      <c r="D47" s="3"/>
      <c r="E47" s="1"/>
    </row>
    <row r="48" spans="1:5" x14ac:dyDescent="0.25">
      <c r="A48" s="1"/>
      <c r="B48" s="1"/>
      <c r="C48" s="1"/>
      <c r="D48" s="3"/>
      <c r="E48" s="1"/>
    </row>
    <row r="49" spans="1:5" x14ac:dyDescent="0.25">
      <c r="A49" s="1"/>
      <c r="B49" s="1"/>
      <c r="C49" s="1"/>
      <c r="D49" s="3"/>
      <c r="E49" s="1"/>
    </row>
    <row r="50" spans="1:5" x14ac:dyDescent="0.25">
      <c r="A50" s="1"/>
      <c r="B50" s="1"/>
      <c r="C50" s="1"/>
      <c r="D50" s="3"/>
      <c r="E50" s="1"/>
    </row>
    <row r="51" spans="1:5" x14ac:dyDescent="0.25">
      <c r="A51" s="1"/>
      <c r="B51" s="1"/>
      <c r="C51" s="1"/>
      <c r="D51" s="3"/>
      <c r="E51" s="1"/>
    </row>
    <row r="52" spans="1:5" x14ac:dyDescent="0.25">
      <c r="A52" s="1"/>
      <c r="B52" s="1"/>
      <c r="C52" s="1"/>
      <c r="D52" s="3"/>
      <c r="E52" s="1"/>
    </row>
    <row r="53" spans="1:5" x14ac:dyDescent="0.25">
      <c r="A53" s="1"/>
      <c r="B53" s="1"/>
      <c r="C53" s="1"/>
      <c r="D53" s="3"/>
      <c r="E53" s="1"/>
    </row>
    <row r="54" spans="1:5" x14ac:dyDescent="0.25">
      <c r="A54" s="1"/>
      <c r="B54" s="1"/>
      <c r="C54" s="1"/>
      <c r="D54" s="3"/>
      <c r="E54" s="1"/>
    </row>
    <row r="55" spans="1:5" x14ac:dyDescent="0.25">
      <c r="A55" s="1"/>
      <c r="B55" s="1"/>
      <c r="C55" s="1"/>
      <c r="D55" s="3"/>
      <c r="E55" s="1"/>
    </row>
    <row r="56" spans="1:5" x14ac:dyDescent="0.25">
      <c r="A56" s="1"/>
      <c r="B56" s="1"/>
      <c r="C56" s="1"/>
      <c r="D56" s="3"/>
      <c r="E56" s="1"/>
    </row>
    <row r="57" spans="1:5" x14ac:dyDescent="0.25">
      <c r="A57" s="1"/>
      <c r="B57" s="1"/>
      <c r="C57" s="1"/>
      <c r="D57" s="3"/>
      <c r="E57" s="1"/>
    </row>
    <row r="58" spans="1:5" x14ac:dyDescent="0.25">
      <c r="A58" s="1"/>
      <c r="B58" s="1"/>
      <c r="C58" s="1"/>
      <c r="D58" s="3"/>
      <c r="E58" s="1"/>
    </row>
    <row r="59" spans="1:5" x14ac:dyDescent="0.25">
      <c r="A59" s="1"/>
      <c r="B59" s="1"/>
      <c r="C59" s="1"/>
      <c r="D59" s="3"/>
      <c r="E59" s="1"/>
    </row>
    <row r="60" spans="1:5" x14ac:dyDescent="0.25">
      <c r="A60" s="1"/>
      <c r="B60" s="1"/>
      <c r="C60" s="1"/>
      <c r="D60" s="3"/>
      <c r="E60" s="1"/>
    </row>
    <row r="61" spans="1:5" x14ac:dyDescent="0.25">
      <c r="A61" s="1"/>
      <c r="B61" s="1"/>
      <c r="C61" s="1"/>
      <c r="D61" s="3"/>
      <c r="E61" s="1"/>
    </row>
    <row r="62" spans="1:5" x14ac:dyDescent="0.25">
      <c r="A62" s="1"/>
      <c r="B62" s="1"/>
      <c r="C62" s="1"/>
      <c r="D62" s="3"/>
      <c r="E62" s="1"/>
    </row>
    <row r="63" spans="1:5" x14ac:dyDescent="0.25">
      <c r="A63" s="1"/>
      <c r="B63" s="1"/>
      <c r="C63" s="1"/>
      <c r="D63" s="3"/>
      <c r="E63" s="1"/>
    </row>
    <row r="64" spans="1:5" x14ac:dyDescent="0.25">
      <c r="A64" s="1"/>
      <c r="B64" s="1"/>
      <c r="C64" s="1"/>
      <c r="D64" s="3"/>
      <c r="E64" s="1"/>
    </row>
    <row r="65" spans="1:5" x14ac:dyDescent="0.25">
      <c r="A65" s="1"/>
      <c r="B65" s="1"/>
      <c r="C65" s="1"/>
      <c r="D65" s="3"/>
      <c r="E65" s="1"/>
    </row>
    <row r="66" spans="1:5" x14ac:dyDescent="0.25">
      <c r="A66" s="1"/>
      <c r="B66" s="1"/>
      <c r="C66" s="1"/>
      <c r="D66" s="3"/>
      <c r="E66" s="1"/>
    </row>
    <row r="67" spans="1:5" x14ac:dyDescent="0.25">
      <c r="A67" s="1"/>
      <c r="B67" s="1"/>
      <c r="C67" s="1"/>
      <c r="D67" s="3"/>
      <c r="E67" s="1"/>
    </row>
    <row r="68" spans="1:5" x14ac:dyDescent="0.25">
      <c r="A68" s="1"/>
      <c r="B68" s="1"/>
      <c r="C68" s="1"/>
      <c r="D68" s="3"/>
      <c r="E68" s="1"/>
    </row>
    <row r="69" spans="1:5" x14ac:dyDescent="0.25">
      <c r="A69" s="1"/>
      <c r="B69" s="1"/>
      <c r="C69" s="1"/>
      <c r="D69" s="3"/>
      <c r="E69" s="1"/>
    </row>
    <row r="70" spans="1:5" x14ac:dyDescent="0.25">
      <c r="A70" s="1"/>
      <c r="B70" s="1"/>
      <c r="C70" s="1"/>
      <c r="D70" s="3"/>
      <c r="E70" s="1"/>
    </row>
    <row r="71" spans="1:5" x14ac:dyDescent="0.25">
      <c r="A71" s="1"/>
      <c r="B71" s="1"/>
      <c r="C71" s="1"/>
      <c r="D71" s="3"/>
      <c r="E71" s="1"/>
    </row>
    <row r="72" spans="1:5" x14ac:dyDescent="0.25">
      <c r="A72" s="1"/>
      <c r="B72" s="1"/>
      <c r="C72" s="1"/>
      <c r="D72" s="3"/>
      <c r="E72" s="1"/>
    </row>
    <row r="73" spans="1:5" x14ac:dyDescent="0.25">
      <c r="A73" s="1"/>
      <c r="B73" s="1"/>
      <c r="C73" s="1"/>
      <c r="D73" s="3"/>
      <c r="E73" s="1"/>
    </row>
    <row r="74" spans="1:5" x14ac:dyDescent="0.25">
      <c r="A74" s="1"/>
      <c r="B74" s="1"/>
      <c r="C74" s="1"/>
      <c r="D74" s="3"/>
      <c r="E74" s="1"/>
    </row>
    <row r="75" spans="1:5" x14ac:dyDescent="0.25">
      <c r="A75" s="1"/>
      <c r="B75" s="1"/>
      <c r="C75" s="1"/>
      <c r="D75" s="3"/>
      <c r="E75" s="1"/>
    </row>
    <row r="76" spans="1:5" x14ac:dyDescent="0.25">
      <c r="A76" s="1"/>
      <c r="B76" s="1"/>
      <c r="C76" s="1"/>
      <c r="D76" s="3"/>
      <c r="E76" s="1"/>
    </row>
    <row r="77" spans="1:5" x14ac:dyDescent="0.25">
      <c r="A77" s="1"/>
      <c r="B77" s="1"/>
      <c r="C77" s="1"/>
      <c r="D77" s="3"/>
      <c r="E77" s="1"/>
    </row>
    <row r="78" spans="1:5" x14ac:dyDescent="0.25">
      <c r="A78" s="1"/>
      <c r="B78" s="1"/>
      <c r="C78" s="1"/>
      <c r="D78" s="3"/>
      <c r="E78" s="1"/>
    </row>
    <row r="79" spans="1:5" x14ac:dyDescent="0.25">
      <c r="A79" s="1"/>
      <c r="B79" s="1"/>
      <c r="C79" s="1"/>
      <c r="D79" s="3"/>
      <c r="E79" s="1"/>
    </row>
    <row r="80" spans="1:5" x14ac:dyDescent="0.25">
      <c r="A80" s="1"/>
      <c r="B80" s="1"/>
      <c r="C80" s="1"/>
      <c r="D80" s="3"/>
      <c r="E80" s="1"/>
    </row>
    <row r="81" spans="1:5" x14ac:dyDescent="0.25">
      <c r="A81" s="1"/>
      <c r="B81" s="1"/>
      <c r="C81" s="1"/>
      <c r="D81" s="3"/>
      <c r="E81" s="1"/>
    </row>
    <row r="82" spans="1:5" x14ac:dyDescent="0.25">
      <c r="A82" s="1"/>
      <c r="B82" s="1"/>
      <c r="C82" s="1"/>
      <c r="D82" s="3"/>
      <c r="E82" s="1"/>
    </row>
    <row r="83" spans="1:5" x14ac:dyDescent="0.25">
      <c r="A83" s="1"/>
      <c r="B83" s="1"/>
      <c r="C83" s="1"/>
      <c r="D83" s="3"/>
      <c r="E83" s="1"/>
    </row>
    <row r="84" spans="1:5" x14ac:dyDescent="0.25">
      <c r="A84" s="1"/>
      <c r="B84" s="1"/>
      <c r="C84" s="1"/>
      <c r="D84" s="3"/>
      <c r="E84" s="1"/>
    </row>
    <row r="85" spans="1:5" x14ac:dyDescent="0.25">
      <c r="A85" s="1"/>
      <c r="B85" s="1"/>
      <c r="C85" s="1"/>
      <c r="D85" s="3"/>
      <c r="E85" s="1"/>
    </row>
    <row r="86" spans="1:5" x14ac:dyDescent="0.25">
      <c r="A86" s="1"/>
      <c r="B86" s="1"/>
      <c r="C86" s="1"/>
      <c r="D86" s="3"/>
      <c r="E86" s="1"/>
    </row>
    <row r="87" spans="1:5" x14ac:dyDescent="0.25">
      <c r="A87" s="1"/>
      <c r="B87" s="1"/>
      <c r="C87" s="1"/>
      <c r="D87" s="3"/>
      <c r="E87" s="1"/>
    </row>
    <row r="88" spans="1:5" x14ac:dyDescent="0.25">
      <c r="A88" s="1"/>
      <c r="B88" s="1"/>
      <c r="C88" s="1"/>
      <c r="D88" s="3"/>
      <c r="E88" s="1"/>
    </row>
    <row r="89" spans="1:5" x14ac:dyDescent="0.25">
      <c r="A89" s="1"/>
      <c r="B89" s="1"/>
      <c r="C89" s="1"/>
      <c r="D89" s="3"/>
      <c r="E89" s="1"/>
    </row>
    <row r="90" spans="1:5" x14ac:dyDescent="0.25">
      <c r="A90" s="1"/>
      <c r="B90" s="1"/>
      <c r="C90" s="1"/>
      <c r="D90" s="3"/>
      <c r="E90" s="1"/>
    </row>
    <row r="91" spans="1:5" x14ac:dyDescent="0.25">
      <c r="A91" s="1"/>
      <c r="B91" s="1"/>
      <c r="C91" s="1"/>
      <c r="D91" s="3"/>
      <c r="E91" s="1"/>
    </row>
    <row r="92" spans="1:5" x14ac:dyDescent="0.25">
      <c r="A92" s="1"/>
      <c r="B92" s="1"/>
      <c r="C92" s="1"/>
      <c r="D92" s="3"/>
      <c r="E92" s="1"/>
    </row>
    <row r="93" spans="1:5" x14ac:dyDescent="0.25">
      <c r="A93" s="1"/>
      <c r="B93" s="1"/>
      <c r="C93" s="1"/>
      <c r="D93" s="3"/>
      <c r="E93" s="1"/>
    </row>
    <row r="94" spans="1:5" x14ac:dyDescent="0.25">
      <c r="A94" s="1"/>
      <c r="B94" s="1"/>
      <c r="C94" s="1"/>
      <c r="D94" s="3"/>
      <c r="E94" s="1"/>
    </row>
    <row r="95" spans="1:5" x14ac:dyDescent="0.25">
      <c r="A95" s="1"/>
      <c r="B95" s="1"/>
      <c r="C95" s="1"/>
      <c r="D95" s="3"/>
      <c r="E95" s="1"/>
    </row>
    <row r="96" spans="1:5" x14ac:dyDescent="0.25">
      <c r="A96" s="1"/>
      <c r="B96" s="1"/>
      <c r="C96" s="1"/>
      <c r="D96" s="3"/>
      <c r="E96" s="1"/>
    </row>
    <row r="97" spans="1:5" x14ac:dyDescent="0.25">
      <c r="A97" s="1"/>
      <c r="B97" s="1"/>
      <c r="C97" s="1"/>
      <c r="D97" s="3"/>
      <c r="E97" s="1"/>
    </row>
    <row r="98" spans="1:5" x14ac:dyDescent="0.25">
      <c r="A98" s="1"/>
      <c r="B98" s="1"/>
      <c r="C98" s="1"/>
      <c r="D98" s="3"/>
      <c r="E98" s="1"/>
    </row>
    <row r="99" spans="1:5" x14ac:dyDescent="0.25">
      <c r="A99" s="1"/>
      <c r="B99" s="1"/>
      <c r="C99" s="1"/>
      <c r="D99" s="3"/>
      <c r="E99" s="1"/>
    </row>
    <row r="100" spans="1:5" x14ac:dyDescent="0.25">
      <c r="A100" s="1"/>
      <c r="B100" s="1"/>
      <c r="C100" s="1"/>
      <c r="D100" s="3"/>
      <c r="E100" s="1"/>
    </row>
    <row r="101" spans="1:5" x14ac:dyDescent="0.25">
      <c r="A101" s="1"/>
      <c r="B101" s="1"/>
      <c r="C101" s="1"/>
      <c r="D101" s="3"/>
      <c r="E101" s="1"/>
    </row>
    <row r="102" spans="1:5" x14ac:dyDescent="0.25">
      <c r="A102" s="1"/>
      <c r="B102" s="1"/>
      <c r="C102" s="1"/>
      <c r="D102" s="3"/>
      <c r="E102" s="1"/>
    </row>
    <row r="103" spans="1:5" x14ac:dyDescent="0.25">
      <c r="A103" s="1"/>
      <c r="B103" s="1"/>
      <c r="C103" s="1"/>
      <c r="D103" s="3"/>
      <c r="E103" s="1"/>
    </row>
    <row r="104" spans="1:5" x14ac:dyDescent="0.25">
      <c r="A104" s="1"/>
      <c r="B104" s="1"/>
      <c r="C104" s="1"/>
      <c r="D104" s="3"/>
      <c r="E104" s="1"/>
    </row>
    <row r="105" spans="1:5" x14ac:dyDescent="0.25">
      <c r="A105" s="1"/>
      <c r="B105" s="1"/>
      <c r="C105" s="1"/>
      <c r="D105" s="3"/>
      <c r="E105" s="1"/>
    </row>
    <row r="106" spans="1:5" x14ac:dyDescent="0.25">
      <c r="A106" s="1"/>
      <c r="B106" s="1"/>
      <c r="C106" s="1"/>
      <c r="D106" s="3"/>
      <c r="E106" s="1"/>
    </row>
    <row r="107" spans="1:5" x14ac:dyDescent="0.25">
      <c r="A107" s="1"/>
      <c r="B107" s="1"/>
      <c r="C107" s="1"/>
      <c r="D107" s="3"/>
      <c r="E107" s="1"/>
    </row>
    <row r="108" spans="1:5" x14ac:dyDescent="0.25">
      <c r="A108" s="1"/>
      <c r="B108" s="1"/>
      <c r="C108" s="1"/>
      <c r="D108" s="3"/>
      <c r="E108" s="1"/>
    </row>
    <row r="109" spans="1:5" x14ac:dyDescent="0.25">
      <c r="A109" s="1"/>
      <c r="B109" s="1"/>
      <c r="C109" s="1"/>
      <c r="D109" s="3"/>
      <c r="E109" s="1"/>
    </row>
    <row r="110" spans="1:5" x14ac:dyDescent="0.25">
      <c r="A110" s="1"/>
      <c r="B110" s="1"/>
      <c r="C110" s="1"/>
      <c r="D110" s="3"/>
      <c r="E110" s="1"/>
    </row>
    <row r="111" spans="1:5" x14ac:dyDescent="0.25">
      <c r="A111" s="1"/>
      <c r="B111" s="1"/>
      <c r="C111" s="1"/>
      <c r="D111" s="3"/>
      <c r="E111" s="1"/>
    </row>
    <row r="112" spans="1:5" x14ac:dyDescent="0.25">
      <c r="A112" s="1"/>
      <c r="B112" s="1"/>
      <c r="C112" s="1"/>
      <c r="D112" s="3"/>
      <c r="E112" s="1"/>
    </row>
    <row r="113" spans="1:5" x14ac:dyDescent="0.25">
      <c r="A113" s="1"/>
      <c r="B113" s="1"/>
      <c r="C113" s="1"/>
      <c r="D113" s="3"/>
      <c r="E113" s="1"/>
    </row>
    <row r="114" spans="1:5" x14ac:dyDescent="0.25">
      <c r="A114" s="1"/>
      <c r="B114" s="1"/>
      <c r="C114" s="1"/>
      <c r="D114" s="3"/>
      <c r="E114" s="1"/>
    </row>
    <row r="115" spans="1:5" x14ac:dyDescent="0.25">
      <c r="A115" s="1"/>
      <c r="B115" s="1"/>
      <c r="C115" s="1"/>
      <c r="D115" s="3"/>
      <c r="E115" s="1"/>
    </row>
    <row r="116" spans="1:5" x14ac:dyDescent="0.25">
      <c r="A116" s="1"/>
      <c r="B116" s="1"/>
      <c r="C116" s="1"/>
      <c r="D116" s="3"/>
      <c r="E116" s="1"/>
    </row>
    <row r="117" spans="1:5" x14ac:dyDescent="0.25">
      <c r="A117" s="1"/>
      <c r="B117" s="1"/>
      <c r="C117" s="1"/>
      <c r="D117" s="3"/>
      <c r="E117" s="1"/>
    </row>
    <row r="118" spans="1:5" x14ac:dyDescent="0.25">
      <c r="A118" s="1"/>
      <c r="B118" s="1"/>
      <c r="C118" s="1"/>
      <c r="D118" s="3"/>
      <c r="E118" s="1"/>
    </row>
    <row r="119" spans="1:5" x14ac:dyDescent="0.25">
      <c r="A119" s="1"/>
      <c r="B119" s="1"/>
      <c r="C119" s="1"/>
      <c r="D119" s="3"/>
      <c r="E119" s="1"/>
    </row>
    <row r="120" spans="1:5" x14ac:dyDescent="0.25">
      <c r="A120" s="1"/>
      <c r="B120" s="1"/>
      <c r="C120" s="1"/>
      <c r="D120" s="3"/>
      <c r="E120" s="1"/>
    </row>
    <row r="121" spans="1:5" x14ac:dyDescent="0.25">
      <c r="A121" s="1"/>
      <c r="B121" s="1"/>
      <c r="C121" s="1"/>
      <c r="D121" s="3"/>
      <c r="E121" s="1"/>
    </row>
    <row r="122" spans="1:5" x14ac:dyDescent="0.25">
      <c r="A122" s="1"/>
      <c r="B122" s="1"/>
      <c r="C122" s="1"/>
      <c r="D122" s="3"/>
      <c r="E122" s="1"/>
    </row>
    <row r="123" spans="1:5" x14ac:dyDescent="0.25">
      <c r="A123" s="1"/>
      <c r="B123" s="1"/>
      <c r="C123" s="1"/>
      <c r="D123" s="3"/>
      <c r="E123" s="1"/>
    </row>
    <row r="124" spans="1:5" x14ac:dyDescent="0.25">
      <c r="A124" s="1"/>
      <c r="B124" s="1"/>
      <c r="C124" s="1"/>
      <c r="D124" s="3"/>
      <c r="E124" s="1"/>
    </row>
    <row r="125" spans="1:5" x14ac:dyDescent="0.25">
      <c r="A125" s="1"/>
      <c r="B125" s="1"/>
      <c r="C125" s="1"/>
      <c r="D125" s="3"/>
      <c r="E125" s="1"/>
    </row>
    <row r="126" spans="1:5" x14ac:dyDescent="0.25">
      <c r="A126" s="1"/>
      <c r="B126" s="1"/>
      <c r="C126" s="1"/>
      <c r="D126" s="3"/>
      <c r="E126" s="1"/>
    </row>
    <row r="127" spans="1:5" x14ac:dyDescent="0.25">
      <c r="A127" s="1"/>
      <c r="B127" s="1"/>
      <c r="C127" s="1"/>
      <c r="D127" s="3"/>
      <c r="E127" s="1"/>
    </row>
    <row r="128" spans="1:5" x14ac:dyDescent="0.25">
      <c r="A128" s="1"/>
      <c r="B128" s="1"/>
      <c r="C128" s="1"/>
      <c r="D128" s="3"/>
      <c r="E128" s="1"/>
    </row>
    <row r="129" spans="1:5" x14ac:dyDescent="0.25">
      <c r="A129" s="1"/>
      <c r="B129" s="1"/>
      <c r="C129" s="1"/>
      <c r="D129" s="3"/>
      <c r="E129" s="1"/>
    </row>
    <row r="130" spans="1:5" x14ac:dyDescent="0.25">
      <c r="A130" s="1"/>
      <c r="B130" s="1"/>
      <c r="C130" s="1"/>
      <c r="D130" s="3"/>
      <c r="E130" s="1"/>
    </row>
    <row r="131" spans="1:5" x14ac:dyDescent="0.25">
      <c r="A131" s="1"/>
      <c r="B131" s="1"/>
      <c r="C131" s="1"/>
      <c r="D131" s="3"/>
      <c r="E131" s="1"/>
    </row>
    <row r="132" spans="1:5" x14ac:dyDescent="0.25">
      <c r="A132" s="1"/>
      <c r="B132" s="1"/>
      <c r="C132" s="1"/>
      <c r="D132" s="3"/>
      <c r="E132" s="1"/>
    </row>
    <row r="133" spans="1:5" x14ac:dyDescent="0.25">
      <c r="A133" s="1"/>
      <c r="B133" s="1"/>
      <c r="C133" s="1"/>
      <c r="D133" s="3"/>
      <c r="E133" s="1"/>
    </row>
    <row r="134" spans="1:5" x14ac:dyDescent="0.25">
      <c r="A134" s="1"/>
      <c r="B134" s="1"/>
      <c r="C134" s="1"/>
      <c r="D134" s="3"/>
      <c r="E134" s="1"/>
    </row>
    <row r="135" spans="1:5" x14ac:dyDescent="0.25">
      <c r="A135" s="1"/>
      <c r="B135" s="1"/>
      <c r="C135" s="1"/>
      <c r="D135" s="3"/>
      <c r="E135" s="1"/>
    </row>
    <row r="136" spans="1:5" x14ac:dyDescent="0.25">
      <c r="A136" s="1"/>
      <c r="B136" s="1"/>
      <c r="C136" s="1"/>
      <c r="D136" s="3"/>
      <c r="E136" s="1"/>
    </row>
    <row r="137" spans="1:5" x14ac:dyDescent="0.25">
      <c r="A137" s="1"/>
      <c r="B137" s="1"/>
      <c r="C137" s="1"/>
      <c r="D137" s="3"/>
      <c r="E137" s="1"/>
    </row>
    <row r="138" spans="1:5" x14ac:dyDescent="0.25">
      <c r="A138" s="1"/>
      <c r="B138" s="1"/>
      <c r="C138" s="1"/>
      <c r="D138" s="3"/>
      <c r="E138" s="1"/>
    </row>
    <row r="139" spans="1:5" x14ac:dyDescent="0.25">
      <c r="A139" s="1"/>
      <c r="B139" s="1"/>
      <c r="C139" s="1"/>
      <c r="D139" s="3"/>
      <c r="E139" s="1"/>
    </row>
    <row r="140" spans="1:5" x14ac:dyDescent="0.25">
      <c r="A140" s="1"/>
      <c r="B140" s="1"/>
      <c r="C140" s="1"/>
      <c r="D140" s="3"/>
      <c r="E140" s="1"/>
    </row>
    <row r="141" spans="1:5" x14ac:dyDescent="0.25">
      <c r="A141" s="1"/>
      <c r="B141" s="1"/>
      <c r="C141" s="1"/>
      <c r="D141" s="3"/>
      <c r="E141" s="1"/>
    </row>
    <row r="142" spans="1:5" x14ac:dyDescent="0.25">
      <c r="A142" s="1"/>
      <c r="B142" s="1"/>
      <c r="C142" s="1"/>
      <c r="D142" s="3"/>
      <c r="E142" s="1"/>
    </row>
    <row r="143" spans="1:5" x14ac:dyDescent="0.25">
      <c r="A143" s="1"/>
      <c r="B143" s="1"/>
      <c r="C143" s="1"/>
      <c r="D143" s="3"/>
      <c r="E143" s="1"/>
    </row>
    <row r="144" spans="1:5" x14ac:dyDescent="0.25">
      <c r="A144" s="1"/>
      <c r="B144" s="1"/>
      <c r="C144" s="1"/>
      <c r="D144" s="3"/>
      <c r="E144" s="1"/>
    </row>
    <row r="145" spans="1:5" x14ac:dyDescent="0.25">
      <c r="A145" s="1"/>
      <c r="B145" s="1"/>
      <c r="C145" s="1"/>
      <c r="D145" s="3"/>
      <c r="E145" s="1"/>
    </row>
    <row r="146" spans="1:5" x14ac:dyDescent="0.25">
      <c r="A146" s="1"/>
      <c r="B146" s="1"/>
      <c r="C146" s="1"/>
      <c r="D146" s="3"/>
      <c r="E146" s="1"/>
    </row>
    <row r="147" spans="1:5" x14ac:dyDescent="0.25">
      <c r="A147" s="1"/>
      <c r="B147" s="1"/>
      <c r="C147" s="1"/>
      <c r="D147" s="3"/>
      <c r="E147" s="1"/>
    </row>
    <row r="148" spans="1:5" x14ac:dyDescent="0.25">
      <c r="A148" s="1"/>
      <c r="B148" s="1"/>
      <c r="C148" s="1"/>
      <c r="D148" s="3"/>
      <c r="E148" s="1"/>
    </row>
    <row r="149" spans="1:5" x14ac:dyDescent="0.25">
      <c r="A149" s="1"/>
      <c r="B149" s="1"/>
      <c r="C149" s="1"/>
      <c r="D149" s="3"/>
      <c r="E149" s="1"/>
    </row>
    <row r="150" spans="1:5" x14ac:dyDescent="0.25">
      <c r="A150" s="1"/>
      <c r="B150" s="1"/>
      <c r="C150" s="1"/>
      <c r="D150" s="3"/>
      <c r="E150" s="1"/>
    </row>
    <row r="151" spans="1:5" x14ac:dyDescent="0.25">
      <c r="A151" s="1"/>
      <c r="B151" s="1"/>
      <c r="C151" s="1"/>
      <c r="D151" s="3"/>
      <c r="E151" s="1"/>
    </row>
    <row r="152" spans="1:5" x14ac:dyDescent="0.25">
      <c r="A152" s="1"/>
      <c r="B152" s="1"/>
      <c r="C152" s="1"/>
      <c r="D152" s="3"/>
      <c r="E152" s="1"/>
    </row>
    <row r="153" spans="1:5" x14ac:dyDescent="0.25">
      <c r="A153" s="1"/>
      <c r="B153" s="1"/>
      <c r="C153" s="1"/>
      <c r="D153" s="3"/>
      <c r="E153" s="1"/>
    </row>
    <row r="154" spans="1:5" x14ac:dyDescent="0.25">
      <c r="A154" s="1"/>
      <c r="B154" s="1"/>
      <c r="C154" s="1"/>
      <c r="D154" s="3"/>
      <c r="E154" s="1"/>
    </row>
    <row r="155" spans="1:5" x14ac:dyDescent="0.25">
      <c r="A155" s="1"/>
      <c r="B155" s="1"/>
      <c r="C155" s="1"/>
      <c r="D155" s="3"/>
      <c r="E155" s="1"/>
    </row>
    <row r="156" spans="1:5" x14ac:dyDescent="0.25">
      <c r="A156" s="1"/>
      <c r="B156" s="1"/>
      <c r="C156" s="1"/>
      <c r="D156" s="3"/>
      <c r="E156" s="1"/>
    </row>
    <row r="157" spans="1:5" x14ac:dyDescent="0.25">
      <c r="A157" s="1"/>
      <c r="B157" s="1"/>
      <c r="C157" s="1"/>
      <c r="D157" s="3"/>
      <c r="E157" s="1"/>
    </row>
    <row r="158" spans="1:5" x14ac:dyDescent="0.25">
      <c r="A158" s="1"/>
      <c r="B158" s="1"/>
      <c r="C158" s="1"/>
      <c r="D158" s="3"/>
      <c r="E158" s="1"/>
    </row>
    <row r="159" spans="1:5" x14ac:dyDescent="0.25">
      <c r="A159" s="1"/>
      <c r="B159" s="1"/>
      <c r="C159" s="1"/>
      <c r="D159" s="3"/>
      <c r="E159" s="1"/>
    </row>
    <row r="160" spans="1:5" x14ac:dyDescent="0.25">
      <c r="A160" s="1"/>
      <c r="B160" s="1"/>
      <c r="C160" s="1"/>
      <c r="D160" s="3"/>
      <c r="E160" s="1"/>
    </row>
    <row r="161" spans="1:5" x14ac:dyDescent="0.25">
      <c r="A161" s="1"/>
      <c r="B161" s="1"/>
      <c r="C161" s="1"/>
      <c r="D161" s="3"/>
      <c r="E161" s="1"/>
    </row>
    <row r="162" spans="1:5" x14ac:dyDescent="0.25">
      <c r="A162" s="1"/>
      <c r="B162" s="1"/>
      <c r="C162" s="1"/>
      <c r="D162" s="3"/>
      <c r="E162" s="1"/>
    </row>
    <row r="163" spans="1:5" x14ac:dyDescent="0.25">
      <c r="A163" s="1"/>
      <c r="B163" s="1"/>
      <c r="C163" s="1"/>
      <c r="D163" s="3"/>
      <c r="E163" s="1"/>
    </row>
    <row r="164" spans="1:5" x14ac:dyDescent="0.25">
      <c r="A164" s="1"/>
      <c r="B164" s="1"/>
      <c r="C164" s="1"/>
      <c r="D164" s="3"/>
      <c r="E164" s="1"/>
    </row>
    <row r="165" spans="1:5" x14ac:dyDescent="0.25">
      <c r="A165" s="1"/>
      <c r="B165" s="1"/>
      <c r="C165" s="1"/>
      <c r="D165" s="3"/>
      <c r="E165" s="1"/>
    </row>
    <row r="166" spans="1:5" x14ac:dyDescent="0.25">
      <c r="A166" s="1"/>
      <c r="B166" s="1"/>
      <c r="C166" s="1"/>
      <c r="D166" s="3"/>
      <c r="E166" s="1"/>
    </row>
    <row r="167" spans="1:5" x14ac:dyDescent="0.25">
      <c r="A167" s="1"/>
      <c r="B167" s="1"/>
      <c r="C167" s="1"/>
      <c r="D167" s="3"/>
      <c r="E167" s="1"/>
    </row>
    <row r="168" spans="1:5" x14ac:dyDescent="0.25">
      <c r="A168" s="1"/>
      <c r="B168" s="1"/>
      <c r="C168" s="1"/>
      <c r="D168" s="3"/>
      <c r="E168" s="1"/>
    </row>
    <row r="169" spans="1:5" x14ac:dyDescent="0.25">
      <c r="A169" s="1"/>
      <c r="B169" s="1"/>
      <c r="C169" s="1"/>
      <c r="D169" s="3"/>
      <c r="E169" s="1"/>
    </row>
    <row r="170" spans="1:5" x14ac:dyDescent="0.25">
      <c r="A170" s="1"/>
      <c r="B170" s="1"/>
      <c r="C170" s="1"/>
      <c r="D170" s="3"/>
      <c r="E170" s="1"/>
    </row>
    <row r="171" spans="1:5" x14ac:dyDescent="0.25">
      <c r="A171" s="1"/>
      <c r="B171" s="1"/>
      <c r="C171" s="1"/>
      <c r="D171" s="15"/>
      <c r="E171" s="1"/>
    </row>
    <row r="172" spans="1:5" x14ac:dyDescent="0.25">
      <c r="A172" s="1"/>
      <c r="B172" s="1"/>
      <c r="C172" s="1"/>
      <c r="D172" s="3"/>
      <c r="E172" s="1"/>
    </row>
    <row r="173" spans="1:5" x14ac:dyDescent="0.25">
      <c r="A173" s="1"/>
      <c r="B173" s="1"/>
      <c r="C173" s="1"/>
      <c r="D173" s="3"/>
      <c r="E173" s="1"/>
    </row>
    <row r="174" spans="1:5" x14ac:dyDescent="0.25">
      <c r="A174" s="1"/>
      <c r="B174" s="1"/>
      <c r="C174" s="1"/>
      <c r="D174" s="3"/>
      <c r="E174" s="1"/>
    </row>
    <row r="175" spans="1:5" x14ac:dyDescent="0.25">
      <c r="A175" s="1"/>
      <c r="B175" s="1"/>
      <c r="C175" s="1"/>
      <c r="D175" s="3"/>
      <c r="E175" s="1"/>
    </row>
    <row r="176" spans="1:5" x14ac:dyDescent="0.25">
      <c r="A176" s="1"/>
      <c r="B176" s="1"/>
      <c r="C176" s="1"/>
      <c r="D176" s="3"/>
      <c r="E176" s="1"/>
    </row>
    <row r="177" spans="1:5" x14ac:dyDescent="0.25">
      <c r="A177" s="1"/>
      <c r="B177" s="1"/>
      <c r="C177" s="1"/>
      <c r="D177" s="3"/>
      <c r="E177" s="1"/>
    </row>
    <row r="178" spans="1:5" x14ac:dyDescent="0.25">
      <c r="A178" s="1"/>
      <c r="B178" s="1"/>
      <c r="C178" s="1"/>
      <c r="D178" s="3"/>
      <c r="E178" s="1"/>
    </row>
    <row r="179" spans="1:5" x14ac:dyDescent="0.25">
      <c r="A179" s="1"/>
      <c r="B179" s="1"/>
      <c r="C179" s="1"/>
      <c r="D179" s="3"/>
      <c r="E179" s="1"/>
    </row>
    <row r="180" spans="1:5" x14ac:dyDescent="0.25">
      <c r="A180" s="1"/>
      <c r="B180" s="1"/>
      <c r="C180" s="1"/>
      <c r="D180" s="3"/>
      <c r="E180" s="1"/>
    </row>
    <row r="181" spans="1:5" x14ac:dyDescent="0.25">
      <c r="A181" s="1"/>
      <c r="B181" s="1"/>
      <c r="C181" s="1"/>
      <c r="D181" s="3"/>
      <c r="E181" s="1"/>
    </row>
    <row r="182" spans="1:5" x14ac:dyDescent="0.25">
      <c r="A182" s="1"/>
      <c r="B182" s="1"/>
      <c r="C182" s="1"/>
      <c r="D182" s="3"/>
      <c r="E182" s="1"/>
    </row>
    <row r="183" spans="1:5" x14ac:dyDescent="0.25">
      <c r="A183" s="1"/>
      <c r="B183" s="1"/>
      <c r="C183" s="1"/>
      <c r="D183" s="3"/>
      <c r="E183" s="1"/>
    </row>
    <row r="184" spans="1:5" x14ac:dyDescent="0.25">
      <c r="A184" s="1"/>
      <c r="B184" s="1"/>
      <c r="C184" s="1"/>
      <c r="D184" s="3"/>
      <c r="E184" s="1"/>
    </row>
    <row r="185" spans="1:5" x14ac:dyDescent="0.25">
      <c r="A185" s="1"/>
      <c r="B185" s="1"/>
      <c r="C185" s="1"/>
      <c r="D185" s="3"/>
      <c r="E185" s="1"/>
    </row>
    <row r="186" spans="1:5" x14ac:dyDescent="0.25">
      <c r="A186" s="1"/>
      <c r="B186" s="1"/>
      <c r="C186" s="1"/>
      <c r="D186" s="3"/>
      <c r="E186" s="1"/>
    </row>
    <row r="187" spans="1:5" x14ac:dyDescent="0.25">
      <c r="A187" s="1"/>
      <c r="B187" s="1"/>
      <c r="C187" s="1"/>
      <c r="D187" s="3"/>
      <c r="E187" s="1"/>
    </row>
    <row r="188" spans="1:5" x14ac:dyDescent="0.25">
      <c r="A188" s="1"/>
      <c r="B188" s="1"/>
      <c r="C188" s="1"/>
      <c r="D188" s="3"/>
      <c r="E188" s="1"/>
    </row>
    <row r="189" spans="1:5" x14ac:dyDescent="0.25">
      <c r="A189" s="1"/>
      <c r="B189" s="1"/>
      <c r="C189" s="1"/>
      <c r="D189" s="3"/>
      <c r="E189" s="1"/>
    </row>
    <row r="190" spans="1:5" x14ac:dyDescent="0.25">
      <c r="A190" s="1"/>
      <c r="B190" s="1"/>
      <c r="C190" s="1"/>
      <c r="D190" s="3"/>
      <c r="E190" s="1"/>
    </row>
    <row r="191" spans="1:5" x14ac:dyDescent="0.25">
      <c r="A191" s="1"/>
      <c r="B191" s="1"/>
      <c r="C191" s="1"/>
      <c r="D191" s="3"/>
      <c r="E191" s="1"/>
    </row>
    <row r="192" spans="1:5" x14ac:dyDescent="0.25">
      <c r="A192" s="1"/>
      <c r="B192" s="1"/>
      <c r="C192" s="1"/>
      <c r="D192" s="3"/>
      <c r="E192" s="1"/>
    </row>
    <row r="193" spans="1:5" x14ac:dyDescent="0.25">
      <c r="A193" s="1"/>
      <c r="B193" s="1"/>
      <c r="C193" s="1"/>
      <c r="D193" s="3"/>
      <c r="E193" s="1"/>
    </row>
    <row r="194" spans="1:5" x14ac:dyDescent="0.25">
      <c r="A194" s="1"/>
      <c r="B194" s="1"/>
      <c r="C194" s="1"/>
      <c r="D194" s="3"/>
      <c r="E194" s="1"/>
    </row>
    <row r="195" spans="1:5" x14ac:dyDescent="0.25">
      <c r="A195" s="1"/>
      <c r="B195" s="1"/>
      <c r="C195" s="1"/>
      <c r="D195" s="3"/>
      <c r="E195" s="1"/>
    </row>
    <row r="196" spans="1:5" x14ac:dyDescent="0.25">
      <c r="A196" s="1"/>
      <c r="B196" s="1"/>
      <c r="C196" s="1"/>
      <c r="D196" s="3"/>
      <c r="E196" s="1"/>
    </row>
    <row r="197" spans="1:5" x14ac:dyDescent="0.25">
      <c r="A197" s="1"/>
      <c r="B197" s="1"/>
      <c r="C197" s="1"/>
      <c r="D197" s="3"/>
      <c r="E197" s="1"/>
    </row>
    <row r="198" spans="1:5" x14ac:dyDescent="0.25">
      <c r="A198" s="1"/>
      <c r="B198" s="1"/>
      <c r="C198" s="1"/>
      <c r="D198" s="3"/>
      <c r="E198" s="1"/>
    </row>
    <row r="199" spans="1:5" x14ac:dyDescent="0.25">
      <c r="A199" s="1"/>
      <c r="B199" s="1"/>
      <c r="C199" s="1"/>
      <c r="D199" s="3"/>
      <c r="E19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7A3-AA19-4AAB-9EBE-6B2CEC4A8D75}">
  <dimension ref="A1:E37"/>
  <sheetViews>
    <sheetView workbookViewId="0">
      <selection activeCell="F30" sqref="F30"/>
    </sheetView>
  </sheetViews>
  <sheetFormatPr defaultRowHeight="15" x14ac:dyDescent="0.25"/>
  <cols>
    <col min="1" max="1" width="17.42578125" bestFit="1" customWidth="1"/>
    <col min="2" max="2" width="15" bestFit="1" customWidth="1"/>
    <col min="3" max="3" width="7.140625" bestFit="1" customWidth="1"/>
    <col min="4" max="4" width="7.85546875" bestFit="1" customWidth="1"/>
    <col min="5" max="5" width="12" bestFit="1" customWidth="1"/>
  </cols>
  <sheetData>
    <row r="1" spans="1:5" x14ac:dyDescent="0.25">
      <c r="A1" s="21" t="s">
        <v>1416</v>
      </c>
      <c r="B1" t="s" vm="1">
        <v>1419</v>
      </c>
    </row>
    <row r="2" spans="1:5" hidden="1" x14ac:dyDescent="0.25">
      <c r="A2" t="s">
        <v>1461</v>
      </c>
      <c r="B2">
        <v>9672</v>
      </c>
      <c r="D2" s="25">
        <f>B2/12</f>
        <v>806</v>
      </c>
      <c r="E2">
        <f>1000/12</f>
        <v>83.333333333333329</v>
      </c>
    </row>
    <row r="3" spans="1:5" x14ac:dyDescent="0.25">
      <c r="B3" s="21" t="s">
        <v>1457</v>
      </c>
    </row>
    <row r="4" spans="1:5" x14ac:dyDescent="0.25">
      <c r="B4" t="s">
        <v>1449</v>
      </c>
      <c r="C4" t="s">
        <v>1454</v>
      </c>
    </row>
    <row r="5" spans="1:5" x14ac:dyDescent="0.25">
      <c r="A5" t="s">
        <v>1458</v>
      </c>
      <c r="B5" s="24">
        <v>0.54356846473029041</v>
      </c>
      <c r="C5" s="24">
        <v>0.45643153526970953</v>
      </c>
    </row>
    <row r="7" spans="1:5" x14ac:dyDescent="0.25">
      <c r="B7">
        <v>2025</v>
      </c>
      <c r="C7">
        <v>2024</v>
      </c>
    </row>
    <row r="8" spans="1:5" x14ac:dyDescent="0.25">
      <c r="A8" t="s">
        <v>1458</v>
      </c>
      <c r="B8" s="26">
        <v>0.46</v>
      </c>
      <c r="C8" s="26">
        <v>0.54</v>
      </c>
    </row>
    <row r="24" spans="1:4" x14ac:dyDescent="0.25">
      <c r="B24" t="s">
        <v>1449</v>
      </c>
      <c r="D24" t="s">
        <v>1454</v>
      </c>
    </row>
    <row r="25" spans="1:4" x14ac:dyDescent="0.25">
      <c r="A25" t="s">
        <v>1459</v>
      </c>
      <c r="B25" t="s">
        <v>1458</v>
      </c>
      <c r="C25" t="s">
        <v>1460</v>
      </c>
      <c r="D25" t="s">
        <v>1458</v>
      </c>
    </row>
    <row r="26" spans="1:4" x14ac:dyDescent="0.25">
      <c r="A26" t="s">
        <v>1437</v>
      </c>
      <c r="B26" s="26">
        <v>8.3969465648854963E-2</v>
      </c>
      <c r="C26" s="26"/>
      <c r="D26" s="26">
        <v>5.4545454545454543E-2</v>
      </c>
    </row>
    <row r="27" spans="1:4" x14ac:dyDescent="0.25">
      <c r="A27" t="s">
        <v>1438</v>
      </c>
      <c r="B27" s="26">
        <v>5.3435114503816793E-2</v>
      </c>
      <c r="C27" s="26"/>
      <c r="D27" s="26">
        <v>0.1</v>
      </c>
    </row>
    <row r="28" spans="1:4" x14ac:dyDescent="0.25">
      <c r="A28" t="s">
        <v>1439</v>
      </c>
      <c r="B28" s="26">
        <v>6.1068702290076333E-2</v>
      </c>
      <c r="C28" s="26"/>
      <c r="D28" s="26">
        <v>8.1818181818181818E-2</v>
      </c>
    </row>
    <row r="29" spans="1:4" x14ac:dyDescent="0.25">
      <c r="A29" t="s">
        <v>1440</v>
      </c>
      <c r="B29" s="26">
        <v>8.3969465648854963E-2</v>
      </c>
      <c r="C29" s="26"/>
      <c r="D29" s="26">
        <v>3.6363636363636362E-2</v>
      </c>
    </row>
    <row r="30" spans="1:4" x14ac:dyDescent="0.25">
      <c r="A30" t="s">
        <v>1441</v>
      </c>
      <c r="B30" s="26">
        <v>0.13740458015267176</v>
      </c>
      <c r="C30" s="26"/>
      <c r="D30" s="26">
        <v>7.2727272727272724E-2</v>
      </c>
    </row>
    <row r="31" spans="1:4" x14ac:dyDescent="0.25">
      <c r="A31" t="s">
        <v>1442</v>
      </c>
      <c r="B31" s="26">
        <v>7.6335877862595422E-2</v>
      </c>
      <c r="C31" s="26"/>
      <c r="D31" s="26">
        <v>9.0909090909090912E-2</v>
      </c>
    </row>
    <row r="32" spans="1:4" x14ac:dyDescent="0.25">
      <c r="A32" t="s">
        <v>1443</v>
      </c>
      <c r="B32" s="26">
        <v>0.15267175572519084</v>
      </c>
      <c r="C32" s="26"/>
      <c r="D32" s="26">
        <v>0.15454545454545454</v>
      </c>
    </row>
    <row r="33" spans="1:4" x14ac:dyDescent="0.25">
      <c r="A33" t="s">
        <v>1444</v>
      </c>
      <c r="B33" s="26">
        <v>6.8702290076335881E-2</v>
      </c>
      <c r="C33" s="26"/>
      <c r="D33" s="26">
        <v>9.0909090909090912E-2</v>
      </c>
    </row>
    <row r="34" spans="1:4" x14ac:dyDescent="0.25">
      <c r="A34" t="s">
        <v>1445</v>
      </c>
      <c r="B34" s="26">
        <v>8.3969465648854963E-2</v>
      </c>
      <c r="C34" s="26"/>
      <c r="D34" s="26">
        <v>8.1818181818181818E-2</v>
      </c>
    </row>
    <row r="35" spans="1:4" x14ac:dyDescent="0.25">
      <c r="A35" t="s">
        <v>1446</v>
      </c>
      <c r="B35" s="26">
        <v>4.5801526717557252E-2</v>
      </c>
      <c r="C35" s="26"/>
      <c r="D35" s="26">
        <v>8.1818181818181818E-2</v>
      </c>
    </row>
    <row r="36" spans="1:4" x14ac:dyDescent="0.25">
      <c r="A36" t="s">
        <v>1447</v>
      </c>
      <c r="B36" s="26">
        <v>4.5801526717557252E-2</v>
      </c>
      <c r="C36" s="26"/>
      <c r="D36" s="26">
        <v>9.0909090909090912E-2</v>
      </c>
    </row>
    <row r="37" spans="1:4" x14ac:dyDescent="0.25">
      <c r="A37" t="s">
        <v>1448</v>
      </c>
      <c r="B37" s="26">
        <v>0.10687022900763359</v>
      </c>
      <c r="C37" s="26"/>
      <c r="D37" s="26">
        <v>6.363636363636363E-2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05C2-6BE8-46AC-99F7-A520C0AD5764}">
  <dimension ref="A1:N131"/>
  <sheetViews>
    <sheetView topLeftCell="A115" workbookViewId="0">
      <selection activeCell="F30" sqref="F30"/>
    </sheetView>
  </sheetViews>
  <sheetFormatPr defaultRowHeight="15" x14ac:dyDescent="0.25"/>
  <cols>
    <col min="1" max="1" width="19.42578125" bestFit="1" customWidth="1"/>
    <col min="2" max="2" width="12.85546875" bestFit="1" customWidth="1"/>
    <col min="3" max="3" width="14" bestFit="1" customWidth="1"/>
    <col min="4" max="4" width="14.28515625" bestFit="1" customWidth="1"/>
    <col min="5" max="5" width="21.85546875" bestFit="1" customWidth="1"/>
    <col min="6" max="6" width="22.5703125" bestFit="1" customWidth="1"/>
    <col min="7" max="7" width="81.140625" bestFit="1" customWidth="1"/>
    <col min="8" max="8" width="21.85546875" bestFit="1" customWidth="1"/>
    <col min="9" max="9" width="24.42578125" bestFit="1" customWidth="1"/>
    <col min="10" max="10" width="30.42578125" bestFit="1" customWidth="1"/>
    <col min="11" max="11" width="22.42578125" bestFit="1" customWidth="1"/>
    <col min="12" max="12" width="20.42578125" bestFit="1" customWidth="1"/>
    <col min="13" max="13" width="23.28515625" bestFit="1" customWidth="1"/>
    <col min="14" max="14" width="28.140625" bestFit="1" customWidth="1"/>
  </cols>
  <sheetData>
    <row r="1" spans="1:14" x14ac:dyDescent="0.25">
      <c r="A1" s="18" t="s">
        <v>1514</v>
      </c>
    </row>
    <row r="3" spans="1:14" x14ac:dyDescent="0.25">
      <c r="A3" t="s">
        <v>1463</v>
      </c>
      <c r="B3" t="s">
        <v>1464</v>
      </c>
      <c r="C3" t="s">
        <v>1465</v>
      </c>
      <c r="D3" t="s">
        <v>1466</v>
      </c>
      <c r="E3" t="s">
        <v>1467</v>
      </c>
      <c r="F3" t="s">
        <v>1468</v>
      </c>
      <c r="G3" t="s">
        <v>1469</v>
      </c>
      <c r="H3" t="s">
        <v>1470</v>
      </c>
      <c r="I3" t="s">
        <v>1471</v>
      </c>
      <c r="J3" t="s">
        <v>1472</v>
      </c>
      <c r="K3" t="s">
        <v>1473</v>
      </c>
      <c r="L3" t="s">
        <v>1474</v>
      </c>
      <c r="M3" t="s">
        <v>1475</v>
      </c>
      <c r="N3" t="s">
        <v>1476</v>
      </c>
    </row>
    <row r="4" spans="1:14" x14ac:dyDescent="0.25">
      <c r="A4" t="s">
        <v>142</v>
      </c>
      <c r="B4" t="s">
        <v>1477</v>
      </c>
      <c r="C4" t="s">
        <v>25</v>
      </c>
      <c r="D4" s="20">
        <v>45303</v>
      </c>
      <c r="E4" t="s">
        <v>143</v>
      </c>
      <c r="F4" t="s">
        <v>144</v>
      </c>
      <c r="G4" t="s">
        <v>145</v>
      </c>
      <c r="H4" t="s">
        <v>1424</v>
      </c>
      <c r="I4" t="s">
        <v>1462</v>
      </c>
      <c r="J4" t="s">
        <v>1430</v>
      </c>
      <c r="K4" t="s">
        <v>1437</v>
      </c>
      <c r="L4" t="s">
        <v>1449</v>
      </c>
      <c r="M4" t="s">
        <v>1450</v>
      </c>
      <c r="N4">
        <v>1</v>
      </c>
    </row>
    <row r="5" spans="1:14" x14ac:dyDescent="0.25">
      <c r="A5" t="s">
        <v>142</v>
      </c>
      <c r="B5" t="s">
        <v>1477</v>
      </c>
      <c r="C5" t="s">
        <v>25</v>
      </c>
      <c r="D5" s="20">
        <v>45303</v>
      </c>
      <c r="E5" t="s">
        <v>5</v>
      </c>
      <c r="F5" t="s">
        <v>146</v>
      </c>
      <c r="G5" t="s">
        <v>46</v>
      </c>
      <c r="H5" t="s">
        <v>1424</v>
      </c>
      <c r="I5" t="s">
        <v>1462</v>
      </c>
      <c r="J5" t="s">
        <v>1432</v>
      </c>
      <c r="K5" t="s">
        <v>1437</v>
      </c>
      <c r="L5" t="s">
        <v>1449</v>
      </c>
      <c r="M5" t="s">
        <v>1450</v>
      </c>
      <c r="N5">
        <v>1</v>
      </c>
    </row>
    <row r="6" spans="1:14" x14ac:dyDescent="0.25">
      <c r="A6" t="s">
        <v>142</v>
      </c>
      <c r="B6" t="s">
        <v>1477</v>
      </c>
      <c r="C6" t="s">
        <v>25</v>
      </c>
      <c r="D6" s="20">
        <v>45303</v>
      </c>
      <c r="E6" t="s">
        <v>151</v>
      </c>
      <c r="F6" t="s">
        <v>152</v>
      </c>
      <c r="G6" t="s">
        <v>49</v>
      </c>
      <c r="H6" t="s">
        <v>1424</v>
      </c>
      <c r="I6" t="s">
        <v>1462</v>
      </c>
      <c r="J6" t="s">
        <v>1432</v>
      </c>
      <c r="K6" t="s">
        <v>1437</v>
      </c>
      <c r="L6" t="s">
        <v>1449</v>
      </c>
      <c r="M6" t="s">
        <v>1450</v>
      </c>
      <c r="N6">
        <v>1</v>
      </c>
    </row>
    <row r="7" spans="1:14" x14ac:dyDescent="0.25">
      <c r="A7" t="s">
        <v>161</v>
      </c>
      <c r="B7" t="s">
        <v>1478</v>
      </c>
      <c r="C7" t="s">
        <v>25</v>
      </c>
      <c r="D7" s="20">
        <v>45307</v>
      </c>
      <c r="E7" t="s">
        <v>32</v>
      </c>
      <c r="F7" t="s">
        <v>1479</v>
      </c>
      <c r="G7" t="s">
        <v>165</v>
      </c>
      <c r="H7" t="s">
        <v>1424</v>
      </c>
      <c r="I7" t="s">
        <v>1462</v>
      </c>
      <c r="J7" t="s">
        <v>1430</v>
      </c>
      <c r="K7" t="s">
        <v>1437</v>
      </c>
      <c r="L7" t="s">
        <v>1449</v>
      </c>
      <c r="M7" t="s">
        <v>1450</v>
      </c>
      <c r="N7">
        <v>1</v>
      </c>
    </row>
    <row r="8" spans="1:14" x14ac:dyDescent="0.25">
      <c r="A8" t="s">
        <v>172</v>
      </c>
      <c r="B8" t="s">
        <v>1480</v>
      </c>
      <c r="C8" t="s">
        <v>25</v>
      </c>
      <c r="D8" s="20">
        <v>45311</v>
      </c>
      <c r="E8" t="s">
        <v>1481</v>
      </c>
      <c r="F8" t="s">
        <v>1482</v>
      </c>
      <c r="G8" t="s">
        <v>49</v>
      </c>
      <c r="H8" t="s">
        <v>1424</v>
      </c>
      <c r="I8" t="s">
        <v>1462</v>
      </c>
      <c r="J8" t="s">
        <v>1432</v>
      </c>
      <c r="K8" t="s">
        <v>1437</v>
      </c>
      <c r="L8" t="s">
        <v>1449</v>
      </c>
      <c r="M8" t="s">
        <v>1450</v>
      </c>
      <c r="N8">
        <v>1</v>
      </c>
    </row>
    <row r="9" spans="1:14" x14ac:dyDescent="0.25">
      <c r="A9" t="s">
        <v>186</v>
      </c>
      <c r="B9" t="s">
        <v>1483</v>
      </c>
      <c r="C9" t="s">
        <v>25</v>
      </c>
      <c r="D9" s="20">
        <v>45317</v>
      </c>
      <c r="E9" t="s">
        <v>1484</v>
      </c>
      <c r="F9" t="s">
        <v>1485</v>
      </c>
      <c r="G9" t="s">
        <v>189</v>
      </c>
      <c r="H9" t="s">
        <v>1424</v>
      </c>
      <c r="I9" t="s">
        <v>1462</v>
      </c>
      <c r="J9" t="s">
        <v>1432</v>
      </c>
      <c r="K9" t="s">
        <v>1437</v>
      </c>
      <c r="L9" t="s">
        <v>1449</v>
      </c>
      <c r="M9" t="s">
        <v>1450</v>
      </c>
      <c r="N9">
        <v>1</v>
      </c>
    </row>
    <row r="10" spans="1:14" x14ac:dyDescent="0.25">
      <c r="A10" t="s">
        <v>204</v>
      </c>
      <c r="B10" t="s">
        <v>1486</v>
      </c>
      <c r="C10" t="s">
        <v>1410</v>
      </c>
      <c r="D10" s="20">
        <v>45329</v>
      </c>
      <c r="E10" t="s">
        <v>205</v>
      </c>
      <c r="F10" t="s">
        <v>206</v>
      </c>
      <c r="G10" t="s">
        <v>208</v>
      </c>
      <c r="H10" t="s">
        <v>1424</v>
      </c>
      <c r="I10" t="s">
        <v>1462</v>
      </c>
      <c r="J10" t="s">
        <v>1432</v>
      </c>
      <c r="K10" t="s">
        <v>1438</v>
      </c>
      <c r="L10" t="s">
        <v>1449</v>
      </c>
      <c r="M10" t="s">
        <v>1450</v>
      </c>
      <c r="N10">
        <v>2</v>
      </c>
    </row>
    <row r="11" spans="1:14" x14ac:dyDescent="0.25">
      <c r="A11" t="s">
        <v>229</v>
      </c>
      <c r="B11" t="s">
        <v>1478</v>
      </c>
      <c r="C11" t="s">
        <v>1410</v>
      </c>
      <c r="D11" s="20">
        <v>45338</v>
      </c>
      <c r="E11" t="s">
        <v>35</v>
      </c>
      <c r="F11" t="s">
        <v>232</v>
      </c>
      <c r="G11" t="s">
        <v>231</v>
      </c>
      <c r="H11" t="s">
        <v>1424</v>
      </c>
      <c r="I11" t="s">
        <v>1462</v>
      </c>
      <c r="J11" t="s">
        <v>1432</v>
      </c>
      <c r="K11" t="s">
        <v>1438</v>
      </c>
      <c r="L11" t="s">
        <v>1449</v>
      </c>
      <c r="M11" t="s">
        <v>1450</v>
      </c>
      <c r="N11">
        <v>2</v>
      </c>
    </row>
    <row r="12" spans="1:14" x14ac:dyDescent="0.25">
      <c r="A12" t="s">
        <v>233</v>
      </c>
      <c r="B12" t="s">
        <v>1487</v>
      </c>
      <c r="C12" t="s">
        <v>1410</v>
      </c>
      <c r="D12" s="20">
        <v>45341</v>
      </c>
      <c r="E12" t="s">
        <v>40</v>
      </c>
      <c r="F12" t="s">
        <v>236</v>
      </c>
      <c r="G12" t="s">
        <v>237</v>
      </c>
      <c r="H12" t="s">
        <v>1424</v>
      </c>
      <c r="I12" t="s">
        <v>1462</v>
      </c>
      <c r="J12" t="s">
        <v>1432</v>
      </c>
      <c r="K12" t="s">
        <v>1438</v>
      </c>
      <c r="L12" t="s">
        <v>1449</v>
      </c>
      <c r="M12" t="s">
        <v>1450</v>
      </c>
      <c r="N12">
        <v>2</v>
      </c>
    </row>
    <row r="13" spans="1:14" x14ac:dyDescent="0.25">
      <c r="A13" t="s">
        <v>241</v>
      </c>
      <c r="B13" t="s">
        <v>1488</v>
      </c>
      <c r="C13" t="s">
        <v>1410</v>
      </c>
      <c r="D13" s="20">
        <v>45345</v>
      </c>
      <c r="E13" t="s">
        <v>20</v>
      </c>
      <c r="F13" t="s">
        <v>242</v>
      </c>
      <c r="G13" t="s">
        <v>243</v>
      </c>
      <c r="H13" t="s">
        <v>1424</v>
      </c>
      <c r="I13" t="s">
        <v>1462</v>
      </c>
      <c r="J13" t="s">
        <v>1430</v>
      </c>
      <c r="K13" t="s">
        <v>1438</v>
      </c>
      <c r="L13" t="s">
        <v>1449</v>
      </c>
      <c r="M13" t="s">
        <v>1450</v>
      </c>
      <c r="N13">
        <v>2</v>
      </c>
    </row>
    <row r="14" spans="1:14" x14ac:dyDescent="0.25">
      <c r="A14" t="s">
        <v>244</v>
      </c>
      <c r="B14" t="s">
        <v>1489</v>
      </c>
      <c r="C14" t="s">
        <v>1410</v>
      </c>
      <c r="D14" s="20">
        <v>45346</v>
      </c>
      <c r="E14" t="s">
        <v>83</v>
      </c>
      <c r="F14" t="s">
        <v>245</v>
      </c>
      <c r="G14" t="s">
        <v>87</v>
      </c>
      <c r="H14" t="s">
        <v>1424</v>
      </c>
      <c r="I14" t="s">
        <v>1462</v>
      </c>
      <c r="J14" t="s">
        <v>1432</v>
      </c>
      <c r="K14" t="s">
        <v>1438</v>
      </c>
      <c r="L14" t="s">
        <v>1449</v>
      </c>
      <c r="M14" t="s">
        <v>1450</v>
      </c>
      <c r="N14">
        <v>2</v>
      </c>
    </row>
    <row r="15" spans="1:14" x14ac:dyDescent="0.25">
      <c r="A15" t="s">
        <v>249</v>
      </c>
      <c r="B15" t="s">
        <v>1490</v>
      </c>
      <c r="C15" t="s">
        <v>1410</v>
      </c>
      <c r="D15" s="20">
        <v>45349</v>
      </c>
      <c r="E15" t="s">
        <v>248</v>
      </c>
      <c r="F15" t="s">
        <v>247</v>
      </c>
      <c r="G15" t="s">
        <v>246</v>
      </c>
      <c r="H15" t="s">
        <v>1424</v>
      </c>
      <c r="I15" t="s">
        <v>1462</v>
      </c>
      <c r="J15" t="s">
        <v>1432</v>
      </c>
      <c r="K15" t="s">
        <v>1438</v>
      </c>
      <c r="L15" t="s">
        <v>1449</v>
      </c>
      <c r="M15" t="s">
        <v>1450</v>
      </c>
      <c r="N15">
        <v>2</v>
      </c>
    </row>
    <row r="16" spans="1:14" x14ac:dyDescent="0.25">
      <c r="A16" t="s">
        <v>256</v>
      </c>
      <c r="B16" t="s">
        <v>1491</v>
      </c>
      <c r="C16" t="s">
        <v>24</v>
      </c>
      <c r="D16" s="20">
        <v>45352</v>
      </c>
      <c r="E16" t="s">
        <v>76</v>
      </c>
      <c r="F16" t="s">
        <v>257</v>
      </c>
      <c r="G16" t="s">
        <v>258</v>
      </c>
      <c r="H16" t="s">
        <v>1424</v>
      </c>
      <c r="I16" t="s">
        <v>1462</v>
      </c>
      <c r="J16" t="s">
        <v>1430</v>
      </c>
      <c r="K16" t="s">
        <v>1439</v>
      </c>
      <c r="L16" t="s">
        <v>1449</v>
      </c>
      <c r="M16" t="s">
        <v>1450</v>
      </c>
      <c r="N16">
        <v>3</v>
      </c>
    </row>
    <row r="17" spans="1:14" x14ac:dyDescent="0.25">
      <c r="A17" t="s">
        <v>259</v>
      </c>
      <c r="B17" t="s">
        <v>1492</v>
      </c>
      <c r="C17" t="s">
        <v>24</v>
      </c>
      <c r="D17" s="20">
        <v>45357</v>
      </c>
      <c r="E17" t="s">
        <v>11</v>
      </c>
      <c r="F17" t="s">
        <v>265</v>
      </c>
      <c r="G17" t="s">
        <v>264</v>
      </c>
      <c r="H17" t="s">
        <v>1424</v>
      </c>
      <c r="I17" t="s">
        <v>1462</v>
      </c>
      <c r="J17" t="s">
        <v>1432</v>
      </c>
      <c r="K17" t="s">
        <v>1439</v>
      </c>
      <c r="L17" t="s">
        <v>1449</v>
      </c>
      <c r="M17" t="s">
        <v>1450</v>
      </c>
      <c r="N17">
        <v>3</v>
      </c>
    </row>
    <row r="18" spans="1:14" x14ac:dyDescent="0.25">
      <c r="A18" t="s">
        <v>260</v>
      </c>
      <c r="B18" t="s">
        <v>1486</v>
      </c>
      <c r="C18" t="s">
        <v>24</v>
      </c>
      <c r="D18" s="20">
        <v>45358</v>
      </c>
      <c r="E18" t="s">
        <v>86</v>
      </c>
      <c r="F18" t="s">
        <v>266</v>
      </c>
      <c r="G18" t="s">
        <v>267</v>
      </c>
      <c r="H18" t="s">
        <v>1424</v>
      </c>
      <c r="I18" t="s">
        <v>1462</v>
      </c>
      <c r="J18" t="s">
        <v>1432</v>
      </c>
      <c r="K18" t="s">
        <v>1439</v>
      </c>
      <c r="L18" t="s">
        <v>1449</v>
      </c>
      <c r="M18" t="s">
        <v>1450</v>
      </c>
      <c r="N18">
        <v>3</v>
      </c>
    </row>
    <row r="19" spans="1:14" x14ac:dyDescent="0.25">
      <c r="A19" t="s">
        <v>268</v>
      </c>
      <c r="B19" t="s">
        <v>1493</v>
      </c>
      <c r="C19" t="s">
        <v>24</v>
      </c>
      <c r="D19" s="20">
        <v>45359</v>
      </c>
      <c r="E19" t="s">
        <v>269</v>
      </c>
      <c r="F19" t="s">
        <v>270</v>
      </c>
      <c r="G19" t="s">
        <v>271</v>
      </c>
      <c r="H19" t="s">
        <v>1424</v>
      </c>
      <c r="I19" t="s">
        <v>1462</v>
      </c>
      <c r="J19" t="s">
        <v>1430</v>
      </c>
      <c r="K19" t="s">
        <v>1439</v>
      </c>
      <c r="L19" t="s">
        <v>1449</v>
      </c>
      <c r="M19" t="s">
        <v>1450</v>
      </c>
      <c r="N19">
        <v>3</v>
      </c>
    </row>
    <row r="20" spans="1:14" x14ac:dyDescent="0.25">
      <c r="A20" t="s">
        <v>272</v>
      </c>
      <c r="B20" t="s">
        <v>1494</v>
      </c>
      <c r="C20" t="s">
        <v>24</v>
      </c>
      <c r="D20" s="20">
        <v>45360</v>
      </c>
      <c r="E20" t="s">
        <v>10</v>
      </c>
      <c r="F20" t="s">
        <v>279</v>
      </c>
      <c r="G20" t="s">
        <v>280</v>
      </c>
      <c r="H20" t="s">
        <v>1424</v>
      </c>
      <c r="I20" t="s">
        <v>1462</v>
      </c>
      <c r="J20" t="s">
        <v>1432</v>
      </c>
      <c r="K20" t="s">
        <v>1439</v>
      </c>
      <c r="L20" t="s">
        <v>1449</v>
      </c>
      <c r="M20" t="s">
        <v>1450</v>
      </c>
      <c r="N20">
        <v>3</v>
      </c>
    </row>
    <row r="21" spans="1:14" x14ac:dyDescent="0.25">
      <c r="A21" t="s">
        <v>281</v>
      </c>
      <c r="B21" t="s">
        <v>1495</v>
      </c>
      <c r="C21" t="s">
        <v>24</v>
      </c>
      <c r="D21" s="20">
        <v>45362</v>
      </c>
      <c r="E21" t="s">
        <v>99</v>
      </c>
      <c r="F21" t="s">
        <v>282</v>
      </c>
      <c r="G21" t="s">
        <v>283</v>
      </c>
      <c r="H21" t="s">
        <v>1424</v>
      </c>
      <c r="I21" t="s">
        <v>1462</v>
      </c>
      <c r="J21" t="s">
        <v>1432</v>
      </c>
      <c r="K21" t="s">
        <v>1439</v>
      </c>
      <c r="L21" t="s">
        <v>1449</v>
      </c>
      <c r="M21" t="s">
        <v>1450</v>
      </c>
      <c r="N21">
        <v>3</v>
      </c>
    </row>
    <row r="22" spans="1:14" x14ac:dyDescent="0.25">
      <c r="A22" t="s">
        <v>287</v>
      </c>
      <c r="B22" t="s">
        <v>1496</v>
      </c>
      <c r="C22" t="s">
        <v>24</v>
      </c>
      <c r="D22" s="20">
        <v>45364</v>
      </c>
      <c r="E22" t="s">
        <v>97</v>
      </c>
      <c r="F22" t="s">
        <v>288</v>
      </c>
      <c r="G22" t="s">
        <v>289</v>
      </c>
      <c r="H22" t="s">
        <v>1424</v>
      </c>
      <c r="I22" t="s">
        <v>1462</v>
      </c>
      <c r="J22" t="s">
        <v>1432</v>
      </c>
      <c r="K22" t="s">
        <v>1439</v>
      </c>
      <c r="L22" t="s">
        <v>1449</v>
      </c>
      <c r="M22" t="s">
        <v>1450</v>
      </c>
      <c r="N22">
        <v>3</v>
      </c>
    </row>
    <row r="23" spans="1:14" x14ac:dyDescent="0.25">
      <c r="A23" t="s">
        <v>290</v>
      </c>
      <c r="B23" t="s">
        <v>1497</v>
      </c>
      <c r="C23" t="s">
        <v>24</v>
      </c>
      <c r="D23" s="20">
        <v>45366</v>
      </c>
      <c r="E23" t="s">
        <v>99</v>
      </c>
      <c r="F23" t="s">
        <v>291</v>
      </c>
      <c r="G23" t="s">
        <v>292</v>
      </c>
      <c r="H23" t="s">
        <v>1424</v>
      </c>
      <c r="I23" t="s">
        <v>1462</v>
      </c>
      <c r="J23" t="s">
        <v>1432</v>
      </c>
      <c r="K23" t="s">
        <v>1439</v>
      </c>
      <c r="L23" t="s">
        <v>1449</v>
      </c>
      <c r="M23" t="s">
        <v>1450</v>
      </c>
      <c r="N23">
        <v>3</v>
      </c>
    </row>
    <row r="24" spans="1:14" x14ac:dyDescent="0.25">
      <c r="A24" t="s">
        <v>293</v>
      </c>
      <c r="B24" t="s">
        <v>1478</v>
      </c>
      <c r="C24" t="s">
        <v>24</v>
      </c>
      <c r="D24" s="20">
        <v>45367</v>
      </c>
      <c r="E24" t="s">
        <v>294</v>
      </c>
      <c r="F24" t="s">
        <v>295</v>
      </c>
      <c r="G24" t="s">
        <v>87</v>
      </c>
      <c r="H24" t="s">
        <v>1424</v>
      </c>
      <c r="I24" t="s">
        <v>1462</v>
      </c>
      <c r="J24" t="s">
        <v>1432</v>
      </c>
      <c r="K24" t="s">
        <v>1439</v>
      </c>
      <c r="L24" t="s">
        <v>1449</v>
      </c>
      <c r="M24" t="s">
        <v>1450</v>
      </c>
      <c r="N24">
        <v>3</v>
      </c>
    </row>
    <row r="25" spans="1:14" x14ac:dyDescent="0.25">
      <c r="A25" t="s">
        <v>309</v>
      </c>
      <c r="B25" t="s">
        <v>1498</v>
      </c>
      <c r="C25" t="s">
        <v>33</v>
      </c>
      <c r="D25" s="20">
        <v>45384</v>
      </c>
      <c r="E25" t="s">
        <v>315</v>
      </c>
      <c r="F25" t="s">
        <v>316</v>
      </c>
      <c r="G25" t="s">
        <v>317</v>
      </c>
      <c r="H25" t="s">
        <v>1424</v>
      </c>
      <c r="I25" t="s">
        <v>1462</v>
      </c>
      <c r="J25" t="s">
        <v>1432</v>
      </c>
      <c r="K25" t="s">
        <v>1440</v>
      </c>
      <c r="L25" t="s">
        <v>1449</v>
      </c>
      <c r="M25" t="s">
        <v>1451</v>
      </c>
      <c r="N25">
        <v>4</v>
      </c>
    </row>
    <row r="26" spans="1:14" x14ac:dyDescent="0.25">
      <c r="A26" t="s">
        <v>309</v>
      </c>
      <c r="B26" t="s">
        <v>1498</v>
      </c>
      <c r="C26" t="s">
        <v>33</v>
      </c>
      <c r="D26" s="20">
        <v>45384</v>
      </c>
      <c r="E26" t="s">
        <v>116</v>
      </c>
      <c r="F26" t="s">
        <v>322</v>
      </c>
      <c r="G26" t="s">
        <v>321</v>
      </c>
      <c r="H26" t="s">
        <v>1424</v>
      </c>
      <c r="I26" t="s">
        <v>1462</v>
      </c>
      <c r="J26" t="s">
        <v>1432</v>
      </c>
      <c r="K26" t="s">
        <v>1440</v>
      </c>
      <c r="L26" t="s">
        <v>1449</v>
      </c>
      <c r="M26" t="s">
        <v>1451</v>
      </c>
      <c r="N26">
        <v>4</v>
      </c>
    </row>
    <row r="27" spans="1:14" x14ac:dyDescent="0.25">
      <c r="A27" t="s">
        <v>382</v>
      </c>
      <c r="B27" t="s">
        <v>1492</v>
      </c>
      <c r="C27" t="s">
        <v>33</v>
      </c>
      <c r="D27" s="20">
        <v>45388</v>
      </c>
      <c r="E27" t="s">
        <v>383</v>
      </c>
      <c r="F27" t="s">
        <v>384</v>
      </c>
      <c r="G27" t="s">
        <v>385</v>
      </c>
      <c r="H27" t="s">
        <v>1424</v>
      </c>
      <c r="I27" t="s">
        <v>1462</v>
      </c>
      <c r="J27" t="s">
        <v>1432</v>
      </c>
      <c r="K27" t="s">
        <v>1440</v>
      </c>
      <c r="L27" t="s">
        <v>1449</v>
      </c>
      <c r="M27" t="s">
        <v>1451</v>
      </c>
      <c r="N27">
        <v>4</v>
      </c>
    </row>
    <row r="28" spans="1:14" x14ac:dyDescent="0.25">
      <c r="A28" t="s">
        <v>331</v>
      </c>
      <c r="B28" t="s">
        <v>1480</v>
      </c>
      <c r="C28" t="s">
        <v>33</v>
      </c>
      <c r="D28" s="20">
        <v>45402</v>
      </c>
      <c r="E28" t="s">
        <v>332</v>
      </c>
      <c r="F28" t="s">
        <v>333</v>
      </c>
      <c r="G28" t="s">
        <v>334</v>
      </c>
      <c r="H28" t="s">
        <v>1424</v>
      </c>
      <c r="I28" t="s">
        <v>1462</v>
      </c>
      <c r="J28" t="s">
        <v>1431</v>
      </c>
      <c r="K28" t="s">
        <v>1440</v>
      </c>
      <c r="L28" t="s">
        <v>1449</v>
      </c>
      <c r="M28" t="s">
        <v>1451</v>
      </c>
      <c r="N28">
        <v>4</v>
      </c>
    </row>
    <row r="29" spans="1:14" x14ac:dyDescent="0.25">
      <c r="A29" t="s">
        <v>346</v>
      </c>
      <c r="B29" t="s">
        <v>1491</v>
      </c>
      <c r="C29" t="s">
        <v>41</v>
      </c>
      <c r="D29" s="20">
        <v>45413</v>
      </c>
      <c r="E29" t="s">
        <v>11</v>
      </c>
      <c r="F29" t="s">
        <v>347</v>
      </c>
      <c r="G29" t="s">
        <v>348</v>
      </c>
      <c r="H29" t="s">
        <v>1424</v>
      </c>
      <c r="I29" t="s">
        <v>1462</v>
      </c>
      <c r="J29" t="s">
        <v>1432</v>
      </c>
      <c r="K29" t="s">
        <v>1441</v>
      </c>
      <c r="L29" t="s">
        <v>1449</v>
      </c>
      <c r="M29" t="s">
        <v>1451</v>
      </c>
      <c r="N29">
        <v>5</v>
      </c>
    </row>
    <row r="30" spans="1:14" x14ac:dyDescent="0.25">
      <c r="A30" t="s">
        <v>355</v>
      </c>
      <c r="B30" t="s">
        <v>1499</v>
      </c>
      <c r="C30" t="s">
        <v>41</v>
      </c>
      <c r="D30" s="20">
        <v>45415</v>
      </c>
      <c r="E30" t="s">
        <v>356</v>
      </c>
      <c r="F30" t="s">
        <v>357</v>
      </c>
      <c r="G30" t="s">
        <v>358</v>
      </c>
      <c r="H30" t="s">
        <v>1424</v>
      </c>
      <c r="I30" t="s">
        <v>1462</v>
      </c>
      <c r="J30" t="s">
        <v>1432</v>
      </c>
      <c r="K30" t="s">
        <v>1441</v>
      </c>
      <c r="L30" t="s">
        <v>1449</v>
      </c>
      <c r="M30" t="s">
        <v>1451</v>
      </c>
      <c r="N30">
        <v>5</v>
      </c>
    </row>
    <row r="31" spans="1:14" x14ac:dyDescent="0.25">
      <c r="A31" t="s">
        <v>359</v>
      </c>
      <c r="B31" t="s">
        <v>1500</v>
      </c>
      <c r="C31" t="s">
        <v>41</v>
      </c>
      <c r="D31" s="20">
        <v>45416</v>
      </c>
      <c r="E31" t="s">
        <v>360</v>
      </c>
      <c r="F31" t="s">
        <v>361</v>
      </c>
      <c r="G31" t="s">
        <v>362</v>
      </c>
      <c r="H31" t="s">
        <v>1424</v>
      </c>
      <c r="I31" t="s">
        <v>1462</v>
      </c>
      <c r="J31" t="s">
        <v>1432</v>
      </c>
      <c r="K31" t="s">
        <v>1441</v>
      </c>
      <c r="L31" t="s">
        <v>1449</v>
      </c>
      <c r="M31" t="s">
        <v>1451</v>
      </c>
      <c r="N31">
        <v>5</v>
      </c>
    </row>
    <row r="32" spans="1:14" x14ac:dyDescent="0.25">
      <c r="A32" t="s">
        <v>400</v>
      </c>
      <c r="B32" t="s">
        <v>1501</v>
      </c>
      <c r="C32" t="s">
        <v>41</v>
      </c>
      <c r="D32" s="20">
        <v>45429</v>
      </c>
      <c r="E32" t="s">
        <v>31</v>
      </c>
      <c r="F32" t="s">
        <v>401</v>
      </c>
      <c r="G32" t="s">
        <v>402</v>
      </c>
      <c r="H32" t="s">
        <v>1424</v>
      </c>
      <c r="I32" t="s">
        <v>1462</v>
      </c>
      <c r="J32" t="s">
        <v>1430</v>
      </c>
      <c r="K32" t="s">
        <v>1441</v>
      </c>
      <c r="L32" t="s">
        <v>1449</v>
      </c>
      <c r="M32" t="s">
        <v>1451</v>
      </c>
      <c r="N32">
        <v>5</v>
      </c>
    </row>
    <row r="33" spans="1:14" x14ac:dyDescent="0.25">
      <c r="A33" t="s">
        <v>400</v>
      </c>
      <c r="B33" t="s">
        <v>1501</v>
      </c>
      <c r="C33" t="s">
        <v>41</v>
      </c>
      <c r="D33" s="20">
        <v>45429</v>
      </c>
      <c r="E33" t="s">
        <v>5</v>
      </c>
      <c r="F33" t="s">
        <v>404</v>
      </c>
      <c r="G33" t="s">
        <v>405</v>
      </c>
      <c r="H33" t="s">
        <v>1424</v>
      </c>
      <c r="I33" t="s">
        <v>1462</v>
      </c>
      <c r="J33" t="s">
        <v>1432</v>
      </c>
      <c r="K33" t="s">
        <v>1441</v>
      </c>
      <c r="L33" t="s">
        <v>1449</v>
      </c>
      <c r="M33" t="s">
        <v>1451</v>
      </c>
      <c r="N33">
        <v>5</v>
      </c>
    </row>
    <row r="34" spans="1:14" x14ac:dyDescent="0.25">
      <c r="A34" t="s">
        <v>406</v>
      </c>
      <c r="B34" t="s">
        <v>1480</v>
      </c>
      <c r="C34" t="s">
        <v>41</v>
      </c>
      <c r="D34" s="20">
        <v>45432</v>
      </c>
      <c r="E34" t="s">
        <v>407</v>
      </c>
      <c r="F34" t="s">
        <v>408</v>
      </c>
      <c r="G34" t="s">
        <v>409</v>
      </c>
      <c r="H34" t="s">
        <v>1424</v>
      </c>
      <c r="I34" t="s">
        <v>1462</v>
      </c>
      <c r="J34" t="s">
        <v>1431</v>
      </c>
      <c r="K34" t="s">
        <v>1441</v>
      </c>
      <c r="L34" t="s">
        <v>1449</v>
      </c>
      <c r="M34" t="s">
        <v>1451</v>
      </c>
      <c r="N34">
        <v>5</v>
      </c>
    </row>
    <row r="35" spans="1:14" x14ac:dyDescent="0.25">
      <c r="A35" t="s">
        <v>406</v>
      </c>
      <c r="B35" t="s">
        <v>1480</v>
      </c>
      <c r="C35" t="s">
        <v>41</v>
      </c>
      <c r="D35" s="20">
        <v>45432</v>
      </c>
      <c r="E35" t="s">
        <v>11</v>
      </c>
      <c r="F35" t="s">
        <v>410</v>
      </c>
      <c r="G35" t="s">
        <v>411</v>
      </c>
      <c r="H35" t="s">
        <v>1424</v>
      </c>
      <c r="I35" t="s">
        <v>1462</v>
      </c>
      <c r="J35" t="s">
        <v>1432</v>
      </c>
      <c r="K35" t="s">
        <v>1441</v>
      </c>
      <c r="L35" t="s">
        <v>1449</v>
      </c>
      <c r="M35" t="s">
        <v>1451</v>
      </c>
      <c r="N35">
        <v>5</v>
      </c>
    </row>
    <row r="36" spans="1:14" x14ac:dyDescent="0.25">
      <c r="A36" t="s">
        <v>414</v>
      </c>
      <c r="B36" t="s">
        <v>1490</v>
      </c>
      <c r="C36" t="s">
        <v>41</v>
      </c>
      <c r="D36" s="20">
        <v>45439</v>
      </c>
      <c r="E36" t="s">
        <v>159</v>
      </c>
      <c r="F36" t="s">
        <v>420</v>
      </c>
      <c r="G36" t="s">
        <v>421</v>
      </c>
      <c r="H36" t="s">
        <v>1424</v>
      </c>
      <c r="I36" t="s">
        <v>1462</v>
      </c>
      <c r="J36" t="s">
        <v>1432</v>
      </c>
      <c r="K36" t="s">
        <v>1441</v>
      </c>
      <c r="L36" t="s">
        <v>1449</v>
      </c>
      <c r="M36" t="s">
        <v>1451</v>
      </c>
      <c r="N36">
        <v>5</v>
      </c>
    </row>
    <row r="37" spans="1:14" x14ac:dyDescent="0.25">
      <c r="A37" t="s">
        <v>442</v>
      </c>
      <c r="B37" t="s">
        <v>1502</v>
      </c>
      <c r="C37" t="s">
        <v>65</v>
      </c>
      <c r="D37" s="20">
        <v>45453</v>
      </c>
      <c r="E37" t="s">
        <v>155</v>
      </c>
      <c r="F37" t="s">
        <v>443</v>
      </c>
      <c r="G37" t="s">
        <v>444</v>
      </c>
      <c r="H37" t="s">
        <v>1424</v>
      </c>
      <c r="I37" t="s">
        <v>1462</v>
      </c>
      <c r="J37" t="s">
        <v>1430</v>
      </c>
      <c r="K37" t="s">
        <v>1442</v>
      </c>
      <c r="L37" t="s">
        <v>1449</v>
      </c>
      <c r="M37" t="s">
        <v>1451</v>
      </c>
      <c r="N37">
        <v>6</v>
      </c>
    </row>
    <row r="38" spans="1:14" x14ac:dyDescent="0.25">
      <c r="A38" t="s">
        <v>462</v>
      </c>
      <c r="B38" t="s">
        <v>1478</v>
      </c>
      <c r="C38" t="s">
        <v>65</v>
      </c>
      <c r="D38" s="20">
        <v>45459</v>
      </c>
      <c r="E38" t="s">
        <v>11</v>
      </c>
      <c r="F38" t="s">
        <v>463</v>
      </c>
      <c r="G38" t="s">
        <v>46</v>
      </c>
      <c r="H38" t="s">
        <v>1424</v>
      </c>
      <c r="I38" t="s">
        <v>1462</v>
      </c>
      <c r="J38" t="s">
        <v>1432</v>
      </c>
      <c r="K38" t="s">
        <v>1442</v>
      </c>
      <c r="L38" t="s">
        <v>1449</v>
      </c>
      <c r="M38" t="s">
        <v>1451</v>
      </c>
      <c r="N38">
        <v>6</v>
      </c>
    </row>
    <row r="39" spans="1:14" x14ac:dyDescent="0.25">
      <c r="A39" t="s">
        <v>469</v>
      </c>
      <c r="B39" t="s">
        <v>1487</v>
      </c>
      <c r="C39" t="s">
        <v>65</v>
      </c>
      <c r="D39" s="20">
        <v>45462</v>
      </c>
      <c r="E39" t="s">
        <v>470</v>
      </c>
      <c r="F39" t="s">
        <v>471</v>
      </c>
      <c r="G39" t="s">
        <v>472</v>
      </c>
      <c r="H39" t="s">
        <v>1424</v>
      </c>
      <c r="I39" t="s">
        <v>1462</v>
      </c>
      <c r="J39" t="s">
        <v>1432</v>
      </c>
      <c r="K39" t="s">
        <v>1442</v>
      </c>
      <c r="L39" t="s">
        <v>1449</v>
      </c>
      <c r="M39" t="s">
        <v>1451</v>
      </c>
      <c r="N39">
        <v>6</v>
      </c>
    </row>
    <row r="40" spans="1:14" x14ac:dyDescent="0.25">
      <c r="A40" t="s">
        <v>469</v>
      </c>
      <c r="B40" t="s">
        <v>1487</v>
      </c>
      <c r="C40" t="s">
        <v>65</v>
      </c>
      <c r="D40" s="20">
        <v>45462</v>
      </c>
      <c r="E40" t="s">
        <v>473</v>
      </c>
      <c r="F40" t="s">
        <v>474</v>
      </c>
      <c r="G40" t="s">
        <v>475</v>
      </c>
      <c r="H40" t="s">
        <v>1424</v>
      </c>
      <c r="I40" t="s">
        <v>1462</v>
      </c>
      <c r="J40" t="s">
        <v>1432</v>
      </c>
      <c r="K40" t="s">
        <v>1442</v>
      </c>
      <c r="L40" t="s">
        <v>1449</v>
      </c>
      <c r="M40" t="s">
        <v>1451</v>
      </c>
      <c r="N40">
        <v>6</v>
      </c>
    </row>
    <row r="41" spans="1:14" x14ac:dyDescent="0.25">
      <c r="A41" t="s">
        <v>536</v>
      </c>
      <c r="B41" t="s">
        <v>1492</v>
      </c>
      <c r="C41" t="s">
        <v>70</v>
      </c>
      <c r="D41" s="20">
        <v>45479</v>
      </c>
      <c r="E41" t="s">
        <v>537</v>
      </c>
      <c r="F41" t="s">
        <v>538</v>
      </c>
      <c r="G41" t="s">
        <v>539</v>
      </c>
      <c r="H41" t="s">
        <v>1424</v>
      </c>
      <c r="I41" t="s">
        <v>1462</v>
      </c>
      <c r="J41" t="s">
        <v>1432</v>
      </c>
      <c r="K41" t="s">
        <v>1443</v>
      </c>
      <c r="L41" t="s">
        <v>1449</v>
      </c>
      <c r="M41" t="s">
        <v>1452</v>
      </c>
      <c r="N41">
        <v>7</v>
      </c>
    </row>
    <row r="42" spans="1:14" x14ac:dyDescent="0.25">
      <c r="A42" t="s">
        <v>515</v>
      </c>
      <c r="B42" t="s">
        <v>1502</v>
      </c>
      <c r="C42" t="s">
        <v>70</v>
      </c>
      <c r="D42" s="20">
        <v>45483</v>
      </c>
      <c r="E42" t="s">
        <v>516</v>
      </c>
      <c r="F42" t="s">
        <v>517</v>
      </c>
      <c r="G42" t="s">
        <v>518</v>
      </c>
      <c r="H42" t="s">
        <v>1424</v>
      </c>
      <c r="I42" t="s">
        <v>1462</v>
      </c>
      <c r="J42" t="s">
        <v>1432</v>
      </c>
      <c r="K42" t="s">
        <v>1443</v>
      </c>
      <c r="L42" t="s">
        <v>1449</v>
      </c>
      <c r="M42" t="s">
        <v>1452</v>
      </c>
      <c r="N42">
        <v>7</v>
      </c>
    </row>
    <row r="43" spans="1:14" x14ac:dyDescent="0.25">
      <c r="A43" t="s">
        <v>515</v>
      </c>
      <c r="B43" t="s">
        <v>1502</v>
      </c>
      <c r="C43" t="s">
        <v>70</v>
      </c>
      <c r="D43" s="20">
        <v>45483</v>
      </c>
      <c r="E43" t="s">
        <v>74</v>
      </c>
      <c r="F43" t="s">
        <v>520</v>
      </c>
      <c r="G43" t="s">
        <v>519</v>
      </c>
      <c r="H43" t="s">
        <v>1424</v>
      </c>
      <c r="I43" t="s">
        <v>1462</v>
      </c>
      <c r="J43" t="s">
        <v>1430</v>
      </c>
      <c r="K43" t="s">
        <v>1443</v>
      </c>
      <c r="L43" t="s">
        <v>1449</v>
      </c>
      <c r="M43" t="s">
        <v>1452</v>
      </c>
      <c r="N43">
        <v>7</v>
      </c>
    </row>
    <row r="44" spans="1:14" x14ac:dyDescent="0.25">
      <c r="A44" t="s">
        <v>521</v>
      </c>
      <c r="B44" t="s">
        <v>1495</v>
      </c>
      <c r="C44" t="s">
        <v>70</v>
      </c>
      <c r="D44" s="20">
        <v>45484</v>
      </c>
      <c r="E44" t="s">
        <v>129</v>
      </c>
      <c r="F44" t="s">
        <v>522</v>
      </c>
      <c r="G44" t="s">
        <v>523</v>
      </c>
      <c r="H44" t="s">
        <v>1424</v>
      </c>
      <c r="I44" t="s">
        <v>1462</v>
      </c>
      <c r="J44" t="s">
        <v>1432</v>
      </c>
      <c r="K44" t="s">
        <v>1443</v>
      </c>
      <c r="L44" t="s">
        <v>1449</v>
      </c>
      <c r="M44" t="s">
        <v>1452</v>
      </c>
      <c r="N44">
        <v>7</v>
      </c>
    </row>
    <row r="45" spans="1:14" x14ac:dyDescent="0.25">
      <c r="A45" t="s">
        <v>525</v>
      </c>
      <c r="B45" t="s">
        <v>1497</v>
      </c>
      <c r="C45" t="s">
        <v>70</v>
      </c>
      <c r="D45" s="20">
        <v>45488</v>
      </c>
      <c r="E45" t="s">
        <v>529</v>
      </c>
      <c r="F45" t="s">
        <v>528</v>
      </c>
      <c r="G45" t="s">
        <v>527</v>
      </c>
      <c r="H45" t="s">
        <v>1424</v>
      </c>
      <c r="I45" t="s">
        <v>1462</v>
      </c>
      <c r="J45" t="s">
        <v>1432</v>
      </c>
      <c r="K45" t="s">
        <v>1443</v>
      </c>
      <c r="L45" t="s">
        <v>1449</v>
      </c>
      <c r="M45" t="s">
        <v>1452</v>
      </c>
      <c r="N45">
        <v>7</v>
      </c>
    </row>
    <row r="46" spans="1:14" x14ac:dyDescent="0.25">
      <c r="A46" t="s">
        <v>530</v>
      </c>
      <c r="B46" t="s">
        <v>1501</v>
      </c>
      <c r="C46" t="s">
        <v>70</v>
      </c>
      <c r="D46" s="20">
        <v>45490</v>
      </c>
      <c r="E46" t="s">
        <v>294</v>
      </c>
      <c r="F46" t="s">
        <v>531</v>
      </c>
      <c r="G46" t="s">
        <v>532</v>
      </c>
      <c r="H46" t="s">
        <v>1424</v>
      </c>
      <c r="I46" t="s">
        <v>1462</v>
      </c>
      <c r="J46" t="s">
        <v>1432</v>
      </c>
      <c r="K46" t="s">
        <v>1443</v>
      </c>
      <c r="L46" t="s">
        <v>1449</v>
      </c>
      <c r="M46" t="s">
        <v>1452</v>
      </c>
      <c r="N46">
        <v>7</v>
      </c>
    </row>
    <row r="47" spans="1:14" x14ac:dyDescent="0.25">
      <c r="A47" t="s">
        <v>547</v>
      </c>
      <c r="B47" t="s">
        <v>1503</v>
      </c>
      <c r="C47" t="s">
        <v>70</v>
      </c>
      <c r="D47" s="20">
        <v>45495</v>
      </c>
      <c r="E47" t="s">
        <v>549</v>
      </c>
      <c r="F47" t="s">
        <v>550</v>
      </c>
      <c r="G47" t="s">
        <v>551</v>
      </c>
      <c r="H47" t="s">
        <v>1424</v>
      </c>
      <c r="I47" t="s">
        <v>1462</v>
      </c>
      <c r="J47" t="s">
        <v>1432</v>
      </c>
      <c r="K47" t="s">
        <v>1443</v>
      </c>
      <c r="L47" t="s">
        <v>1449</v>
      </c>
      <c r="M47" t="s">
        <v>1452</v>
      </c>
      <c r="N47">
        <v>7</v>
      </c>
    </row>
    <row r="48" spans="1:14" x14ac:dyDescent="0.25">
      <c r="A48" t="s">
        <v>547</v>
      </c>
      <c r="B48" t="s">
        <v>1503</v>
      </c>
      <c r="C48" t="s">
        <v>70</v>
      </c>
      <c r="D48" s="20">
        <v>45495</v>
      </c>
      <c r="E48" t="s">
        <v>5</v>
      </c>
      <c r="F48" t="s">
        <v>548</v>
      </c>
      <c r="G48" t="s">
        <v>56</v>
      </c>
      <c r="H48" t="s">
        <v>1424</v>
      </c>
      <c r="I48" t="s">
        <v>1462</v>
      </c>
      <c r="J48" t="s">
        <v>1432</v>
      </c>
      <c r="K48" t="s">
        <v>1443</v>
      </c>
      <c r="L48" t="s">
        <v>1449</v>
      </c>
      <c r="M48" t="s">
        <v>1452</v>
      </c>
      <c r="N48">
        <v>7</v>
      </c>
    </row>
    <row r="49" spans="1:14" x14ac:dyDescent="0.25">
      <c r="A49" t="s">
        <v>557</v>
      </c>
      <c r="B49" t="s">
        <v>1489</v>
      </c>
      <c r="C49" t="s">
        <v>70</v>
      </c>
      <c r="D49" s="20">
        <v>45497</v>
      </c>
      <c r="E49" t="s">
        <v>558</v>
      </c>
      <c r="F49" t="s">
        <v>559</v>
      </c>
      <c r="G49" t="s">
        <v>560</v>
      </c>
      <c r="H49" t="s">
        <v>1424</v>
      </c>
      <c r="I49" t="s">
        <v>1462</v>
      </c>
      <c r="J49" t="s">
        <v>1430</v>
      </c>
      <c r="K49" t="s">
        <v>1443</v>
      </c>
      <c r="L49" t="s">
        <v>1449</v>
      </c>
      <c r="M49" t="s">
        <v>1452</v>
      </c>
      <c r="N49">
        <v>7</v>
      </c>
    </row>
    <row r="50" spans="1:14" x14ac:dyDescent="0.25">
      <c r="A50" t="s">
        <v>568</v>
      </c>
      <c r="B50" t="s">
        <v>1504</v>
      </c>
      <c r="C50" t="s">
        <v>70</v>
      </c>
      <c r="D50" s="20">
        <v>45501</v>
      </c>
      <c r="E50" t="s">
        <v>21</v>
      </c>
      <c r="F50" t="s">
        <v>569</v>
      </c>
      <c r="G50" t="s">
        <v>570</v>
      </c>
      <c r="H50" t="s">
        <v>1424</v>
      </c>
      <c r="I50" t="s">
        <v>1462</v>
      </c>
      <c r="J50" t="s">
        <v>1432</v>
      </c>
      <c r="K50" t="s">
        <v>1443</v>
      </c>
      <c r="L50" t="s">
        <v>1449</v>
      </c>
      <c r="M50" t="s">
        <v>1452</v>
      </c>
      <c r="N50">
        <v>7</v>
      </c>
    </row>
    <row r="51" spans="1:14" x14ac:dyDescent="0.25">
      <c r="A51" t="s">
        <v>580</v>
      </c>
      <c r="B51" t="s">
        <v>1505</v>
      </c>
      <c r="C51" t="s">
        <v>70</v>
      </c>
      <c r="D51" s="20">
        <v>45504</v>
      </c>
      <c r="E51" t="s">
        <v>1506</v>
      </c>
      <c r="F51" t="s">
        <v>582</v>
      </c>
      <c r="G51" t="s">
        <v>583</v>
      </c>
      <c r="H51" t="s">
        <v>1424</v>
      </c>
      <c r="I51" t="s">
        <v>1462</v>
      </c>
      <c r="J51" t="s">
        <v>1432</v>
      </c>
      <c r="K51" t="s">
        <v>1443</v>
      </c>
      <c r="L51" t="s">
        <v>1449</v>
      </c>
      <c r="M51" t="s">
        <v>1452</v>
      </c>
      <c r="N51">
        <v>7</v>
      </c>
    </row>
    <row r="52" spans="1:14" x14ac:dyDescent="0.25">
      <c r="A52" t="s">
        <v>592</v>
      </c>
      <c r="B52" t="s">
        <v>1498</v>
      </c>
      <c r="C52" t="s">
        <v>82</v>
      </c>
      <c r="D52" s="20">
        <v>45506</v>
      </c>
      <c r="E52" t="s">
        <v>593</v>
      </c>
      <c r="F52" t="s">
        <v>594</v>
      </c>
      <c r="G52" t="s">
        <v>595</v>
      </c>
      <c r="H52" t="s">
        <v>1424</v>
      </c>
      <c r="I52" t="s">
        <v>1462</v>
      </c>
      <c r="J52" t="s">
        <v>1432</v>
      </c>
      <c r="K52" t="s">
        <v>1444</v>
      </c>
      <c r="L52" t="s">
        <v>1449</v>
      </c>
      <c r="M52" t="s">
        <v>1452</v>
      </c>
      <c r="N52">
        <v>8</v>
      </c>
    </row>
    <row r="53" spans="1:14" x14ac:dyDescent="0.25">
      <c r="A53" t="s">
        <v>592</v>
      </c>
      <c r="B53" t="s">
        <v>1498</v>
      </c>
      <c r="C53" t="s">
        <v>82</v>
      </c>
      <c r="D53" s="20">
        <v>45506</v>
      </c>
      <c r="E53" t="s">
        <v>600</v>
      </c>
      <c r="F53" t="s">
        <v>601</v>
      </c>
      <c r="G53" t="s">
        <v>523</v>
      </c>
      <c r="H53" t="s">
        <v>1424</v>
      </c>
      <c r="I53" t="s">
        <v>1462</v>
      </c>
      <c r="J53" t="s">
        <v>1432</v>
      </c>
      <c r="K53" t="s">
        <v>1444</v>
      </c>
      <c r="L53" t="s">
        <v>1449</v>
      </c>
      <c r="M53" t="s">
        <v>1452</v>
      </c>
      <c r="N53">
        <v>8</v>
      </c>
    </row>
    <row r="54" spans="1:14" x14ac:dyDescent="0.25">
      <c r="A54" t="s">
        <v>613</v>
      </c>
      <c r="B54" t="s">
        <v>1487</v>
      </c>
      <c r="C54" t="s">
        <v>82</v>
      </c>
      <c r="D54" s="20">
        <v>45523</v>
      </c>
      <c r="E54" t="s">
        <v>74</v>
      </c>
      <c r="F54" t="s">
        <v>620</v>
      </c>
      <c r="G54" t="s">
        <v>621</v>
      </c>
      <c r="H54" t="s">
        <v>1424</v>
      </c>
      <c r="I54" t="s">
        <v>1462</v>
      </c>
      <c r="J54" t="s">
        <v>1432</v>
      </c>
      <c r="K54" t="s">
        <v>1444</v>
      </c>
      <c r="L54" t="s">
        <v>1449</v>
      </c>
      <c r="M54" t="s">
        <v>1452</v>
      </c>
      <c r="N54">
        <v>8</v>
      </c>
    </row>
    <row r="55" spans="1:14" x14ac:dyDescent="0.25">
      <c r="A55" t="s">
        <v>631</v>
      </c>
      <c r="B55" t="s">
        <v>1505</v>
      </c>
      <c r="C55" t="s">
        <v>82</v>
      </c>
      <c r="D55" s="20">
        <v>45535</v>
      </c>
      <c r="E55" t="s">
        <v>632</v>
      </c>
      <c r="F55" t="s">
        <v>633</v>
      </c>
      <c r="G55" t="s">
        <v>634</v>
      </c>
      <c r="H55" t="s">
        <v>1424</v>
      </c>
      <c r="I55" t="s">
        <v>1462</v>
      </c>
      <c r="J55" t="s">
        <v>1432</v>
      </c>
      <c r="K55" t="s">
        <v>1444</v>
      </c>
      <c r="L55" t="s">
        <v>1449</v>
      </c>
      <c r="M55" t="s">
        <v>1452</v>
      </c>
      <c r="N55">
        <v>8</v>
      </c>
    </row>
    <row r="56" spans="1:14" x14ac:dyDescent="0.25">
      <c r="A56" t="s">
        <v>649</v>
      </c>
      <c r="B56" t="s">
        <v>1486</v>
      </c>
      <c r="C56" t="s">
        <v>90</v>
      </c>
      <c r="D56" s="20">
        <v>45542</v>
      </c>
      <c r="E56" t="s">
        <v>6</v>
      </c>
      <c r="F56" t="s">
        <v>650</v>
      </c>
      <c r="G56" t="s">
        <v>87</v>
      </c>
      <c r="H56" t="s">
        <v>1424</v>
      </c>
      <c r="I56" t="s">
        <v>1462</v>
      </c>
      <c r="J56" t="s">
        <v>1432</v>
      </c>
      <c r="K56" t="s">
        <v>1445</v>
      </c>
      <c r="L56" t="s">
        <v>1449</v>
      </c>
      <c r="M56" t="s">
        <v>1452</v>
      </c>
      <c r="N56">
        <v>9</v>
      </c>
    </row>
    <row r="57" spans="1:14" x14ac:dyDescent="0.25">
      <c r="A57" t="s">
        <v>651</v>
      </c>
      <c r="B57" t="s">
        <v>1494</v>
      </c>
      <c r="C57" t="s">
        <v>90</v>
      </c>
      <c r="D57" s="20">
        <v>45544</v>
      </c>
      <c r="E57" t="s">
        <v>11</v>
      </c>
      <c r="F57" t="s">
        <v>652</v>
      </c>
      <c r="G57" t="s">
        <v>653</v>
      </c>
      <c r="H57" t="s">
        <v>1424</v>
      </c>
      <c r="I57" t="s">
        <v>1462</v>
      </c>
      <c r="J57" t="s">
        <v>1432</v>
      </c>
      <c r="K57" t="s">
        <v>1445</v>
      </c>
      <c r="L57" t="s">
        <v>1449</v>
      </c>
      <c r="M57" t="s">
        <v>1452</v>
      </c>
      <c r="N57">
        <v>9</v>
      </c>
    </row>
    <row r="58" spans="1:14" x14ac:dyDescent="0.25">
      <c r="A58" t="s">
        <v>680</v>
      </c>
      <c r="B58" t="s">
        <v>1507</v>
      </c>
      <c r="C58" t="s">
        <v>90</v>
      </c>
      <c r="D58" s="20">
        <v>45553</v>
      </c>
      <c r="E58" t="s">
        <v>11</v>
      </c>
      <c r="F58" t="s">
        <v>681</v>
      </c>
      <c r="G58" t="s">
        <v>682</v>
      </c>
      <c r="H58" t="s">
        <v>1424</v>
      </c>
      <c r="I58" t="s">
        <v>1462</v>
      </c>
      <c r="J58" t="s">
        <v>1432</v>
      </c>
      <c r="K58" t="s">
        <v>1445</v>
      </c>
      <c r="L58" t="s">
        <v>1449</v>
      </c>
      <c r="M58" t="s">
        <v>1452</v>
      </c>
      <c r="N58">
        <v>9</v>
      </c>
    </row>
    <row r="59" spans="1:14" x14ac:dyDescent="0.25">
      <c r="A59" t="s">
        <v>684</v>
      </c>
      <c r="B59" t="s">
        <v>1487</v>
      </c>
      <c r="C59" t="s">
        <v>90</v>
      </c>
      <c r="D59" s="20">
        <v>45554</v>
      </c>
      <c r="E59" t="s">
        <v>42</v>
      </c>
      <c r="F59" t="s">
        <v>685</v>
      </c>
      <c r="G59" t="s">
        <v>46</v>
      </c>
      <c r="H59" t="s">
        <v>1424</v>
      </c>
      <c r="I59" t="s">
        <v>1462</v>
      </c>
      <c r="J59" t="s">
        <v>1432</v>
      </c>
      <c r="K59" t="s">
        <v>1445</v>
      </c>
      <c r="L59" t="s">
        <v>1449</v>
      </c>
      <c r="M59" t="s">
        <v>1452</v>
      </c>
      <c r="N59">
        <v>9</v>
      </c>
    </row>
    <row r="60" spans="1:14" x14ac:dyDescent="0.25">
      <c r="A60" t="s">
        <v>684</v>
      </c>
      <c r="B60" t="s">
        <v>1487</v>
      </c>
      <c r="C60" t="s">
        <v>90</v>
      </c>
      <c r="D60" s="20">
        <v>45554</v>
      </c>
      <c r="E60" t="s">
        <v>688</v>
      </c>
      <c r="F60" t="s">
        <v>687</v>
      </c>
      <c r="G60" t="s">
        <v>686</v>
      </c>
      <c r="H60" t="s">
        <v>1424</v>
      </c>
      <c r="I60" t="s">
        <v>1462</v>
      </c>
      <c r="J60" t="s">
        <v>1432</v>
      </c>
      <c r="K60" t="s">
        <v>1445</v>
      </c>
      <c r="L60" t="s">
        <v>1449</v>
      </c>
      <c r="M60" t="s">
        <v>1452</v>
      </c>
      <c r="N60">
        <v>9</v>
      </c>
    </row>
    <row r="61" spans="1:14" x14ac:dyDescent="0.25">
      <c r="A61" t="s">
        <v>719</v>
      </c>
      <c r="B61" t="s">
        <v>1490</v>
      </c>
      <c r="C61" t="s">
        <v>90</v>
      </c>
      <c r="D61" s="20">
        <v>45562</v>
      </c>
      <c r="E61" t="s">
        <v>722</v>
      </c>
      <c r="F61" t="s">
        <v>723</v>
      </c>
      <c r="G61" t="s">
        <v>724</v>
      </c>
      <c r="H61" t="s">
        <v>1424</v>
      </c>
      <c r="I61" t="s">
        <v>1462</v>
      </c>
      <c r="J61" t="s">
        <v>1432</v>
      </c>
      <c r="K61" t="s">
        <v>1445</v>
      </c>
      <c r="L61" t="s">
        <v>1449</v>
      </c>
      <c r="M61" t="s">
        <v>1452</v>
      </c>
      <c r="N61">
        <v>9</v>
      </c>
    </row>
    <row r="62" spans="1:14" x14ac:dyDescent="0.25">
      <c r="A62" t="s">
        <v>698</v>
      </c>
      <c r="B62" t="s">
        <v>1508</v>
      </c>
      <c r="C62" t="s">
        <v>90</v>
      </c>
      <c r="D62" s="20">
        <v>45565</v>
      </c>
      <c r="E62" t="s">
        <v>7</v>
      </c>
      <c r="F62" t="s">
        <v>699</v>
      </c>
      <c r="G62" t="s">
        <v>700</v>
      </c>
      <c r="H62" t="s">
        <v>1424</v>
      </c>
      <c r="I62" t="s">
        <v>1462</v>
      </c>
      <c r="J62" t="s">
        <v>1430</v>
      </c>
      <c r="K62" t="s">
        <v>1445</v>
      </c>
      <c r="L62" t="s">
        <v>1449</v>
      </c>
      <c r="M62" t="s">
        <v>1452</v>
      </c>
      <c r="N62">
        <v>9</v>
      </c>
    </row>
    <row r="63" spans="1:14" x14ac:dyDescent="0.25">
      <c r="A63" t="s">
        <v>701</v>
      </c>
      <c r="B63" t="s">
        <v>1491</v>
      </c>
      <c r="C63" t="s">
        <v>94</v>
      </c>
      <c r="D63" s="20">
        <v>45566</v>
      </c>
      <c r="E63" t="s">
        <v>294</v>
      </c>
      <c r="F63" t="s">
        <v>702</v>
      </c>
      <c r="G63" t="s">
        <v>703</v>
      </c>
      <c r="H63" t="s">
        <v>1424</v>
      </c>
      <c r="I63" t="s">
        <v>1462</v>
      </c>
      <c r="J63" t="s">
        <v>1432</v>
      </c>
      <c r="K63" t="s">
        <v>1446</v>
      </c>
      <c r="L63" t="s">
        <v>1449</v>
      </c>
      <c r="M63" t="s">
        <v>1453</v>
      </c>
      <c r="N63">
        <v>10</v>
      </c>
    </row>
    <row r="64" spans="1:14" x14ac:dyDescent="0.25">
      <c r="A64" t="s">
        <v>704</v>
      </c>
      <c r="B64" t="s">
        <v>1499</v>
      </c>
      <c r="C64" t="s">
        <v>94</v>
      </c>
      <c r="D64" s="20">
        <v>45568</v>
      </c>
      <c r="E64" t="s">
        <v>111</v>
      </c>
      <c r="F64" t="s">
        <v>705</v>
      </c>
      <c r="G64" t="s">
        <v>706</v>
      </c>
      <c r="H64" t="s">
        <v>1424</v>
      </c>
      <c r="I64" t="s">
        <v>1462</v>
      </c>
      <c r="J64" t="s">
        <v>1432</v>
      </c>
      <c r="K64" t="s">
        <v>1446</v>
      </c>
      <c r="L64" t="s">
        <v>1449</v>
      </c>
      <c r="M64" t="s">
        <v>1453</v>
      </c>
      <c r="N64">
        <v>10</v>
      </c>
    </row>
    <row r="65" spans="1:14" x14ac:dyDescent="0.25">
      <c r="A65" t="s">
        <v>735</v>
      </c>
      <c r="B65" t="s">
        <v>1488</v>
      </c>
      <c r="C65" t="s">
        <v>94</v>
      </c>
      <c r="D65" s="20">
        <v>45588</v>
      </c>
      <c r="E65" t="s">
        <v>48</v>
      </c>
      <c r="F65" t="s">
        <v>736</v>
      </c>
      <c r="G65" t="s">
        <v>737</v>
      </c>
      <c r="H65" t="s">
        <v>1424</v>
      </c>
      <c r="I65" t="s">
        <v>1462</v>
      </c>
      <c r="J65" t="s">
        <v>1432</v>
      </c>
      <c r="K65" t="s">
        <v>1446</v>
      </c>
      <c r="L65" t="s">
        <v>1449</v>
      </c>
      <c r="M65" t="s">
        <v>1453</v>
      </c>
      <c r="N65">
        <v>10</v>
      </c>
    </row>
    <row r="66" spans="1:14" x14ac:dyDescent="0.25">
      <c r="A66" t="s">
        <v>741</v>
      </c>
      <c r="B66" t="s">
        <v>1504</v>
      </c>
      <c r="C66" t="s">
        <v>94</v>
      </c>
      <c r="D66" s="20">
        <v>45593</v>
      </c>
      <c r="E66" t="s">
        <v>85</v>
      </c>
      <c r="F66" t="s">
        <v>742</v>
      </c>
      <c r="G66" t="s">
        <v>743</v>
      </c>
      <c r="H66" t="s">
        <v>1424</v>
      </c>
      <c r="I66" t="s">
        <v>1462</v>
      </c>
      <c r="J66" t="s">
        <v>1432</v>
      </c>
      <c r="K66" t="s">
        <v>1446</v>
      </c>
      <c r="L66" t="s">
        <v>1449</v>
      </c>
      <c r="M66" t="s">
        <v>1453</v>
      </c>
      <c r="N66">
        <v>10</v>
      </c>
    </row>
    <row r="67" spans="1:14" x14ac:dyDescent="0.25">
      <c r="A67" t="s">
        <v>744</v>
      </c>
      <c r="B67" t="s">
        <v>1500</v>
      </c>
      <c r="C67" t="s">
        <v>1411</v>
      </c>
      <c r="D67" s="20">
        <v>45600</v>
      </c>
      <c r="E67" t="s">
        <v>750</v>
      </c>
      <c r="F67" t="s">
        <v>749</v>
      </c>
      <c r="G67" t="s">
        <v>747</v>
      </c>
      <c r="H67" t="s">
        <v>1424</v>
      </c>
      <c r="I67" t="s">
        <v>1462</v>
      </c>
      <c r="J67" t="s">
        <v>1430</v>
      </c>
      <c r="K67" t="s">
        <v>1447</v>
      </c>
      <c r="L67" t="s">
        <v>1449</v>
      </c>
      <c r="M67" t="s">
        <v>1453</v>
      </c>
      <c r="N67">
        <v>11</v>
      </c>
    </row>
    <row r="68" spans="1:14" x14ac:dyDescent="0.25">
      <c r="A68" t="s">
        <v>762</v>
      </c>
      <c r="B68" t="s">
        <v>1494</v>
      </c>
      <c r="C68" t="s">
        <v>1411</v>
      </c>
      <c r="D68" s="20">
        <v>45605</v>
      </c>
      <c r="E68" t="s">
        <v>45</v>
      </c>
      <c r="F68" t="s">
        <v>763</v>
      </c>
      <c r="G68" t="s">
        <v>766</v>
      </c>
      <c r="H68" t="s">
        <v>1424</v>
      </c>
      <c r="I68" t="s">
        <v>1462</v>
      </c>
      <c r="J68" t="s">
        <v>1432</v>
      </c>
      <c r="K68" t="s">
        <v>1447</v>
      </c>
      <c r="L68" t="s">
        <v>1449</v>
      </c>
      <c r="M68" t="s">
        <v>1453</v>
      </c>
      <c r="N68">
        <v>11</v>
      </c>
    </row>
    <row r="69" spans="1:14" x14ac:dyDescent="0.25">
      <c r="A69" t="s">
        <v>764</v>
      </c>
      <c r="B69" t="s">
        <v>1502</v>
      </c>
      <c r="C69" t="s">
        <v>1411</v>
      </c>
      <c r="D69" s="20">
        <v>45606</v>
      </c>
      <c r="E69" t="s">
        <v>11</v>
      </c>
      <c r="F69" t="s">
        <v>765</v>
      </c>
      <c r="G69" t="s">
        <v>767</v>
      </c>
      <c r="H69" t="s">
        <v>1424</v>
      </c>
      <c r="I69" t="s">
        <v>1462</v>
      </c>
      <c r="J69" t="s">
        <v>1432</v>
      </c>
      <c r="K69" t="s">
        <v>1447</v>
      </c>
      <c r="L69" t="s">
        <v>1449</v>
      </c>
      <c r="M69" t="s">
        <v>1453</v>
      </c>
      <c r="N69">
        <v>11</v>
      </c>
    </row>
    <row r="70" spans="1:14" x14ac:dyDescent="0.25">
      <c r="A70" t="s">
        <v>756</v>
      </c>
      <c r="B70" t="s">
        <v>1495</v>
      </c>
      <c r="C70" t="s">
        <v>1411</v>
      </c>
      <c r="D70" s="20">
        <v>45607</v>
      </c>
      <c r="E70" t="s">
        <v>66</v>
      </c>
      <c r="F70" t="s">
        <v>760</v>
      </c>
      <c r="G70" t="s">
        <v>761</v>
      </c>
      <c r="H70" t="s">
        <v>1424</v>
      </c>
      <c r="I70" t="s">
        <v>1462</v>
      </c>
      <c r="J70" t="s">
        <v>1432</v>
      </c>
      <c r="K70" t="s">
        <v>1447</v>
      </c>
      <c r="L70" t="s">
        <v>1449</v>
      </c>
      <c r="M70" t="s">
        <v>1453</v>
      </c>
      <c r="N70">
        <v>11</v>
      </c>
    </row>
    <row r="71" spans="1:14" x14ac:dyDescent="0.25">
      <c r="A71" t="s">
        <v>774</v>
      </c>
      <c r="B71" t="s">
        <v>1478</v>
      </c>
      <c r="C71" t="s">
        <v>1411</v>
      </c>
      <c r="D71" s="20">
        <v>45612</v>
      </c>
      <c r="E71" t="s">
        <v>778</v>
      </c>
      <c r="F71" t="s">
        <v>779</v>
      </c>
      <c r="G71" t="s">
        <v>780</v>
      </c>
      <c r="H71" t="s">
        <v>1424</v>
      </c>
      <c r="I71" t="s">
        <v>1462</v>
      </c>
      <c r="J71" t="s">
        <v>1431</v>
      </c>
      <c r="K71" t="s">
        <v>1447</v>
      </c>
      <c r="L71" t="s">
        <v>1449</v>
      </c>
      <c r="M71" t="s">
        <v>1453</v>
      </c>
      <c r="N71">
        <v>11</v>
      </c>
    </row>
    <row r="72" spans="1:14" x14ac:dyDescent="0.25">
      <c r="A72" t="s">
        <v>807</v>
      </c>
      <c r="B72" t="s">
        <v>1495</v>
      </c>
      <c r="C72" t="s">
        <v>1412</v>
      </c>
      <c r="D72" s="20">
        <v>45637</v>
      </c>
      <c r="E72" t="s">
        <v>52</v>
      </c>
      <c r="F72" t="s">
        <v>813</v>
      </c>
      <c r="G72" t="s">
        <v>87</v>
      </c>
      <c r="H72" t="s">
        <v>1424</v>
      </c>
      <c r="I72" t="s">
        <v>1462</v>
      </c>
      <c r="J72" t="s">
        <v>1432</v>
      </c>
      <c r="K72" t="s">
        <v>1448</v>
      </c>
      <c r="L72" t="s">
        <v>1449</v>
      </c>
      <c r="M72" t="s">
        <v>1453</v>
      </c>
      <c r="N72">
        <v>12</v>
      </c>
    </row>
    <row r="73" spans="1:14" x14ac:dyDescent="0.25">
      <c r="A73" t="s">
        <v>822</v>
      </c>
      <c r="B73" t="s">
        <v>1480</v>
      </c>
      <c r="C73" t="s">
        <v>1412</v>
      </c>
      <c r="D73" s="20">
        <v>45646</v>
      </c>
      <c r="E73" t="s">
        <v>98</v>
      </c>
      <c r="F73" t="s">
        <v>823</v>
      </c>
      <c r="G73" t="s">
        <v>653</v>
      </c>
      <c r="H73" t="s">
        <v>1424</v>
      </c>
      <c r="I73" t="s">
        <v>1462</v>
      </c>
      <c r="J73" t="s">
        <v>1432</v>
      </c>
      <c r="K73" t="s">
        <v>1448</v>
      </c>
      <c r="L73" t="s">
        <v>1449</v>
      </c>
      <c r="M73" t="s">
        <v>1453</v>
      </c>
      <c r="N73">
        <v>12</v>
      </c>
    </row>
    <row r="74" spans="1:14" x14ac:dyDescent="0.25">
      <c r="A74" t="s">
        <v>826</v>
      </c>
      <c r="B74" t="s">
        <v>1509</v>
      </c>
      <c r="C74" t="s">
        <v>1412</v>
      </c>
      <c r="D74" s="20">
        <v>45647</v>
      </c>
      <c r="E74" t="s">
        <v>66</v>
      </c>
      <c r="F74" t="s">
        <v>825</v>
      </c>
      <c r="G74" t="s">
        <v>824</v>
      </c>
      <c r="H74" t="s">
        <v>1424</v>
      </c>
      <c r="I74" t="s">
        <v>1462</v>
      </c>
      <c r="J74" t="s">
        <v>1430</v>
      </c>
      <c r="K74" t="s">
        <v>1448</v>
      </c>
      <c r="L74" t="s">
        <v>1449</v>
      </c>
      <c r="M74" t="s">
        <v>1453</v>
      </c>
      <c r="N74">
        <v>12</v>
      </c>
    </row>
    <row r="75" spans="1:14" x14ac:dyDescent="0.25">
      <c r="A75" t="s">
        <v>853</v>
      </c>
      <c r="B75" t="s">
        <v>1483</v>
      </c>
      <c r="C75" t="s">
        <v>25</v>
      </c>
      <c r="D75" s="20">
        <v>45683</v>
      </c>
      <c r="E75" t="s">
        <v>854</v>
      </c>
      <c r="F75" t="s">
        <v>855</v>
      </c>
      <c r="G75" t="s">
        <v>856</v>
      </c>
      <c r="H75" t="s">
        <v>1424</v>
      </c>
      <c r="I75" t="s">
        <v>1462</v>
      </c>
      <c r="J75" t="s">
        <v>1430</v>
      </c>
      <c r="K75" t="s">
        <v>1437</v>
      </c>
      <c r="L75" t="s">
        <v>1454</v>
      </c>
      <c r="M75" t="s">
        <v>1450</v>
      </c>
      <c r="N75">
        <v>1</v>
      </c>
    </row>
    <row r="76" spans="1:14" x14ac:dyDescent="0.25">
      <c r="A76" t="s">
        <v>875</v>
      </c>
      <c r="B76" t="s">
        <v>1495</v>
      </c>
      <c r="C76" t="s">
        <v>1410</v>
      </c>
      <c r="D76" s="20">
        <v>45699</v>
      </c>
      <c r="E76" t="s">
        <v>876</v>
      </c>
      <c r="F76" t="s">
        <v>877</v>
      </c>
      <c r="G76" t="s">
        <v>878</v>
      </c>
      <c r="H76" t="s">
        <v>1424</v>
      </c>
      <c r="I76" t="s">
        <v>1462</v>
      </c>
      <c r="J76" t="s">
        <v>1432</v>
      </c>
      <c r="K76" t="s">
        <v>1438</v>
      </c>
      <c r="L76" t="s">
        <v>1454</v>
      </c>
      <c r="M76" t="s">
        <v>1450</v>
      </c>
      <c r="N76">
        <v>2</v>
      </c>
    </row>
    <row r="77" spans="1:14" x14ac:dyDescent="0.25">
      <c r="A77" t="s">
        <v>883</v>
      </c>
      <c r="B77" t="s">
        <v>1496</v>
      </c>
      <c r="C77" t="s">
        <v>1410</v>
      </c>
      <c r="D77" s="20">
        <v>45701</v>
      </c>
      <c r="E77" t="s">
        <v>11</v>
      </c>
      <c r="F77" t="s">
        <v>884</v>
      </c>
      <c r="G77" t="s">
        <v>885</v>
      </c>
      <c r="H77" t="s">
        <v>1424</v>
      </c>
      <c r="I77" t="s">
        <v>1462</v>
      </c>
      <c r="J77" t="s">
        <v>1432</v>
      </c>
      <c r="K77" t="s">
        <v>1438</v>
      </c>
      <c r="L77" t="s">
        <v>1454</v>
      </c>
      <c r="M77" t="s">
        <v>1450</v>
      </c>
      <c r="N77">
        <v>2</v>
      </c>
    </row>
    <row r="78" spans="1:14" x14ac:dyDescent="0.25">
      <c r="A78" t="s">
        <v>886</v>
      </c>
      <c r="B78" t="s">
        <v>1497</v>
      </c>
      <c r="C78" t="s">
        <v>1410</v>
      </c>
      <c r="D78" s="20">
        <v>45703</v>
      </c>
      <c r="E78" t="s">
        <v>887</v>
      </c>
      <c r="F78" t="s">
        <v>888</v>
      </c>
      <c r="G78" t="s">
        <v>889</v>
      </c>
      <c r="H78" t="s">
        <v>1424</v>
      </c>
      <c r="I78" t="s">
        <v>1462</v>
      </c>
      <c r="J78" t="s">
        <v>1432</v>
      </c>
      <c r="K78" t="s">
        <v>1438</v>
      </c>
      <c r="L78" t="s">
        <v>1454</v>
      </c>
      <c r="M78" t="s">
        <v>1450</v>
      </c>
      <c r="N78">
        <v>2</v>
      </c>
    </row>
    <row r="79" spans="1:14" x14ac:dyDescent="0.25">
      <c r="A79" t="s">
        <v>896</v>
      </c>
      <c r="B79" t="s">
        <v>1507</v>
      </c>
      <c r="C79" t="s">
        <v>1410</v>
      </c>
      <c r="D79" s="20">
        <v>45706</v>
      </c>
      <c r="E79" t="s">
        <v>55</v>
      </c>
      <c r="F79" t="s">
        <v>900</v>
      </c>
      <c r="G79" t="s">
        <v>899</v>
      </c>
      <c r="H79" t="s">
        <v>1424</v>
      </c>
      <c r="I79" t="s">
        <v>1462</v>
      </c>
      <c r="J79" t="s">
        <v>1430</v>
      </c>
      <c r="K79" t="s">
        <v>1438</v>
      </c>
      <c r="L79" t="s">
        <v>1454</v>
      </c>
      <c r="M79" t="s">
        <v>1450</v>
      </c>
      <c r="N79">
        <v>2</v>
      </c>
    </row>
    <row r="80" spans="1:14" x14ac:dyDescent="0.25">
      <c r="A80" t="s">
        <v>919</v>
      </c>
      <c r="B80" t="s">
        <v>1499</v>
      </c>
      <c r="C80" t="s">
        <v>24</v>
      </c>
      <c r="D80" s="20">
        <v>45719</v>
      </c>
      <c r="E80" t="s">
        <v>349</v>
      </c>
      <c r="F80" t="s">
        <v>920</v>
      </c>
      <c r="G80" t="s">
        <v>921</v>
      </c>
      <c r="H80" t="s">
        <v>1424</v>
      </c>
      <c r="I80" t="s">
        <v>1462</v>
      </c>
      <c r="J80" t="s">
        <v>1431</v>
      </c>
      <c r="K80" t="s">
        <v>1439</v>
      </c>
      <c r="L80" t="s">
        <v>1454</v>
      </c>
      <c r="M80" t="s">
        <v>1450</v>
      </c>
      <c r="N80">
        <v>3</v>
      </c>
    </row>
    <row r="81" spans="1:14" x14ac:dyDescent="0.25">
      <c r="A81" t="s">
        <v>926</v>
      </c>
      <c r="B81" t="s">
        <v>1510</v>
      </c>
      <c r="C81" t="s">
        <v>24</v>
      </c>
      <c r="D81" s="20">
        <v>45721</v>
      </c>
      <c r="E81" t="s">
        <v>840</v>
      </c>
      <c r="F81" t="s">
        <v>927</v>
      </c>
      <c r="G81" t="s">
        <v>928</v>
      </c>
      <c r="H81" t="s">
        <v>1424</v>
      </c>
      <c r="I81" t="s">
        <v>1462</v>
      </c>
      <c r="J81" t="s">
        <v>1432</v>
      </c>
      <c r="K81" t="s">
        <v>1439</v>
      </c>
      <c r="L81" t="s">
        <v>1454</v>
      </c>
      <c r="M81" t="s">
        <v>1450</v>
      </c>
      <c r="N81">
        <v>3</v>
      </c>
    </row>
    <row r="82" spans="1:14" x14ac:dyDescent="0.25">
      <c r="A82" t="s">
        <v>929</v>
      </c>
      <c r="B82" t="s">
        <v>1492</v>
      </c>
      <c r="C82" t="s">
        <v>24</v>
      </c>
      <c r="D82" s="20">
        <v>45722</v>
      </c>
      <c r="E82" t="s">
        <v>973</v>
      </c>
      <c r="F82" t="s">
        <v>930</v>
      </c>
      <c r="G82" t="s">
        <v>931</v>
      </c>
      <c r="H82" t="s">
        <v>1424</v>
      </c>
      <c r="I82" t="s">
        <v>1462</v>
      </c>
      <c r="J82" t="s">
        <v>1432</v>
      </c>
      <c r="K82" t="s">
        <v>1439</v>
      </c>
      <c r="L82" t="s">
        <v>1454</v>
      </c>
      <c r="M82" t="s">
        <v>1450</v>
      </c>
      <c r="N82">
        <v>3</v>
      </c>
    </row>
    <row r="83" spans="1:14" x14ac:dyDescent="0.25">
      <c r="A83" t="s">
        <v>934</v>
      </c>
      <c r="B83" t="s">
        <v>1502</v>
      </c>
      <c r="C83" t="s">
        <v>24</v>
      </c>
      <c r="D83" s="20">
        <v>45726</v>
      </c>
      <c r="E83" t="s">
        <v>96</v>
      </c>
      <c r="F83" t="s">
        <v>939</v>
      </c>
      <c r="G83" t="s">
        <v>940</v>
      </c>
      <c r="H83" t="s">
        <v>1424</v>
      </c>
      <c r="I83" t="s">
        <v>1462</v>
      </c>
      <c r="J83" t="s">
        <v>1431</v>
      </c>
      <c r="K83" t="s">
        <v>1439</v>
      </c>
      <c r="L83" t="s">
        <v>1454</v>
      </c>
      <c r="M83" t="s">
        <v>1450</v>
      </c>
      <c r="N83">
        <v>3</v>
      </c>
    </row>
    <row r="84" spans="1:14" x14ac:dyDescent="0.25">
      <c r="A84" t="s">
        <v>941</v>
      </c>
      <c r="B84" t="s">
        <v>1477</v>
      </c>
      <c r="C84" t="s">
        <v>24</v>
      </c>
      <c r="D84" s="20">
        <v>45728</v>
      </c>
      <c r="E84" t="s">
        <v>69</v>
      </c>
      <c r="F84" t="s">
        <v>942</v>
      </c>
      <c r="G84" t="s">
        <v>944</v>
      </c>
      <c r="H84" t="s">
        <v>1424</v>
      </c>
      <c r="I84" t="s">
        <v>1462</v>
      </c>
      <c r="J84" t="s">
        <v>1432</v>
      </c>
      <c r="K84" t="s">
        <v>1439</v>
      </c>
      <c r="L84" t="s">
        <v>1454</v>
      </c>
      <c r="M84" t="s">
        <v>1450</v>
      </c>
      <c r="N84">
        <v>3</v>
      </c>
    </row>
    <row r="85" spans="1:14" x14ac:dyDescent="0.25">
      <c r="A85" t="s">
        <v>975</v>
      </c>
      <c r="B85" t="s">
        <v>1511</v>
      </c>
      <c r="C85" t="s">
        <v>24</v>
      </c>
      <c r="D85" s="20">
        <v>45730</v>
      </c>
      <c r="E85" t="s">
        <v>31</v>
      </c>
      <c r="F85" t="s">
        <v>976</v>
      </c>
      <c r="G85" t="s">
        <v>977</v>
      </c>
      <c r="H85" t="s">
        <v>1424</v>
      </c>
      <c r="I85" t="s">
        <v>1462</v>
      </c>
      <c r="J85" t="s">
        <v>1432</v>
      </c>
      <c r="K85" t="s">
        <v>1439</v>
      </c>
      <c r="L85" t="s">
        <v>1454</v>
      </c>
      <c r="M85" t="s">
        <v>1450</v>
      </c>
      <c r="N85">
        <v>3</v>
      </c>
    </row>
    <row r="86" spans="1:14" x14ac:dyDescent="0.25">
      <c r="A86" t="s">
        <v>955</v>
      </c>
      <c r="B86" t="s">
        <v>1503</v>
      </c>
      <c r="C86" t="s">
        <v>24</v>
      </c>
      <c r="D86" s="20">
        <v>45738</v>
      </c>
      <c r="E86" t="s">
        <v>35</v>
      </c>
      <c r="F86" t="s">
        <v>956</v>
      </c>
      <c r="G86" t="s">
        <v>957</v>
      </c>
      <c r="H86" t="s">
        <v>1424</v>
      </c>
      <c r="I86" t="s">
        <v>1462</v>
      </c>
      <c r="J86" t="s">
        <v>1432</v>
      </c>
      <c r="K86" t="s">
        <v>1439</v>
      </c>
      <c r="L86" t="s">
        <v>1454</v>
      </c>
      <c r="M86" t="s">
        <v>1450</v>
      </c>
      <c r="N86">
        <v>3</v>
      </c>
    </row>
    <row r="87" spans="1:14" x14ac:dyDescent="0.25">
      <c r="A87" t="s">
        <v>978</v>
      </c>
      <c r="B87" t="s">
        <v>1503</v>
      </c>
      <c r="C87" t="s">
        <v>33</v>
      </c>
      <c r="D87" s="20">
        <v>45769</v>
      </c>
      <c r="E87" t="s">
        <v>108</v>
      </c>
      <c r="F87" t="s">
        <v>979</v>
      </c>
      <c r="G87" t="s">
        <v>980</v>
      </c>
      <c r="H87" t="s">
        <v>1424</v>
      </c>
      <c r="I87" t="s">
        <v>1462</v>
      </c>
      <c r="J87" t="s">
        <v>1432</v>
      </c>
      <c r="K87" t="s">
        <v>1440</v>
      </c>
      <c r="L87" t="s">
        <v>1454</v>
      </c>
      <c r="M87" t="s">
        <v>1451</v>
      </c>
      <c r="N87">
        <v>4</v>
      </c>
    </row>
    <row r="88" spans="1:14" x14ac:dyDescent="0.25">
      <c r="A88" t="s">
        <v>983</v>
      </c>
      <c r="B88" t="s">
        <v>1512</v>
      </c>
      <c r="C88" t="s">
        <v>33</v>
      </c>
      <c r="D88" s="20">
        <v>45772</v>
      </c>
      <c r="E88" t="s">
        <v>102</v>
      </c>
      <c r="F88" t="s">
        <v>982</v>
      </c>
      <c r="G88" t="s">
        <v>981</v>
      </c>
      <c r="H88" t="s">
        <v>1424</v>
      </c>
      <c r="I88" t="s">
        <v>1462</v>
      </c>
      <c r="J88" t="s">
        <v>1432</v>
      </c>
      <c r="K88" t="s">
        <v>1440</v>
      </c>
      <c r="L88" t="s">
        <v>1454</v>
      </c>
      <c r="M88" t="s">
        <v>1451</v>
      </c>
      <c r="N88">
        <v>4</v>
      </c>
    </row>
    <row r="89" spans="1:14" x14ac:dyDescent="0.25">
      <c r="A89" t="s">
        <v>984</v>
      </c>
      <c r="B89" t="s">
        <v>1508</v>
      </c>
      <c r="C89" t="s">
        <v>33</v>
      </c>
      <c r="D89" s="20">
        <v>45777</v>
      </c>
      <c r="E89" t="s">
        <v>987</v>
      </c>
      <c r="F89" t="s">
        <v>988</v>
      </c>
      <c r="G89" t="s">
        <v>989</v>
      </c>
      <c r="H89" t="s">
        <v>1424</v>
      </c>
      <c r="I89" t="s">
        <v>1462</v>
      </c>
      <c r="J89" t="s">
        <v>1432</v>
      </c>
      <c r="K89" t="s">
        <v>1440</v>
      </c>
      <c r="L89" t="s">
        <v>1454</v>
      </c>
      <c r="M89" t="s">
        <v>1451</v>
      </c>
      <c r="N89">
        <v>4</v>
      </c>
    </row>
    <row r="90" spans="1:14" x14ac:dyDescent="0.25">
      <c r="A90" t="s">
        <v>984</v>
      </c>
      <c r="B90" t="s">
        <v>1508</v>
      </c>
      <c r="C90" t="s">
        <v>33</v>
      </c>
      <c r="D90" s="20">
        <v>45777</v>
      </c>
      <c r="E90" t="s">
        <v>67</v>
      </c>
      <c r="F90" t="s">
        <v>985</v>
      </c>
      <c r="G90" t="s">
        <v>986</v>
      </c>
      <c r="H90" t="s">
        <v>1424</v>
      </c>
      <c r="I90" t="s">
        <v>1462</v>
      </c>
      <c r="J90" t="s">
        <v>1432</v>
      </c>
      <c r="K90" t="s">
        <v>1440</v>
      </c>
      <c r="L90" t="s">
        <v>1454</v>
      </c>
      <c r="M90" t="s">
        <v>1451</v>
      </c>
      <c r="N90">
        <v>4</v>
      </c>
    </row>
    <row r="91" spans="1:14" x14ac:dyDescent="0.25">
      <c r="A91" t="s">
        <v>995</v>
      </c>
      <c r="B91" t="s">
        <v>1494</v>
      </c>
      <c r="C91" t="s">
        <v>41</v>
      </c>
      <c r="D91" s="20">
        <v>45786</v>
      </c>
      <c r="E91" t="s">
        <v>99</v>
      </c>
      <c r="F91" t="s">
        <v>994</v>
      </c>
      <c r="G91" t="s">
        <v>993</v>
      </c>
      <c r="H91" t="s">
        <v>1424</v>
      </c>
      <c r="I91" t="s">
        <v>1462</v>
      </c>
      <c r="J91" t="s">
        <v>1432</v>
      </c>
      <c r="K91" t="s">
        <v>1441</v>
      </c>
      <c r="L91" t="s">
        <v>1454</v>
      </c>
      <c r="M91" t="s">
        <v>1451</v>
      </c>
      <c r="N91">
        <v>5</v>
      </c>
    </row>
    <row r="92" spans="1:14" x14ac:dyDescent="0.25">
      <c r="A92" t="s">
        <v>1001</v>
      </c>
      <c r="B92" t="s">
        <v>1496</v>
      </c>
      <c r="C92" t="s">
        <v>41</v>
      </c>
      <c r="D92" s="20">
        <v>45790</v>
      </c>
      <c r="E92" t="s">
        <v>21</v>
      </c>
      <c r="F92" t="s">
        <v>1000</v>
      </c>
      <c r="G92" t="s">
        <v>999</v>
      </c>
      <c r="H92" t="s">
        <v>1424</v>
      </c>
      <c r="I92" t="s">
        <v>1462</v>
      </c>
      <c r="J92" t="s">
        <v>1430</v>
      </c>
      <c r="K92" t="s">
        <v>1441</v>
      </c>
      <c r="L92" t="s">
        <v>1454</v>
      </c>
      <c r="M92" t="s">
        <v>1451</v>
      </c>
      <c r="N92">
        <v>5</v>
      </c>
    </row>
    <row r="93" spans="1:14" x14ac:dyDescent="0.25">
      <c r="A93" t="s">
        <v>1012</v>
      </c>
      <c r="B93" t="s">
        <v>1487</v>
      </c>
      <c r="C93" t="s">
        <v>41</v>
      </c>
      <c r="D93" s="20">
        <v>45796</v>
      </c>
      <c r="E93" t="s">
        <v>645</v>
      </c>
      <c r="F93" t="s">
        <v>1013</v>
      </c>
      <c r="G93" t="s">
        <v>1014</v>
      </c>
      <c r="H93" t="s">
        <v>1424</v>
      </c>
      <c r="I93" t="s">
        <v>1462</v>
      </c>
      <c r="J93" t="s">
        <v>1432</v>
      </c>
      <c r="K93" t="s">
        <v>1441</v>
      </c>
      <c r="L93" t="s">
        <v>1454</v>
      </c>
      <c r="M93" t="s">
        <v>1451</v>
      </c>
      <c r="N93">
        <v>5</v>
      </c>
    </row>
    <row r="94" spans="1:14" x14ac:dyDescent="0.25">
      <c r="A94" t="s">
        <v>1021</v>
      </c>
      <c r="B94" t="s">
        <v>1483</v>
      </c>
      <c r="C94" t="s">
        <v>41</v>
      </c>
      <c r="D94" s="20">
        <v>45803</v>
      </c>
      <c r="E94" t="s">
        <v>1026</v>
      </c>
      <c r="F94" t="s">
        <v>1027</v>
      </c>
      <c r="G94" t="s">
        <v>1028</v>
      </c>
      <c r="H94" t="s">
        <v>1424</v>
      </c>
      <c r="I94" t="s">
        <v>1462</v>
      </c>
      <c r="J94" t="s">
        <v>1432</v>
      </c>
      <c r="K94" t="s">
        <v>1441</v>
      </c>
      <c r="L94" t="s">
        <v>1454</v>
      </c>
      <c r="M94" t="s">
        <v>1451</v>
      </c>
      <c r="N94">
        <v>5</v>
      </c>
    </row>
    <row r="95" spans="1:14" x14ac:dyDescent="0.25">
      <c r="A95" t="s">
        <v>1031</v>
      </c>
      <c r="B95" t="s">
        <v>1513</v>
      </c>
      <c r="C95" t="s">
        <v>41</v>
      </c>
      <c r="D95" s="20">
        <v>45806</v>
      </c>
      <c r="E95" t="s">
        <v>52</v>
      </c>
      <c r="F95" t="s">
        <v>1069</v>
      </c>
      <c r="G95" t="s">
        <v>1070</v>
      </c>
      <c r="H95" t="s">
        <v>1424</v>
      </c>
      <c r="I95" t="s">
        <v>1462</v>
      </c>
      <c r="J95" t="s">
        <v>1432</v>
      </c>
      <c r="K95" t="s">
        <v>1441</v>
      </c>
      <c r="L95" t="s">
        <v>1454</v>
      </c>
      <c r="M95" t="s">
        <v>1451</v>
      </c>
      <c r="N95">
        <v>5</v>
      </c>
    </row>
    <row r="96" spans="1:14" x14ac:dyDescent="0.25">
      <c r="A96" t="s">
        <v>1032</v>
      </c>
      <c r="B96" t="s">
        <v>1508</v>
      </c>
      <c r="C96" t="s">
        <v>41</v>
      </c>
      <c r="D96" s="20">
        <v>45807</v>
      </c>
      <c r="E96" t="s">
        <v>17</v>
      </c>
      <c r="F96" t="s">
        <v>1035</v>
      </c>
      <c r="G96" t="s">
        <v>653</v>
      </c>
      <c r="H96" t="s">
        <v>1424</v>
      </c>
      <c r="I96" t="s">
        <v>1462</v>
      </c>
      <c r="J96" t="s">
        <v>1432</v>
      </c>
      <c r="K96" t="s">
        <v>1441</v>
      </c>
      <c r="L96" t="s">
        <v>1454</v>
      </c>
      <c r="M96" t="s">
        <v>1451</v>
      </c>
      <c r="N96">
        <v>5</v>
      </c>
    </row>
    <row r="97" spans="1:14" x14ac:dyDescent="0.25">
      <c r="A97" t="s">
        <v>1044</v>
      </c>
      <c r="B97" t="s">
        <v>1486</v>
      </c>
      <c r="C97" t="s">
        <v>65</v>
      </c>
      <c r="D97" s="20">
        <v>45815</v>
      </c>
      <c r="E97" t="s">
        <v>81</v>
      </c>
      <c r="F97" t="s">
        <v>1043</v>
      </c>
      <c r="G97" t="s">
        <v>1042</v>
      </c>
      <c r="H97" t="s">
        <v>1424</v>
      </c>
      <c r="I97" t="s">
        <v>1462</v>
      </c>
      <c r="J97" t="s">
        <v>1432</v>
      </c>
      <c r="K97" t="s">
        <v>1442</v>
      </c>
      <c r="L97" t="s">
        <v>1454</v>
      </c>
      <c r="M97" t="s">
        <v>1451</v>
      </c>
      <c r="N97">
        <v>6</v>
      </c>
    </row>
    <row r="98" spans="1:14" x14ac:dyDescent="0.25">
      <c r="A98" t="s">
        <v>1060</v>
      </c>
      <c r="B98" t="s">
        <v>1488</v>
      </c>
      <c r="C98" t="s">
        <v>65</v>
      </c>
      <c r="D98" s="20">
        <v>45831</v>
      </c>
      <c r="E98" t="s">
        <v>68</v>
      </c>
      <c r="F98" t="s">
        <v>1065</v>
      </c>
      <c r="G98" t="s">
        <v>1064</v>
      </c>
      <c r="H98" t="s">
        <v>1424</v>
      </c>
      <c r="I98" t="s">
        <v>1462</v>
      </c>
      <c r="J98" t="s">
        <v>1432</v>
      </c>
      <c r="K98" t="s">
        <v>1442</v>
      </c>
      <c r="L98" t="s">
        <v>1454</v>
      </c>
      <c r="M98" t="s">
        <v>1451</v>
      </c>
      <c r="N98">
        <v>6</v>
      </c>
    </row>
    <row r="99" spans="1:14" x14ac:dyDescent="0.25">
      <c r="A99" t="s">
        <v>1071</v>
      </c>
      <c r="B99" t="s">
        <v>1490</v>
      </c>
      <c r="C99" t="s">
        <v>65</v>
      </c>
      <c r="D99" s="20">
        <v>45835</v>
      </c>
      <c r="E99" t="s">
        <v>1072</v>
      </c>
      <c r="F99" t="s">
        <v>1118</v>
      </c>
      <c r="G99" t="s">
        <v>1073</v>
      </c>
      <c r="H99" t="s">
        <v>1424</v>
      </c>
      <c r="I99" t="s">
        <v>1462</v>
      </c>
      <c r="J99" t="s">
        <v>1431</v>
      </c>
      <c r="K99" t="s">
        <v>1442</v>
      </c>
      <c r="L99" t="s">
        <v>1454</v>
      </c>
      <c r="M99" t="s">
        <v>1451</v>
      </c>
      <c r="N99">
        <v>6</v>
      </c>
    </row>
    <row r="100" spans="1:14" x14ac:dyDescent="0.25">
      <c r="A100" t="s">
        <v>1079</v>
      </c>
      <c r="B100" t="s">
        <v>1508</v>
      </c>
      <c r="C100" t="s">
        <v>65</v>
      </c>
      <c r="D100" s="20">
        <v>45838</v>
      </c>
      <c r="E100" t="s">
        <v>31</v>
      </c>
      <c r="F100" t="s">
        <v>1083</v>
      </c>
      <c r="G100" t="s">
        <v>1082</v>
      </c>
      <c r="H100" t="s">
        <v>1424</v>
      </c>
      <c r="I100" t="s">
        <v>1462</v>
      </c>
      <c r="J100" t="s">
        <v>1432</v>
      </c>
      <c r="K100" t="s">
        <v>1442</v>
      </c>
      <c r="L100" t="s">
        <v>1454</v>
      </c>
      <c r="M100" t="s">
        <v>1451</v>
      </c>
      <c r="N100">
        <v>6</v>
      </c>
    </row>
    <row r="101" spans="1:14" x14ac:dyDescent="0.25">
      <c r="A101" t="s">
        <v>1090</v>
      </c>
      <c r="B101" t="s">
        <v>1491</v>
      </c>
      <c r="C101" t="s">
        <v>70</v>
      </c>
      <c r="D101" s="20">
        <v>45839</v>
      </c>
      <c r="E101" t="s">
        <v>92</v>
      </c>
      <c r="F101" t="s">
        <v>1094</v>
      </c>
      <c r="G101" t="s">
        <v>1093</v>
      </c>
      <c r="H101" t="s">
        <v>1424</v>
      </c>
      <c r="I101" t="s">
        <v>1462</v>
      </c>
      <c r="J101" t="s">
        <v>1431</v>
      </c>
      <c r="K101" t="s">
        <v>1443</v>
      </c>
      <c r="L101" t="s">
        <v>1454</v>
      </c>
      <c r="M101" t="s">
        <v>1452</v>
      </c>
      <c r="N101">
        <v>7</v>
      </c>
    </row>
    <row r="102" spans="1:14" x14ac:dyDescent="0.25">
      <c r="A102" t="s">
        <v>1115</v>
      </c>
      <c r="B102" t="s">
        <v>1497</v>
      </c>
      <c r="C102" t="s">
        <v>70</v>
      </c>
      <c r="D102" s="20">
        <v>45853</v>
      </c>
      <c r="E102" t="s">
        <v>812</v>
      </c>
      <c r="F102" t="s">
        <v>1117</v>
      </c>
      <c r="G102" t="s">
        <v>1116</v>
      </c>
      <c r="H102" t="s">
        <v>1424</v>
      </c>
      <c r="I102" t="s">
        <v>1462</v>
      </c>
      <c r="J102" t="s">
        <v>1432</v>
      </c>
      <c r="K102" t="s">
        <v>1443</v>
      </c>
      <c r="L102" t="s">
        <v>1454</v>
      </c>
      <c r="M102" t="s">
        <v>1452</v>
      </c>
      <c r="N102">
        <v>7</v>
      </c>
    </row>
    <row r="103" spans="1:14" x14ac:dyDescent="0.25">
      <c r="A103" t="s">
        <v>1133</v>
      </c>
      <c r="B103" t="s">
        <v>1509</v>
      </c>
      <c r="C103" t="s">
        <v>70</v>
      </c>
      <c r="D103" s="20">
        <v>45859</v>
      </c>
      <c r="E103" t="s">
        <v>1132</v>
      </c>
      <c r="F103" t="s">
        <v>1131</v>
      </c>
      <c r="G103" t="s">
        <v>1130</v>
      </c>
      <c r="H103" t="s">
        <v>1424</v>
      </c>
      <c r="I103" t="s">
        <v>1462</v>
      </c>
      <c r="J103" t="s">
        <v>1432</v>
      </c>
      <c r="K103" t="s">
        <v>1443</v>
      </c>
      <c r="L103" t="s">
        <v>1454</v>
      </c>
      <c r="M103" t="s">
        <v>1452</v>
      </c>
      <c r="N103">
        <v>7</v>
      </c>
    </row>
    <row r="104" spans="1:14" x14ac:dyDescent="0.25">
      <c r="A104" t="s">
        <v>1143</v>
      </c>
      <c r="B104" t="s">
        <v>1504</v>
      </c>
      <c r="C104" t="s">
        <v>70</v>
      </c>
      <c r="D104" s="20">
        <v>45866</v>
      </c>
      <c r="E104" t="s">
        <v>688</v>
      </c>
      <c r="F104" t="s">
        <v>1144</v>
      </c>
      <c r="G104" t="s">
        <v>981</v>
      </c>
      <c r="H104" t="s">
        <v>1424</v>
      </c>
      <c r="I104" t="s">
        <v>1462</v>
      </c>
      <c r="J104" t="s">
        <v>1432</v>
      </c>
      <c r="K104" t="s">
        <v>1443</v>
      </c>
      <c r="L104" t="s">
        <v>1454</v>
      </c>
      <c r="M104" t="s">
        <v>1452</v>
      </c>
      <c r="N104">
        <v>7</v>
      </c>
    </row>
    <row r="105" spans="1:14" x14ac:dyDescent="0.25">
      <c r="A105" t="s">
        <v>1149</v>
      </c>
      <c r="B105" t="s">
        <v>1491</v>
      </c>
      <c r="C105" t="s">
        <v>82</v>
      </c>
      <c r="D105" s="20">
        <v>45870</v>
      </c>
      <c r="E105" t="s">
        <v>39</v>
      </c>
      <c r="F105" t="s">
        <v>1156</v>
      </c>
      <c r="G105" t="s">
        <v>1157</v>
      </c>
      <c r="H105" t="s">
        <v>1424</v>
      </c>
      <c r="I105" t="s">
        <v>1462</v>
      </c>
      <c r="J105" t="s">
        <v>1432</v>
      </c>
      <c r="K105" t="s">
        <v>1444</v>
      </c>
      <c r="L105" t="s">
        <v>1454</v>
      </c>
      <c r="M105" t="s">
        <v>1452</v>
      </c>
      <c r="N105">
        <v>8</v>
      </c>
    </row>
    <row r="106" spans="1:14" x14ac:dyDescent="0.25">
      <c r="A106" t="s">
        <v>1167</v>
      </c>
      <c r="B106" t="s">
        <v>1494</v>
      </c>
      <c r="C106" t="s">
        <v>82</v>
      </c>
      <c r="D106" s="20">
        <v>45878</v>
      </c>
      <c r="E106" t="s">
        <v>11</v>
      </c>
      <c r="F106" t="s">
        <v>1177</v>
      </c>
      <c r="G106" t="s">
        <v>1178</v>
      </c>
      <c r="H106" t="s">
        <v>1424</v>
      </c>
      <c r="I106" t="s">
        <v>1462</v>
      </c>
      <c r="J106" t="s">
        <v>1432</v>
      </c>
      <c r="K106" t="s">
        <v>1444</v>
      </c>
      <c r="L106" t="s">
        <v>1454</v>
      </c>
      <c r="M106" t="s">
        <v>1452</v>
      </c>
      <c r="N106">
        <v>8</v>
      </c>
    </row>
    <row r="107" spans="1:14" x14ac:dyDescent="0.25">
      <c r="A107" t="s">
        <v>1176</v>
      </c>
      <c r="B107" t="s">
        <v>1507</v>
      </c>
      <c r="C107" t="s">
        <v>82</v>
      </c>
      <c r="D107" s="20">
        <v>45887</v>
      </c>
      <c r="E107" t="s">
        <v>10</v>
      </c>
      <c r="F107" t="s">
        <v>1179</v>
      </c>
      <c r="G107" t="s">
        <v>1180</v>
      </c>
      <c r="H107" t="s">
        <v>1424</v>
      </c>
      <c r="I107" t="s">
        <v>1462</v>
      </c>
      <c r="J107" t="s">
        <v>1432</v>
      </c>
      <c r="K107" t="s">
        <v>1444</v>
      </c>
      <c r="L107" t="s">
        <v>1454</v>
      </c>
      <c r="M107" t="s">
        <v>1452</v>
      </c>
      <c r="N107">
        <v>8</v>
      </c>
    </row>
    <row r="108" spans="1:14" x14ac:dyDescent="0.25">
      <c r="A108" t="s">
        <v>1201</v>
      </c>
      <c r="B108" t="s">
        <v>1512</v>
      </c>
      <c r="C108" t="s">
        <v>82</v>
      </c>
      <c r="D108" s="20">
        <v>45894</v>
      </c>
      <c r="E108" t="s">
        <v>1202</v>
      </c>
      <c r="F108" t="s">
        <v>1203</v>
      </c>
      <c r="G108" t="s">
        <v>1211</v>
      </c>
      <c r="H108" t="s">
        <v>1424</v>
      </c>
      <c r="I108" t="s">
        <v>1462</v>
      </c>
      <c r="J108" t="s">
        <v>1432</v>
      </c>
      <c r="K108" t="s">
        <v>1444</v>
      </c>
      <c r="L108" t="s">
        <v>1454</v>
      </c>
      <c r="M108" t="s">
        <v>1452</v>
      </c>
      <c r="N108">
        <v>8</v>
      </c>
    </row>
    <row r="109" spans="1:14" x14ac:dyDescent="0.25">
      <c r="A109" t="s">
        <v>1204</v>
      </c>
      <c r="B109" t="s">
        <v>1504</v>
      </c>
      <c r="C109" t="s">
        <v>82</v>
      </c>
      <c r="D109" s="20">
        <v>45897</v>
      </c>
      <c r="E109" t="s">
        <v>1205</v>
      </c>
      <c r="F109" t="s">
        <v>1206</v>
      </c>
      <c r="G109" t="s">
        <v>1212</v>
      </c>
      <c r="H109" t="s">
        <v>1424</v>
      </c>
      <c r="I109" t="s">
        <v>1462</v>
      </c>
      <c r="J109" t="s">
        <v>1430</v>
      </c>
      <c r="K109" t="s">
        <v>1444</v>
      </c>
      <c r="L109" t="s">
        <v>1454</v>
      </c>
      <c r="M109" t="s">
        <v>1452</v>
      </c>
      <c r="N109">
        <v>8</v>
      </c>
    </row>
    <row r="110" spans="1:14" x14ac:dyDescent="0.25">
      <c r="A110" t="s">
        <v>1193</v>
      </c>
      <c r="B110" t="s">
        <v>1499</v>
      </c>
      <c r="C110" t="s">
        <v>90</v>
      </c>
      <c r="D110" s="20">
        <v>45903</v>
      </c>
      <c r="E110" t="s">
        <v>1207</v>
      </c>
      <c r="F110" t="s">
        <v>1208</v>
      </c>
      <c r="G110" t="s">
        <v>1213</v>
      </c>
      <c r="H110" t="s">
        <v>1424</v>
      </c>
      <c r="I110" t="s">
        <v>1462</v>
      </c>
      <c r="J110" t="s">
        <v>1432</v>
      </c>
      <c r="K110" t="s">
        <v>1445</v>
      </c>
      <c r="L110" t="s">
        <v>1454</v>
      </c>
      <c r="M110" t="s">
        <v>1452</v>
      </c>
      <c r="N110">
        <v>9</v>
      </c>
    </row>
    <row r="111" spans="1:14" x14ac:dyDescent="0.25">
      <c r="A111" t="s">
        <v>1193</v>
      </c>
      <c r="B111" t="s">
        <v>1499</v>
      </c>
      <c r="C111" t="s">
        <v>90</v>
      </c>
      <c r="D111" s="20">
        <v>45903</v>
      </c>
      <c r="E111" t="s">
        <v>97</v>
      </c>
      <c r="F111" t="s">
        <v>1192</v>
      </c>
      <c r="G111" t="s">
        <v>1191</v>
      </c>
      <c r="H111" t="s">
        <v>1424</v>
      </c>
      <c r="I111" t="s">
        <v>1462</v>
      </c>
      <c r="J111" t="s">
        <v>1432</v>
      </c>
      <c r="K111" t="s">
        <v>1445</v>
      </c>
      <c r="L111" t="s">
        <v>1454</v>
      </c>
      <c r="M111" t="s">
        <v>1452</v>
      </c>
      <c r="N111">
        <v>9</v>
      </c>
    </row>
    <row r="112" spans="1:14" x14ac:dyDescent="0.25">
      <c r="A112" t="s">
        <v>1214</v>
      </c>
      <c r="B112" t="s">
        <v>1494</v>
      </c>
      <c r="C112" t="s">
        <v>90</v>
      </c>
      <c r="D112" s="20">
        <v>45909</v>
      </c>
      <c r="E112" t="s">
        <v>96</v>
      </c>
      <c r="F112" t="s">
        <v>1215</v>
      </c>
      <c r="G112" t="s">
        <v>1216</v>
      </c>
      <c r="H112" t="s">
        <v>1424</v>
      </c>
      <c r="I112" t="s">
        <v>1462</v>
      </c>
      <c r="J112" t="s">
        <v>1432</v>
      </c>
      <c r="K112" t="s">
        <v>1445</v>
      </c>
      <c r="L112" t="s">
        <v>1454</v>
      </c>
      <c r="M112" t="s">
        <v>1452</v>
      </c>
      <c r="N112">
        <v>9</v>
      </c>
    </row>
    <row r="113" spans="1:14" x14ac:dyDescent="0.25">
      <c r="A113" t="s">
        <v>1196</v>
      </c>
      <c r="B113" t="s">
        <v>1497</v>
      </c>
      <c r="C113" t="s">
        <v>90</v>
      </c>
      <c r="D113" s="20">
        <v>45915</v>
      </c>
      <c r="E113" t="s">
        <v>815</v>
      </c>
      <c r="F113" t="s">
        <v>1210</v>
      </c>
      <c r="G113" t="s">
        <v>1209</v>
      </c>
      <c r="H113" t="s">
        <v>1424</v>
      </c>
      <c r="I113" t="s">
        <v>1462</v>
      </c>
      <c r="J113" t="s">
        <v>1430</v>
      </c>
      <c r="K113" t="s">
        <v>1445</v>
      </c>
      <c r="L113" t="s">
        <v>1454</v>
      </c>
      <c r="M113" t="s">
        <v>1452</v>
      </c>
      <c r="N113">
        <v>9</v>
      </c>
    </row>
    <row r="114" spans="1:14" x14ac:dyDescent="0.25">
      <c r="A114" t="s">
        <v>1247</v>
      </c>
      <c r="B114" t="s">
        <v>1499</v>
      </c>
      <c r="C114" t="s">
        <v>94</v>
      </c>
      <c r="D114" s="20">
        <v>45933</v>
      </c>
      <c r="E114" t="s">
        <v>106</v>
      </c>
      <c r="F114" t="s">
        <v>1246</v>
      </c>
      <c r="G114" t="s">
        <v>46</v>
      </c>
      <c r="H114" t="s">
        <v>1424</v>
      </c>
      <c r="I114" t="s">
        <v>1462</v>
      </c>
      <c r="J114" t="s">
        <v>1432</v>
      </c>
      <c r="K114" t="s">
        <v>1446</v>
      </c>
      <c r="L114" t="s">
        <v>1454</v>
      </c>
      <c r="M114" t="s">
        <v>1453</v>
      </c>
      <c r="N114">
        <v>10</v>
      </c>
    </row>
    <row r="115" spans="1:14" x14ac:dyDescent="0.25">
      <c r="A115" t="s">
        <v>1254</v>
      </c>
      <c r="B115" t="s">
        <v>1496</v>
      </c>
      <c r="C115" t="s">
        <v>94</v>
      </c>
      <c r="D115" s="20">
        <v>45943</v>
      </c>
      <c r="E115" t="s">
        <v>42</v>
      </c>
      <c r="F115" t="s">
        <v>1258</v>
      </c>
      <c r="G115" t="s">
        <v>1257</v>
      </c>
      <c r="H115" t="s">
        <v>1424</v>
      </c>
      <c r="I115" t="s">
        <v>1462</v>
      </c>
      <c r="J115" t="s">
        <v>1430</v>
      </c>
      <c r="K115" t="s">
        <v>1446</v>
      </c>
      <c r="L115" t="s">
        <v>1454</v>
      </c>
      <c r="M115" t="s">
        <v>1453</v>
      </c>
      <c r="N115">
        <v>10</v>
      </c>
    </row>
    <row r="116" spans="1:14" x14ac:dyDescent="0.25">
      <c r="A116" t="s">
        <v>1278</v>
      </c>
      <c r="B116" t="s">
        <v>1513</v>
      </c>
      <c r="C116" t="s">
        <v>94</v>
      </c>
      <c r="D116" s="20">
        <v>45959</v>
      </c>
      <c r="E116" t="s">
        <v>1048</v>
      </c>
      <c r="F116" t="s">
        <v>1282</v>
      </c>
      <c r="G116" t="s">
        <v>1281</v>
      </c>
      <c r="H116" t="s">
        <v>1424</v>
      </c>
      <c r="I116" t="s">
        <v>1462</v>
      </c>
      <c r="J116" t="s">
        <v>1432</v>
      </c>
      <c r="K116" t="s">
        <v>1446</v>
      </c>
      <c r="L116" t="s">
        <v>1454</v>
      </c>
      <c r="M116" t="s">
        <v>1453</v>
      </c>
      <c r="N116">
        <v>10</v>
      </c>
    </row>
    <row r="117" spans="1:14" x14ac:dyDescent="0.25">
      <c r="A117" t="s">
        <v>1283</v>
      </c>
      <c r="B117" t="s">
        <v>1508</v>
      </c>
      <c r="C117" t="s">
        <v>94</v>
      </c>
      <c r="D117" s="20">
        <v>45960</v>
      </c>
      <c r="E117" t="s">
        <v>74</v>
      </c>
      <c r="F117" t="s">
        <v>1284</v>
      </c>
      <c r="G117" t="s">
        <v>1285</v>
      </c>
      <c r="H117" t="s">
        <v>1424</v>
      </c>
      <c r="I117" t="s">
        <v>1462</v>
      </c>
      <c r="J117" t="s">
        <v>1430</v>
      </c>
      <c r="K117" t="s">
        <v>1446</v>
      </c>
      <c r="L117" t="s">
        <v>1454</v>
      </c>
      <c r="M117" t="s">
        <v>1453</v>
      </c>
      <c r="N117">
        <v>10</v>
      </c>
    </row>
    <row r="118" spans="1:14" x14ac:dyDescent="0.25">
      <c r="A118" t="s">
        <v>1292</v>
      </c>
      <c r="B118" t="s">
        <v>1505</v>
      </c>
      <c r="C118" t="s">
        <v>94</v>
      </c>
      <c r="D118" s="20">
        <v>45961</v>
      </c>
      <c r="E118" t="s">
        <v>1296</v>
      </c>
      <c r="F118" t="s">
        <v>1364</v>
      </c>
      <c r="G118" t="s">
        <v>1297</v>
      </c>
      <c r="H118" t="s">
        <v>1424</v>
      </c>
      <c r="I118" t="s">
        <v>1462</v>
      </c>
      <c r="J118" t="s">
        <v>1432</v>
      </c>
      <c r="K118" t="s">
        <v>1446</v>
      </c>
      <c r="L118" t="s">
        <v>1454</v>
      </c>
      <c r="M118" t="s">
        <v>1453</v>
      </c>
      <c r="N118">
        <v>10</v>
      </c>
    </row>
    <row r="119" spans="1:14" x14ac:dyDescent="0.25">
      <c r="A119" t="s">
        <v>1292</v>
      </c>
      <c r="B119" t="s">
        <v>1505</v>
      </c>
      <c r="C119" t="s">
        <v>94</v>
      </c>
      <c r="D119" s="20">
        <v>45961</v>
      </c>
      <c r="E119" t="s">
        <v>11</v>
      </c>
      <c r="F119" t="s">
        <v>1298</v>
      </c>
      <c r="G119" t="s">
        <v>1299</v>
      </c>
      <c r="H119" t="s">
        <v>1424</v>
      </c>
      <c r="I119" t="s">
        <v>1462</v>
      </c>
      <c r="J119" t="s">
        <v>1432</v>
      </c>
      <c r="K119" t="s">
        <v>1446</v>
      </c>
      <c r="L119" t="s">
        <v>1454</v>
      </c>
      <c r="M119" t="s">
        <v>1453</v>
      </c>
      <c r="N119">
        <v>10</v>
      </c>
    </row>
    <row r="120" spans="1:14" x14ac:dyDescent="0.25">
      <c r="A120" t="s">
        <v>1312</v>
      </c>
      <c r="B120" t="s">
        <v>1495</v>
      </c>
      <c r="C120" t="s">
        <v>1411</v>
      </c>
      <c r="D120" s="20">
        <v>45972</v>
      </c>
      <c r="E120" t="s">
        <v>17</v>
      </c>
      <c r="F120" t="s">
        <v>1313</v>
      </c>
      <c r="G120" t="s">
        <v>1311</v>
      </c>
      <c r="H120" t="s">
        <v>1424</v>
      </c>
      <c r="I120" t="s">
        <v>1462</v>
      </c>
      <c r="J120" t="s">
        <v>1432</v>
      </c>
      <c r="K120" t="s">
        <v>1447</v>
      </c>
      <c r="L120" t="s">
        <v>1454</v>
      </c>
      <c r="M120" t="s">
        <v>1453</v>
      </c>
      <c r="N120">
        <v>11</v>
      </c>
    </row>
    <row r="121" spans="1:14" x14ac:dyDescent="0.25">
      <c r="A121" t="s">
        <v>1314</v>
      </c>
      <c r="B121" t="s">
        <v>1480</v>
      </c>
      <c r="C121" t="s">
        <v>1411</v>
      </c>
      <c r="D121" s="20">
        <v>45981</v>
      </c>
      <c r="E121" t="s">
        <v>35</v>
      </c>
      <c r="F121" t="s">
        <v>1318</v>
      </c>
      <c r="G121" t="s">
        <v>1319</v>
      </c>
      <c r="H121" t="s">
        <v>1424</v>
      </c>
      <c r="I121" t="s">
        <v>1462</v>
      </c>
      <c r="J121" t="s">
        <v>1432</v>
      </c>
      <c r="K121" t="s">
        <v>1447</v>
      </c>
      <c r="L121" t="s">
        <v>1454</v>
      </c>
      <c r="M121" t="s">
        <v>1453</v>
      </c>
      <c r="N121">
        <v>11</v>
      </c>
    </row>
    <row r="122" spans="1:14" x14ac:dyDescent="0.25">
      <c r="A122" t="s">
        <v>1336</v>
      </c>
      <c r="B122" t="s">
        <v>1504</v>
      </c>
      <c r="C122" t="s">
        <v>1411</v>
      </c>
      <c r="D122" s="20">
        <v>45989</v>
      </c>
      <c r="E122" t="s">
        <v>113</v>
      </c>
      <c r="F122" t="s">
        <v>1337</v>
      </c>
      <c r="G122" t="s">
        <v>46</v>
      </c>
      <c r="H122" t="s">
        <v>1424</v>
      </c>
      <c r="I122" t="s">
        <v>1462</v>
      </c>
      <c r="J122" t="s">
        <v>1432</v>
      </c>
      <c r="K122" t="s">
        <v>1447</v>
      </c>
      <c r="L122" t="s">
        <v>1454</v>
      </c>
      <c r="M122" t="s">
        <v>1453</v>
      </c>
      <c r="N122">
        <v>11</v>
      </c>
    </row>
    <row r="123" spans="1:14" x14ac:dyDescent="0.25">
      <c r="A123" t="s">
        <v>1336</v>
      </c>
      <c r="B123" t="s">
        <v>1504</v>
      </c>
      <c r="C123" t="s">
        <v>1411</v>
      </c>
      <c r="D123" s="20">
        <v>45989</v>
      </c>
      <c r="E123" t="s">
        <v>1339</v>
      </c>
      <c r="F123" t="s">
        <v>1338</v>
      </c>
      <c r="G123" t="s">
        <v>87</v>
      </c>
      <c r="H123" t="s">
        <v>1424</v>
      </c>
      <c r="I123" t="s">
        <v>1462</v>
      </c>
      <c r="J123" t="s">
        <v>1432</v>
      </c>
      <c r="K123" t="s">
        <v>1447</v>
      </c>
      <c r="L123" t="s">
        <v>1454</v>
      </c>
      <c r="M123" t="s">
        <v>1453</v>
      </c>
      <c r="N123">
        <v>11</v>
      </c>
    </row>
    <row r="124" spans="1:14" x14ac:dyDescent="0.25">
      <c r="A124" t="s">
        <v>1342</v>
      </c>
      <c r="B124" t="s">
        <v>1500</v>
      </c>
      <c r="C124" t="s">
        <v>1412</v>
      </c>
      <c r="D124" s="20">
        <v>45995</v>
      </c>
      <c r="E124" t="s">
        <v>1089</v>
      </c>
      <c r="F124" t="s">
        <v>1343</v>
      </c>
      <c r="G124" t="s">
        <v>1344</v>
      </c>
      <c r="H124" t="s">
        <v>1424</v>
      </c>
      <c r="I124" t="s">
        <v>1462</v>
      </c>
      <c r="J124" t="s">
        <v>1432</v>
      </c>
      <c r="K124" t="s">
        <v>1448</v>
      </c>
      <c r="L124" t="s">
        <v>1454</v>
      </c>
      <c r="M124" t="s">
        <v>1453</v>
      </c>
      <c r="N124">
        <v>12</v>
      </c>
    </row>
    <row r="125" spans="1:14" x14ac:dyDescent="0.25">
      <c r="A125" t="s">
        <v>1347</v>
      </c>
      <c r="B125" t="s">
        <v>1510</v>
      </c>
      <c r="C125" t="s">
        <v>1412</v>
      </c>
      <c r="D125" s="20">
        <v>45996</v>
      </c>
      <c r="E125" t="s">
        <v>1185</v>
      </c>
      <c r="F125" t="s">
        <v>1346</v>
      </c>
      <c r="G125" t="s">
        <v>1345</v>
      </c>
      <c r="H125" t="s">
        <v>1424</v>
      </c>
      <c r="I125" t="s">
        <v>1462</v>
      </c>
      <c r="J125" t="s">
        <v>1432</v>
      </c>
      <c r="K125" t="s">
        <v>1448</v>
      </c>
      <c r="L125" t="s">
        <v>1454</v>
      </c>
      <c r="M125" t="s">
        <v>1453</v>
      </c>
      <c r="N125">
        <v>12</v>
      </c>
    </row>
    <row r="126" spans="1:14" x14ac:dyDescent="0.25">
      <c r="A126" t="s">
        <v>1354</v>
      </c>
      <c r="B126" t="s">
        <v>1496</v>
      </c>
      <c r="C126" t="s">
        <v>1412</v>
      </c>
      <c r="D126" s="20">
        <v>46004</v>
      </c>
      <c r="E126" t="s">
        <v>1355</v>
      </c>
      <c r="F126" t="s">
        <v>1356</v>
      </c>
      <c r="G126" t="s">
        <v>1357</v>
      </c>
      <c r="H126" t="s">
        <v>1424</v>
      </c>
      <c r="I126" t="s">
        <v>1462</v>
      </c>
      <c r="J126" t="s">
        <v>1431</v>
      </c>
      <c r="K126" t="s">
        <v>1448</v>
      </c>
      <c r="L126" t="s">
        <v>1454</v>
      </c>
      <c r="M126" t="s">
        <v>1453</v>
      </c>
      <c r="N126">
        <v>12</v>
      </c>
    </row>
    <row r="127" spans="1:14" x14ac:dyDescent="0.25">
      <c r="A127" t="s">
        <v>1358</v>
      </c>
      <c r="B127" t="s">
        <v>1478</v>
      </c>
      <c r="C127" t="s">
        <v>1412</v>
      </c>
      <c r="D127" s="20">
        <v>46007</v>
      </c>
      <c r="E127" t="s">
        <v>102</v>
      </c>
      <c r="F127" t="s">
        <v>1359</v>
      </c>
      <c r="G127" t="s">
        <v>653</v>
      </c>
      <c r="H127" t="s">
        <v>1424</v>
      </c>
      <c r="I127" t="s">
        <v>1462</v>
      </c>
      <c r="J127" t="s">
        <v>1432</v>
      </c>
      <c r="K127" t="s">
        <v>1448</v>
      </c>
      <c r="L127" t="s">
        <v>1454</v>
      </c>
      <c r="M127" t="s">
        <v>1453</v>
      </c>
      <c r="N127">
        <v>12</v>
      </c>
    </row>
    <row r="128" spans="1:14" x14ac:dyDescent="0.25">
      <c r="A128" t="s">
        <v>1371</v>
      </c>
      <c r="B128" t="s">
        <v>1488</v>
      </c>
      <c r="C128" t="s">
        <v>1412</v>
      </c>
      <c r="D128" s="20">
        <v>46014</v>
      </c>
      <c r="E128" t="s">
        <v>1373</v>
      </c>
      <c r="F128" t="s">
        <v>1372</v>
      </c>
      <c r="G128" t="s">
        <v>1374</v>
      </c>
      <c r="H128" t="s">
        <v>1424</v>
      </c>
      <c r="I128" t="s">
        <v>1462</v>
      </c>
      <c r="J128" t="s">
        <v>1430</v>
      </c>
      <c r="K128" t="s">
        <v>1448</v>
      </c>
      <c r="L128" t="s">
        <v>1454</v>
      </c>
      <c r="M128" t="s">
        <v>1453</v>
      </c>
      <c r="N128">
        <v>12</v>
      </c>
    </row>
    <row r="129" spans="1:14" x14ac:dyDescent="0.25">
      <c r="A129" t="s">
        <v>1368</v>
      </c>
      <c r="B129" t="s">
        <v>1489</v>
      </c>
      <c r="C129" t="s">
        <v>1412</v>
      </c>
      <c r="D129" s="20">
        <v>46015</v>
      </c>
      <c r="E129" t="s">
        <v>11</v>
      </c>
      <c r="F129" t="s">
        <v>1369</v>
      </c>
      <c r="G129" t="s">
        <v>1370</v>
      </c>
      <c r="H129" t="s">
        <v>1424</v>
      </c>
      <c r="I129" t="s">
        <v>1462</v>
      </c>
      <c r="J129" t="s">
        <v>1432</v>
      </c>
      <c r="K129" t="s">
        <v>1448</v>
      </c>
      <c r="L129" t="s">
        <v>1454</v>
      </c>
      <c r="M129" t="s">
        <v>1453</v>
      </c>
      <c r="N129">
        <v>12</v>
      </c>
    </row>
    <row r="130" spans="1:14" x14ac:dyDescent="0.25">
      <c r="A130" t="s">
        <v>1377</v>
      </c>
      <c r="B130" t="s">
        <v>1483</v>
      </c>
      <c r="C130" t="s">
        <v>1412</v>
      </c>
      <c r="D130" s="20">
        <v>46017</v>
      </c>
      <c r="E130" t="s">
        <v>11</v>
      </c>
      <c r="F130" t="s">
        <v>1378</v>
      </c>
      <c r="G130" t="s">
        <v>1379</v>
      </c>
      <c r="H130" t="s">
        <v>1424</v>
      </c>
      <c r="I130" t="s">
        <v>1462</v>
      </c>
      <c r="J130" t="s">
        <v>1432</v>
      </c>
      <c r="K130" t="s">
        <v>1448</v>
      </c>
      <c r="L130" t="s">
        <v>1454</v>
      </c>
      <c r="M130" t="s">
        <v>1453</v>
      </c>
      <c r="N130">
        <v>12</v>
      </c>
    </row>
    <row r="131" spans="1:14" x14ac:dyDescent="0.25">
      <c r="A131" t="s">
        <v>1382</v>
      </c>
      <c r="B131" t="s">
        <v>1505</v>
      </c>
      <c r="C131" t="s">
        <v>1412</v>
      </c>
      <c r="D131" s="20">
        <v>46022</v>
      </c>
      <c r="E131" t="s">
        <v>10</v>
      </c>
      <c r="F131" t="s">
        <v>1392</v>
      </c>
      <c r="G131" t="s">
        <v>1393</v>
      </c>
      <c r="H131" t="s">
        <v>1424</v>
      </c>
      <c r="I131" t="s">
        <v>1462</v>
      </c>
      <c r="J131" t="s">
        <v>1431</v>
      </c>
      <c r="K131" t="s">
        <v>1448</v>
      </c>
      <c r="L131" t="s">
        <v>1454</v>
      </c>
      <c r="M131" t="s">
        <v>1453</v>
      </c>
      <c r="N131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BEA9-4057-4B76-94DB-3B54107B266E}">
  <dimension ref="A3:B122"/>
  <sheetViews>
    <sheetView workbookViewId="0">
      <selection activeCell="F30" sqref="F30"/>
    </sheetView>
  </sheetViews>
  <sheetFormatPr defaultRowHeight="15" x14ac:dyDescent="0.25"/>
  <cols>
    <col min="1" max="1" width="160.5703125" bestFit="1" customWidth="1"/>
    <col min="2" max="2" width="17.28515625" bestFit="1" customWidth="1"/>
  </cols>
  <sheetData>
    <row r="3" spans="1:2" x14ac:dyDescent="0.25">
      <c r="A3" s="21" t="s">
        <v>1435</v>
      </c>
      <c r="B3" t="s">
        <v>1456</v>
      </c>
    </row>
    <row r="4" spans="1:2" x14ac:dyDescent="0.25">
      <c r="A4" s="22" t="s">
        <v>1418</v>
      </c>
      <c r="B4">
        <v>57</v>
      </c>
    </row>
    <row r="5" spans="1:2" x14ac:dyDescent="0.25">
      <c r="A5" s="22" t="s">
        <v>1419</v>
      </c>
      <c r="B5">
        <v>241</v>
      </c>
    </row>
    <row r="6" spans="1:2" x14ac:dyDescent="0.25">
      <c r="A6" s="22" t="s">
        <v>1425</v>
      </c>
      <c r="B6">
        <v>15</v>
      </c>
    </row>
    <row r="7" spans="1:2" x14ac:dyDescent="0.25">
      <c r="A7" s="22" t="s">
        <v>1424</v>
      </c>
    </row>
    <row r="8" spans="1:2" x14ac:dyDescent="0.25">
      <c r="A8" s="23" t="s">
        <v>231</v>
      </c>
      <c r="B8">
        <v>1</v>
      </c>
    </row>
    <row r="9" spans="1:2" x14ac:dyDescent="0.25">
      <c r="A9" s="23" t="s">
        <v>560</v>
      </c>
      <c r="B9">
        <v>1</v>
      </c>
    </row>
    <row r="10" spans="1:2" x14ac:dyDescent="0.25">
      <c r="A10" s="23" t="s">
        <v>56</v>
      </c>
      <c r="B10">
        <v>1</v>
      </c>
    </row>
    <row r="11" spans="1:2" x14ac:dyDescent="0.25">
      <c r="A11" s="23" t="s">
        <v>747</v>
      </c>
      <c r="B11">
        <v>1</v>
      </c>
    </row>
    <row r="12" spans="1:2" x14ac:dyDescent="0.25">
      <c r="A12" s="23" t="s">
        <v>899</v>
      </c>
      <c r="B12">
        <v>1</v>
      </c>
    </row>
    <row r="13" spans="1:2" x14ac:dyDescent="0.25">
      <c r="A13" s="23" t="s">
        <v>977</v>
      </c>
      <c r="B13">
        <v>1</v>
      </c>
    </row>
    <row r="14" spans="1:2" x14ac:dyDescent="0.25">
      <c r="A14" s="23" t="s">
        <v>527</v>
      </c>
      <c r="B14">
        <v>1</v>
      </c>
    </row>
    <row r="15" spans="1:2" x14ac:dyDescent="0.25">
      <c r="A15" s="23" t="s">
        <v>289</v>
      </c>
      <c r="B15">
        <v>1</v>
      </c>
    </row>
    <row r="16" spans="1:2" x14ac:dyDescent="0.25">
      <c r="A16" s="23" t="s">
        <v>700</v>
      </c>
      <c r="B16">
        <v>1</v>
      </c>
    </row>
    <row r="17" spans="1:2" x14ac:dyDescent="0.25">
      <c r="A17" s="23" t="s">
        <v>1157</v>
      </c>
      <c r="B17">
        <v>1</v>
      </c>
    </row>
    <row r="18" spans="1:2" x14ac:dyDescent="0.25">
      <c r="A18" s="23" t="s">
        <v>362</v>
      </c>
      <c r="B18">
        <v>1</v>
      </c>
    </row>
    <row r="19" spans="1:2" x14ac:dyDescent="0.25">
      <c r="A19" s="23" t="s">
        <v>824</v>
      </c>
      <c r="B19">
        <v>1</v>
      </c>
    </row>
    <row r="20" spans="1:2" x14ac:dyDescent="0.25">
      <c r="A20" s="23" t="s">
        <v>532</v>
      </c>
      <c r="B20">
        <v>1</v>
      </c>
    </row>
    <row r="21" spans="1:2" x14ac:dyDescent="0.25">
      <c r="A21" s="23" t="s">
        <v>1393</v>
      </c>
      <c r="B21">
        <v>1</v>
      </c>
    </row>
    <row r="22" spans="1:2" x14ac:dyDescent="0.25">
      <c r="A22" s="23" t="s">
        <v>1209</v>
      </c>
      <c r="B22">
        <v>1</v>
      </c>
    </row>
    <row r="23" spans="1:2" x14ac:dyDescent="0.25">
      <c r="A23" s="23" t="s">
        <v>334</v>
      </c>
      <c r="B23">
        <v>1</v>
      </c>
    </row>
    <row r="24" spans="1:2" x14ac:dyDescent="0.25">
      <c r="A24" s="23" t="s">
        <v>940</v>
      </c>
      <c r="B24">
        <v>1</v>
      </c>
    </row>
    <row r="25" spans="1:2" x14ac:dyDescent="0.25">
      <c r="A25" s="23" t="s">
        <v>421</v>
      </c>
      <c r="B25">
        <v>1</v>
      </c>
    </row>
    <row r="26" spans="1:2" x14ac:dyDescent="0.25">
      <c r="A26" s="23" t="s">
        <v>49</v>
      </c>
      <c r="B26">
        <v>2</v>
      </c>
    </row>
    <row r="27" spans="1:2" x14ac:dyDescent="0.25">
      <c r="A27" s="23" t="s">
        <v>87</v>
      </c>
      <c r="B27">
        <v>5</v>
      </c>
    </row>
    <row r="28" spans="1:2" x14ac:dyDescent="0.25">
      <c r="A28" s="23" t="s">
        <v>208</v>
      </c>
      <c r="B28">
        <v>1</v>
      </c>
    </row>
    <row r="29" spans="1:2" x14ac:dyDescent="0.25">
      <c r="A29" s="23" t="s">
        <v>1070</v>
      </c>
      <c r="B29">
        <v>1</v>
      </c>
    </row>
    <row r="30" spans="1:2" x14ac:dyDescent="0.25">
      <c r="A30" s="23" t="s">
        <v>321</v>
      </c>
      <c r="B30">
        <v>1</v>
      </c>
    </row>
    <row r="31" spans="1:2" x14ac:dyDescent="0.25">
      <c r="A31" s="23" t="s">
        <v>682</v>
      </c>
      <c r="B31">
        <v>1</v>
      </c>
    </row>
    <row r="32" spans="1:2" x14ac:dyDescent="0.25">
      <c r="A32" s="23" t="s">
        <v>570</v>
      </c>
      <c r="B32">
        <v>1</v>
      </c>
    </row>
    <row r="33" spans="1:2" x14ac:dyDescent="0.25">
      <c r="A33" s="23" t="s">
        <v>317</v>
      </c>
      <c r="B33">
        <v>1</v>
      </c>
    </row>
    <row r="34" spans="1:2" x14ac:dyDescent="0.25">
      <c r="A34" s="23" t="s">
        <v>475</v>
      </c>
      <c r="B34">
        <v>1</v>
      </c>
    </row>
    <row r="35" spans="1:2" x14ac:dyDescent="0.25">
      <c r="A35" s="23" t="s">
        <v>1319</v>
      </c>
      <c r="B35">
        <v>1</v>
      </c>
    </row>
    <row r="36" spans="1:2" x14ac:dyDescent="0.25">
      <c r="A36" s="23" t="s">
        <v>981</v>
      </c>
      <c r="B36">
        <v>2</v>
      </c>
    </row>
    <row r="37" spans="1:2" x14ac:dyDescent="0.25">
      <c r="A37" s="23" t="s">
        <v>944</v>
      </c>
      <c r="B37">
        <v>1</v>
      </c>
    </row>
    <row r="38" spans="1:2" x14ac:dyDescent="0.25">
      <c r="A38" s="23" t="s">
        <v>1212</v>
      </c>
      <c r="B38">
        <v>1</v>
      </c>
    </row>
    <row r="39" spans="1:2" x14ac:dyDescent="0.25">
      <c r="A39" s="23" t="s">
        <v>1311</v>
      </c>
      <c r="B39">
        <v>1</v>
      </c>
    </row>
    <row r="40" spans="1:2" x14ac:dyDescent="0.25">
      <c r="A40" s="23" t="s">
        <v>271</v>
      </c>
      <c r="B40">
        <v>1</v>
      </c>
    </row>
    <row r="41" spans="1:2" x14ac:dyDescent="0.25">
      <c r="A41" s="23" t="s">
        <v>878</v>
      </c>
      <c r="B41">
        <v>1</v>
      </c>
    </row>
    <row r="42" spans="1:2" x14ac:dyDescent="0.25">
      <c r="A42" s="23" t="s">
        <v>1073</v>
      </c>
      <c r="B42">
        <v>1</v>
      </c>
    </row>
    <row r="43" spans="1:2" x14ac:dyDescent="0.25">
      <c r="A43" s="23" t="s">
        <v>1093</v>
      </c>
      <c r="B43">
        <v>1</v>
      </c>
    </row>
    <row r="44" spans="1:2" x14ac:dyDescent="0.25">
      <c r="A44" s="23" t="s">
        <v>1285</v>
      </c>
      <c r="B44">
        <v>1</v>
      </c>
    </row>
    <row r="45" spans="1:2" x14ac:dyDescent="0.25">
      <c r="A45" s="23" t="s">
        <v>292</v>
      </c>
      <c r="B45">
        <v>1</v>
      </c>
    </row>
    <row r="46" spans="1:2" x14ac:dyDescent="0.25">
      <c r="A46" s="23" t="s">
        <v>583</v>
      </c>
      <c r="B46">
        <v>1</v>
      </c>
    </row>
    <row r="47" spans="1:2" x14ac:dyDescent="0.25">
      <c r="A47" s="23" t="s">
        <v>165</v>
      </c>
      <c r="B47">
        <v>1</v>
      </c>
    </row>
    <row r="48" spans="1:2" x14ac:dyDescent="0.25">
      <c r="A48" s="23" t="s">
        <v>280</v>
      </c>
      <c r="B48">
        <v>1</v>
      </c>
    </row>
    <row r="49" spans="1:2" x14ac:dyDescent="0.25">
      <c r="A49" s="23" t="s">
        <v>1211</v>
      </c>
      <c r="B49">
        <v>1</v>
      </c>
    </row>
    <row r="50" spans="1:2" x14ac:dyDescent="0.25">
      <c r="A50" s="23" t="s">
        <v>1064</v>
      </c>
      <c r="B50">
        <v>1</v>
      </c>
    </row>
    <row r="51" spans="1:2" x14ac:dyDescent="0.25">
      <c r="A51" s="23" t="s">
        <v>885</v>
      </c>
      <c r="B51">
        <v>1</v>
      </c>
    </row>
    <row r="52" spans="1:2" x14ac:dyDescent="0.25">
      <c r="A52" s="23" t="s">
        <v>621</v>
      </c>
      <c r="B52">
        <v>1</v>
      </c>
    </row>
    <row r="53" spans="1:2" x14ac:dyDescent="0.25">
      <c r="A53" s="23" t="s">
        <v>1357</v>
      </c>
      <c r="B53">
        <v>1</v>
      </c>
    </row>
    <row r="54" spans="1:2" x14ac:dyDescent="0.25">
      <c r="A54" s="23" t="s">
        <v>46</v>
      </c>
      <c r="B54">
        <v>5</v>
      </c>
    </row>
    <row r="55" spans="1:2" x14ac:dyDescent="0.25">
      <c r="A55" s="23" t="s">
        <v>405</v>
      </c>
      <c r="B55">
        <v>1</v>
      </c>
    </row>
    <row r="56" spans="1:2" x14ac:dyDescent="0.25">
      <c r="A56" s="23" t="s">
        <v>1213</v>
      </c>
      <c r="B56">
        <v>1</v>
      </c>
    </row>
    <row r="57" spans="1:2" x14ac:dyDescent="0.25">
      <c r="A57" s="23" t="s">
        <v>1082</v>
      </c>
      <c r="B57">
        <v>1</v>
      </c>
    </row>
    <row r="58" spans="1:2" x14ac:dyDescent="0.25">
      <c r="A58" s="23" t="s">
        <v>1299</v>
      </c>
      <c r="B58">
        <v>1</v>
      </c>
    </row>
    <row r="59" spans="1:2" x14ac:dyDescent="0.25">
      <c r="A59" s="23" t="s">
        <v>761</v>
      </c>
      <c r="B59">
        <v>1</v>
      </c>
    </row>
    <row r="60" spans="1:2" x14ac:dyDescent="0.25">
      <c r="A60" s="23" t="s">
        <v>189</v>
      </c>
      <c r="B60">
        <v>1</v>
      </c>
    </row>
    <row r="61" spans="1:2" x14ac:dyDescent="0.25">
      <c r="A61" s="23" t="s">
        <v>986</v>
      </c>
      <c r="B61">
        <v>1</v>
      </c>
    </row>
    <row r="62" spans="1:2" x14ac:dyDescent="0.25">
      <c r="A62" s="23" t="s">
        <v>472</v>
      </c>
      <c r="B62">
        <v>1</v>
      </c>
    </row>
    <row r="63" spans="1:2" x14ac:dyDescent="0.25">
      <c r="A63" s="23" t="s">
        <v>957</v>
      </c>
      <c r="B63">
        <v>1</v>
      </c>
    </row>
    <row r="64" spans="1:2" x14ac:dyDescent="0.25">
      <c r="A64" s="23" t="s">
        <v>1180</v>
      </c>
      <c r="B64">
        <v>1</v>
      </c>
    </row>
    <row r="65" spans="1:2" x14ac:dyDescent="0.25">
      <c r="A65" s="23" t="s">
        <v>737</v>
      </c>
      <c r="B65">
        <v>1</v>
      </c>
    </row>
    <row r="66" spans="1:2" x14ac:dyDescent="0.25">
      <c r="A66" s="23" t="s">
        <v>993</v>
      </c>
      <c r="B66">
        <v>1</v>
      </c>
    </row>
    <row r="67" spans="1:2" x14ac:dyDescent="0.25">
      <c r="A67" s="23" t="s">
        <v>767</v>
      </c>
      <c r="B67">
        <v>1</v>
      </c>
    </row>
    <row r="68" spans="1:2" x14ac:dyDescent="0.25">
      <c r="A68" s="23" t="s">
        <v>1370</v>
      </c>
      <c r="B68">
        <v>1</v>
      </c>
    </row>
    <row r="69" spans="1:2" x14ac:dyDescent="0.25">
      <c r="A69" s="23" t="s">
        <v>1178</v>
      </c>
      <c r="B69">
        <v>1</v>
      </c>
    </row>
    <row r="70" spans="1:2" x14ac:dyDescent="0.25">
      <c r="A70" s="23" t="s">
        <v>539</v>
      </c>
      <c r="B70">
        <v>1</v>
      </c>
    </row>
    <row r="71" spans="1:2" x14ac:dyDescent="0.25">
      <c r="A71" s="23" t="s">
        <v>780</v>
      </c>
      <c r="B71">
        <v>1</v>
      </c>
    </row>
    <row r="72" spans="1:2" x14ac:dyDescent="0.25">
      <c r="A72" s="23" t="s">
        <v>595</v>
      </c>
      <c r="B72">
        <v>1</v>
      </c>
    </row>
    <row r="73" spans="1:2" x14ac:dyDescent="0.25">
      <c r="A73" s="23" t="s">
        <v>980</v>
      </c>
      <c r="B73">
        <v>1</v>
      </c>
    </row>
    <row r="74" spans="1:2" x14ac:dyDescent="0.25">
      <c r="A74" s="23" t="s">
        <v>348</v>
      </c>
      <c r="B74">
        <v>1</v>
      </c>
    </row>
    <row r="75" spans="1:2" x14ac:dyDescent="0.25">
      <c r="A75" s="23" t="s">
        <v>1345</v>
      </c>
      <c r="B75">
        <v>1</v>
      </c>
    </row>
    <row r="76" spans="1:2" x14ac:dyDescent="0.25">
      <c r="A76" s="23" t="s">
        <v>523</v>
      </c>
      <c r="B76">
        <v>2</v>
      </c>
    </row>
    <row r="77" spans="1:2" x14ac:dyDescent="0.25">
      <c r="A77" s="23" t="s">
        <v>928</v>
      </c>
      <c r="B77">
        <v>1</v>
      </c>
    </row>
    <row r="78" spans="1:2" x14ac:dyDescent="0.25">
      <c r="A78" s="23" t="s">
        <v>686</v>
      </c>
      <c r="B78">
        <v>1</v>
      </c>
    </row>
    <row r="79" spans="1:2" x14ac:dyDescent="0.25">
      <c r="A79" s="23" t="s">
        <v>989</v>
      </c>
      <c r="B79">
        <v>1</v>
      </c>
    </row>
    <row r="80" spans="1:2" x14ac:dyDescent="0.25">
      <c r="A80" s="23" t="s">
        <v>1191</v>
      </c>
      <c r="B80">
        <v>1</v>
      </c>
    </row>
    <row r="81" spans="1:2" x14ac:dyDescent="0.25">
      <c r="A81" s="23" t="s">
        <v>444</v>
      </c>
      <c r="B81">
        <v>1</v>
      </c>
    </row>
    <row r="82" spans="1:2" x14ac:dyDescent="0.25">
      <c r="A82" s="23" t="s">
        <v>743</v>
      </c>
      <c r="B82">
        <v>1</v>
      </c>
    </row>
    <row r="83" spans="1:2" x14ac:dyDescent="0.25">
      <c r="A83" s="23" t="s">
        <v>519</v>
      </c>
      <c r="B83">
        <v>1</v>
      </c>
    </row>
    <row r="84" spans="1:2" x14ac:dyDescent="0.25">
      <c r="A84" s="23" t="s">
        <v>1297</v>
      </c>
      <c r="B84">
        <v>1</v>
      </c>
    </row>
    <row r="85" spans="1:2" x14ac:dyDescent="0.25">
      <c r="A85" s="23" t="s">
        <v>264</v>
      </c>
      <c r="B85">
        <v>1</v>
      </c>
    </row>
    <row r="86" spans="1:2" x14ac:dyDescent="0.25">
      <c r="A86" s="23" t="s">
        <v>258</v>
      </c>
      <c r="B86">
        <v>1</v>
      </c>
    </row>
    <row r="87" spans="1:2" x14ac:dyDescent="0.25">
      <c r="A87" s="23" t="s">
        <v>243</v>
      </c>
      <c r="B87">
        <v>1</v>
      </c>
    </row>
    <row r="88" spans="1:2" x14ac:dyDescent="0.25">
      <c r="A88" s="23" t="s">
        <v>246</v>
      </c>
      <c r="B88">
        <v>1</v>
      </c>
    </row>
    <row r="89" spans="1:2" x14ac:dyDescent="0.25">
      <c r="A89" s="23" t="s">
        <v>653</v>
      </c>
      <c r="B89">
        <v>4</v>
      </c>
    </row>
    <row r="90" spans="1:2" x14ac:dyDescent="0.25">
      <c r="A90" s="23" t="s">
        <v>706</v>
      </c>
      <c r="B90">
        <v>1</v>
      </c>
    </row>
    <row r="91" spans="1:2" x14ac:dyDescent="0.25">
      <c r="A91" s="23" t="s">
        <v>1379</v>
      </c>
      <c r="B91">
        <v>1</v>
      </c>
    </row>
    <row r="92" spans="1:2" x14ac:dyDescent="0.25">
      <c r="A92" s="23" t="s">
        <v>385</v>
      </c>
      <c r="B92">
        <v>1</v>
      </c>
    </row>
    <row r="93" spans="1:2" x14ac:dyDescent="0.25">
      <c r="A93" s="23" t="s">
        <v>551</v>
      </c>
      <c r="B93">
        <v>1</v>
      </c>
    </row>
    <row r="94" spans="1:2" x14ac:dyDescent="0.25">
      <c r="A94" s="23" t="s">
        <v>409</v>
      </c>
      <c r="B94">
        <v>1</v>
      </c>
    </row>
    <row r="95" spans="1:2" x14ac:dyDescent="0.25">
      <c r="A95" s="23" t="s">
        <v>724</v>
      </c>
      <c r="B95">
        <v>1</v>
      </c>
    </row>
    <row r="96" spans="1:2" x14ac:dyDescent="0.25">
      <c r="A96" s="23" t="s">
        <v>766</v>
      </c>
      <c r="B96">
        <v>1</v>
      </c>
    </row>
    <row r="97" spans="1:2" x14ac:dyDescent="0.25">
      <c r="A97" s="23" t="s">
        <v>999</v>
      </c>
      <c r="B97">
        <v>1</v>
      </c>
    </row>
    <row r="98" spans="1:2" x14ac:dyDescent="0.25">
      <c r="A98" s="23" t="s">
        <v>856</v>
      </c>
      <c r="B98">
        <v>1</v>
      </c>
    </row>
    <row r="99" spans="1:2" x14ac:dyDescent="0.25">
      <c r="A99" s="23" t="s">
        <v>1014</v>
      </c>
      <c r="B99">
        <v>1</v>
      </c>
    </row>
    <row r="100" spans="1:2" x14ac:dyDescent="0.25">
      <c r="A100" s="23" t="s">
        <v>1257</v>
      </c>
      <c r="B100">
        <v>1</v>
      </c>
    </row>
    <row r="101" spans="1:2" x14ac:dyDescent="0.25">
      <c r="A101" s="23" t="s">
        <v>703</v>
      </c>
      <c r="B101">
        <v>1</v>
      </c>
    </row>
    <row r="102" spans="1:2" x14ac:dyDescent="0.25">
      <c r="A102" s="23" t="s">
        <v>145</v>
      </c>
      <c r="B102">
        <v>1</v>
      </c>
    </row>
    <row r="103" spans="1:2" x14ac:dyDescent="0.25">
      <c r="A103" s="23" t="s">
        <v>1374</v>
      </c>
      <c r="B103">
        <v>1</v>
      </c>
    </row>
    <row r="104" spans="1:2" x14ac:dyDescent="0.25">
      <c r="A104" s="23" t="s">
        <v>402</v>
      </c>
      <c r="B104">
        <v>1</v>
      </c>
    </row>
    <row r="105" spans="1:2" x14ac:dyDescent="0.25">
      <c r="A105" s="23" t="s">
        <v>518</v>
      </c>
      <c r="B105">
        <v>1</v>
      </c>
    </row>
    <row r="106" spans="1:2" x14ac:dyDescent="0.25">
      <c r="A106" s="23" t="s">
        <v>1281</v>
      </c>
      <c r="B106">
        <v>1</v>
      </c>
    </row>
    <row r="107" spans="1:2" x14ac:dyDescent="0.25">
      <c r="A107" s="23" t="s">
        <v>921</v>
      </c>
      <c r="B107">
        <v>1</v>
      </c>
    </row>
    <row r="108" spans="1:2" x14ac:dyDescent="0.25">
      <c r="A108" s="23" t="s">
        <v>283</v>
      </c>
      <c r="B108">
        <v>1</v>
      </c>
    </row>
    <row r="109" spans="1:2" x14ac:dyDescent="0.25">
      <c r="A109" s="23" t="s">
        <v>411</v>
      </c>
      <c r="B109">
        <v>1</v>
      </c>
    </row>
    <row r="110" spans="1:2" x14ac:dyDescent="0.25">
      <c r="A110" s="23" t="s">
        <v>1116</v>
      </c>
      <c r="B110">
        <v>1</v>
      </c>
    </row>
    <row r="111" spans="1:2" x14ac:dyDescent="0.25">
      <c r="A111" s="23" t="s">
        <v>931</v>
      </c>
      <c r="B111">
        <v>1</v>
      </c>
    </row>
    <row r="112" spans="1:2" x14ac:dyDescent="0.25">
      <c r="A112" s="23" t="s">
        <v>358</v>
      </c>
      <c r="B112">
        <v>1</v>
      </c>
    </row>
    <row r="113" spans="1:2" x14ac:dyDescent="0.25">
      <c r="A113" s="23" t="s">
        <v>1042</v>
      </c>
      <c r="B113">
        <v>1</v>
      </c>
    </row>
    <row r="114" spans="1:2" x14ac:dyDescent="0.25">
      <c r="A114" s="23" t="s">
        <v>889</v>
      </c>
      <c r="B114">
        <v>1</v>
      </c>
    </row>
    <row r="115" spans="1:2" x14ac:dyDescent="0.25">
      <c r="A115" s="23" t="s">
        <v>267</v>
      </c>
      <c r="B115">
        <v>1</v>
      </c>
    </row>
    <row r="116" spans="1:2" x14ac:dyDescent="0.25">
      <c r="A116" s="23" t="s">
        <v>1130</v>
      </c>
      <c r="B116">
        <v>1</v>
      </c>
    </row>
    <row r="117" spans="1:2" x14ac:dyDescent="0.25">
      <c r="A117" s="23" t="s">
        <v>237</v>
      </c>
      <c r="B117">
        <v>1</v>
      </c>
    </row>
    <row r="118" spans="1:2" x14ac:dyDescent="0.25">
      <c r="A118" s="23" t="s">
        <v>1216</v>
      </c>
      <c r="B118">
        <v>1</v>
      </c>
    </row>
    <row r="119" spans="1:2" x14ac:dyDescent="0.25">
      <c r="A119" s="23" t="s">
        <v>1028</v>
      </c>
      <c r="B119">
        <v>1</v>
      </c>
    </row>
    <row r="120" spans="1:2" x14ac:dyDescent="0.25">
      <c r="A120" s="23" t="s">
        <v>1344</v>
      </c>
      <c r="B120">
        <v>1</v>
      </c>
    </row>
    <row r="121" spans="1:2" x14ac:dyDescent="0.25">
      <c r="A121" s="23" t="s">
        <v>634</v>
      </c>
      <c r="B121">
        <v>1</v>
      </c>
    </row>
    <row r="122" spans="1:2" x14ac:dyDescent="0.25">
      <c r="A122" s="22" t="s">
        <v>1436</v>
      </c>
      <c r="B122">
        <v>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71C5-0FB1-43AD-ACCC-D5B05120B232}">
  <dimension ref="A1:D93"/>
  <sheetViews>
    <sheetView workbookViewId="0">
      <selection activeCell="F30" sqref="F30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5" bestFit="1" customWidth="1"/>
    <col min="4" max="4" width="11.28515625" bestFit="1" customWidth="1"/>
  </cols>
  <sheetData>
    <row r="1" spans="1:4" x14ac:dyDescent="0.25">
      <c r="A1" s="21" t="s">
        <v>1416</v>
      </c>
      <c r="B1" t="s" vm="1">
        <v>1419</v>
      </c>
    </row>
    <row r="3" spans="1:4" x14ac:dyDescent="0.25">
      <c r="A3" s="21" t="s">
        <v>1456</v>
      </c>
      <c r="B3" s="21" t="s">
        <v>1455</v>
      </c>
    </row>
    <row r="4" spans="1:4" x14ac:dyDescent="0.25">
      <c r="A4" s="21" t="s">
        <v>1435</v>
      </c>
      <c r="B4" t="s">
        <v>1449</v>
      </c>
      <c r="C4" t="s">
        <v>1454</v>
      </c>
      <c r="D4" t="s">
        <v>1436</v>
      </c>
    </row>
    <row r="5" spans="1:4" x14ac:dyDescent="0.25">
      <c r="A5" s="22" t="s">
        <v>1437</v>
      </c>
    </row>
    <row r="6" spans="1:4" x14ac:dyDescent="0.25">
      <c r="A6" s="23" t="s">
        <v>1422</v>
      </c>
      <c r="B6">
        <v>1</v>
      </c>
      <c r="D6">
        <v>1</v>
      </c>
    </row>
    <row r="7" spans="1:4" x14ac:dyDescent="0.25">
      <c r="A7" s="23" t="s">
        <v>1421</v>
      </c>
      <c r="B7">
        <v>1</v>
      </c>
      <c r="C7">
        <v>1</v>
      </c>
      <c r="D7">
        <v>2</v>
      </c>
    </row>
    <row r="8" spans="1:4" x14ac:dyDescent="0.25">
      <c r="A8" s="23" t="s">
        <v>1426</v>
      </c>
      <c r="B8">
        <v>2</v>
      </c>
      <c r="C8">
        <v>1</v>
      </c>
      <c r="D8">
        <v>3</v>
      </c>
    </row>
    <row r="9" spans="1:4" x14ac:dyDescent="0.25">
      <c r="A9" s="23" t="s">
        <v>1420</v>
      </c>
      <c r="B9">
        <v>5</v>
      </c>
      <c r="C9">
        <v>3</v>
      </c>
      <c r="D9">
        <v>8</v>
      </c>
    </row>
    <row r="10" spans="1:4" x14ac:dyDescent="0.25">
      <c r="A10" s="23" t="s">
        <v>1427</v>
      </c>
      <c r="B10">
        <v>1</v>
      </c>
      <c r="C10">
        <v>1</v>
      </c>
      <c r="D10">
        <v>2</v>
      </c>
    </row>
    <row r="11" spans="1:4" x14ac:dyDescent="0.25">
      <c r="A11" s="23" t="s">
        <v>1423</v>
      </c>
      <c r="B11">
        <v>1</v>
      </c>
      <c r="D11">
        <v>1</v>
      </c>
    </row>
    <row r="12" spans="1:4" x14ac:dyDescent="0.25">
      <c r="A12" s="22" t="s">
        <v>1515</v>
      </c>
      <c r="B12">
        <v>11</v>
      </c>
      <c r="C12">
        <v>6</v>
      </c>
      <c r="D12">
        <v>17</v>
      </c>
    </row>
    <row r="13" spans="1:4" x14ac:dyDescent="0.25">
      <c r="A13" s="22" t="s">
        <v>1438</v>
      </c>
    </row>
    <row r="14" spans="1:4" x14ac:dyDescent="0.25">
      <c r="A14" s="23" t="s">
        <v>1426</v>
      </c>
      <c r="C14">
        <v>7</v>
      </c>
      <c r="D14">
        <v>7</v>
      </c>
    </row>
    <row r="15" spans="1:4" x14ac:dyDescent="0.25">
      <c r="A15" s="23" t="s">
        <v>1420</v>
      </c>
      <c r="B15">
        <v>4</v>
      </c>
      <c r="C15">
        <v>2</v>
      </c>
      <c r="D15">
        <v>6</v>
      </c>
    </row>
    <row r="16" spans="1:4" x14ac:dyDescent="0.25">
      <c r="A16" s="23" t="s">
        <v>1427</v>
      </c>
      <c r="B16">
        <v>3</v>
      </c>
      <c r="C16">
        <v>1</v>
      </c>
      <c r="D16">
        <v>4</v>
      </c>
    </row>
    <row r="17" spans="1:4" x14ac:dyDescent="0.25">
      <c r="A17" s="23" t="s">
        <v>1423</v>
      </c>
      <c r="C17">
        <v>1</v>
      </c>
      <c r="D17">
        <v>1</v>
      </c>
    </row>
    <row r="18" spans="1:4" x14ac:dyDescent="0.25">
      <c r="A18" s="22" t="s">
        <v>1516</v>
      </c>
      <c r="B18">
        <v>7</v>
      </c>
      <c r="C18">
        <v>11</v>
      </c>
      <c r="D18">
        <v>18</v>
      </c>
    </row>
    <row r="19" spans="1:4" x14ac:dyDescent="0.25">
      <c r="A19" s="22" t="s">
        <v>1439</v>
      </c>
    </row>
    <row r="20" spans="1:4" x14ac:dyDescent="0.25">
      <c r="A20" s="23" t="s">
        <v>1422</v>
      </c>
      <c r="B20">
        <v>3</v>
      </c>
      <c r="D20">
        <v>3</v>
      </c>
    </row>
    <row r="21" spans="1:4" x14ac:dyDescent="0.25">
      <c r="A21" s="23" t="s">
        <v>1426</v>
      </c>
      <c r="B21">
        <v>1</v>
      </c>
      <c r="C21">
        <v>3</v>
      </c>
      <c r="D21">
        <v>4</v>
      </c>
    </row>
    <row r="22" spans="1:4" x14ac:dyDescent="0.25">
      <c r="A22" s="23" t="s">
        <v>1420</v>
      </c>
      <c r="B22">
        <v>2</v>
      </c>
      <c r="C22">
        <v>2</v>
      </c>
      <c r="D22">
        <v>4</v>
      </c>
    </row>
    <row r="23" spans="1:4" x14ac:dyDescent="0.25">
      <c r="A23" s="23" t="s">
        <v>1427</v>
      </c>
      <c r="B23">
        <v>1</v>
      </c>
      <c r="C23">
        <v>1</v>
      </c>
      <c r="D23">
        <v>2</v>
      </c>
    </row>
    <row r="24" spans="1:4" x14ac:dyDescent="0.25">
      <c r="A24" s="23" t="s">
        <v>1423</v>
      </c>
      <c r="B24">
        <v>1</v>
      </c>
      <c r="C24">
        <v>2</v>
      </c>
      <c r="D24">
        <v>3</v>
      </c>
    </row>
    <row r="25" spans="1:4" x14ac:dyDescent="0.25">
      <c r="A25" s="23" t="s">
        <v>1429</v>
      </c>
      <c r="C25">
        <v>1</v>
      </c>
      <c r="D25">
        <v>1</v>
      </c>
    </row>
    <row r="26" spans="1:4" x14ac:dyDescent="0.25">
      <c r="A26" s="22" t="s">
        <v>1517</v>
      </c>
      <c r="B26">
        <v>8</v>
      </c>
      <c r="C26">
        <v>9</v>
      </c>
      <c r="D26">
        <v>17</v>
      </c>
    </row>
    <row r="27" spans="1:4" x14ac:dyDescent="0.25">
      <c r="A27" s="22" t="s">
        <v>1440</v>
      </c>
    </row>
    <row r="28" spans="1:4" x14ac:dyDescent="0.25">
      <c r="A28" s="23" t="s">
        <v>1422</v>
      </c>
      <c r="B28">
        <v>1</v>
      </c>
      <c r="D28">
        <v>1</v>
      </c>
    </row>
    <row r="29" spans="1:4" x14ac:dyDescent="0.25">
      <c r="A29" s="23" t="s">
        <v>1426</v>
      </c>
      <c r="B29">
        <v>1</v>
      </c>
      <c r="C29">
        <v>2</v>
      </c>
      <c r="D29">
        <v>3</v>
      </c>
    </row>
    <row r="30" spans="1:4" x14ac:dyDescent="0.25">
      <c r="A30" s="23" t="s">
        <v>1420</v>
      </c>
      <c r="B30">
        <v>7</v>
      </c>
      <c r="C30">
        <v>1</v>
      </c>
      <c r="D30">
        <v>8</v>
      </c>
    </row>
    <row r="31" spans="1:4" x14ac:dyDescent="0.25">
      <c r="A31" s="23" t="s">
        <v>1427</v>
      </c>
      <c r="B31">
        <v>1</v>
      </c>
      <c r="D31">
        <v>1</v>
      </c>
    </row>
    <row r="32" spans="1:4" x14ac:dyDescent="0.25">
      <c r="A32" s="23" t="s">
        <v>1423</v>
      </c>
      <c r="B32">
        <v>1</v>
      </c>
      <c r="C32">
        <v>1</v>
      </c>
      <c r="D32">
        <v>2</v>
      </c>
    </row>
    <row r="33" spans="1:4" x14ac:dyDescent="0.25">
      <c r="A33" s="22" t="s">
        <v>1518</v>
      </c>
      <c r="B33">
        <v>11</v>
      </c>
      <c r="C33">
        <v>4</v>
      </c>
      <c r="D33">
        <v>15</v>
      </c>
    </row>
    <row r="34" spans="1:4" x14ac:dyDescent="0.25">
      <c r="A34" s="22" t="s">
        <v>1441</v>
      </c>
    </row>
    <row r="35" spans="1:4" x14ac:dyDescent="0.25">
      <c r="A35" s="23" t="s">
        <v>1422</v>
      </c>
      <c r="B35">
        <v>2</v>
      </c>
      <c r="C35">
        <v>1</v>
      </c>
      <c r="D35">
        <v>3</v>
      </c>
    </row>
    <row r="36" spans="1:4" x14ac:dyDescent="0.25">
      <c r="A36" s="23" t="s">
        <v>1426</v>
      </c>
      <c r="B36">
        <v>6</v>
      </c>
      <c r="C36">
        <v>2</v>
      </c>
      <c r="D36">
        <v>8</v>
      </c>
    </row>
    <row r="37" spans="1:4" x14ac:dyDescent="0.25">
      <c r="A37" s="23" t="s">
        <v>1420</v>
      </c>
      <c r="B37">
        <v>7</v>
      </c>
      <c r="C37">
        <v>1</v>
      </c>
      <c r="D37">
        <v>8</v>
      </c>
    </row>
    <row r="38" spans="1:4" x14ac:dyDescent="0.25">
      <c r="A38" s="23" t="s">
        <v>1427</v>
      </c>
      <c r="B38">
        <v>3</v>
      </c>
      <c r="C38">
        <v>2</v>
      </c>
      <c r="D38">
        <v>5</v>
      </c>
    </row>
    <row r="39" spans="1:4" x14ac:dyDescent="0.25">
      <c r="A39" s="23" t="s">
        <v>1423</v>
      </c>
      <c r="C39">
        <v>2</v>
      </c>
      <c r="D39">
        <v>2</v>
      </c>
    </row>
    <row r="40" spans="1:4" x14ac:dyDescent="0.25">
      <c r="A40" s="22" t="s">
        <v>1519</v>
      </c>
      <c r="B40">
        <v>18</v>
      </c>
      <c r="C40">
        <v>8</v>
      </c>
      <c r="D40">
        <v>26</v>
      </c>
    </row>
    <row r="41" spans="1:4" x14ac:dyDescent="0.25">
      <c r="A41" s="22" t="s">
        <v>1442</v>
      </c>
    </row>
    <row r="42" spans="1:4" x14ac:dyDescent="0.25">
      <c r="A42" s="23" t="s">
        <v>1421</v>
      </c>
      <c r="C42">
        <v>1</v>
      </c>
      <c r="D42">
        <v>1</v>
      </c>
    </row>
    <row r="43" spans="1:4" x14ac:dyDescent="0.25">
      <c r="A43" s="23" t="s">
        <v>1426</v>
      </c>
      <c r="B43">
        <v>2</v>
      </c>
      <c r="C43">
        <v>2</v>
      </c>
      <c r="D43">
        <v>4</v>
      </c>
    </row>
    <row r="44" spans="1:4" x14ac:dyDescent="0.25">
      <c r="A44" s="23" t="s">
        <v>1420</v>
      </c>
      <c r="B44">
        <v>3</v>
      </c>
      <c r="C44">
        <v>3</v>
      </c>
      <c r="D44">
        <v>6</v>
      </c>
    </row>
    <row r="45" spans="1:4" x14ac:dyDescent="0.25">
      <c r="A45" s="23" t="s">
        <v>1427</v>
      </c>
      <c r="B45">
        <v>3</v>
      </c>
      <c r="C45">
        <v>4</v>
      </c>
      <c r="D45">
        <v>7</v>
      </c>
    </row>
    <row r="46" spans="1:4" x14ac:dyDescent="0.25">
      <c r="A46" s="23" t="s">
        <v>1423</v>
      </c>
      <c r="B46">
        <v>2</v>
      </c>
      <c r="D46">
        <v>2</v>
      </c>
    </row>
    <row r="47" spans="1:4" x14ac:dyDescent="0.25">
      <c r="A47" s="22" t="s">
        <v>1520</v>
      </c>
      <c r="B47">
        <v>10</v>
      </c>
      <c r="C47">
        <v>10</v>
      </c>
      <c r="D47">
        <v>20</v>
      </c>
    </row>
    <row r="48" spans="1:4" x14ac:dyDescent="0.25">
      <c r="A48" s="22" t="s">
        <v>1443</v>
      </c>
    </row>
    <row r="49" spans="1:4" x14ac:dyDescent="0.25">
      <c r="A49" s="23" t="s">
        <v>1422</v>
      </c>
      <c r="C49">
        <v>1</v>
      </c>
      <c r="D49">
        <v>1</v>
      </c>
    </row>
    <row r="50" spans="1:4" x14ac:dyDescent="0.25">
      <c r="A50" s="23" t="s">
        <v>1428</v>
      </c>
      <c r="C50">
        <v>1</v>
      </c>
      <c r="D50">
        <v>1</v>
      </c>
    </row>
    <row r="51" spans="1:4" x14ac:dyDescent="0.25">
      <c r="A51" s="23" t="s">
        <v>1426</v>
      </c>
      <c r="B51">
        <v>3</v>
      </c>
      <c r="C51">
        <v>2</v>
      </c>
      <c r="D51">
        <v>5</v>
      </c>
    </row>
    <row r="52" spans="1:4" x14ac:dyDescent="0.25">
      <c r="A52" s="23" t="s">
        <v>1420</v>
      </c>
      <c r="B52">
        <v>8</v>
      </c>
      <c r="C52">
        <v>5</v>
      </c>
      <c r="D52">
        <v>13</v>
      </c>
    </row>
    <row r="53" spans="1:4" x14ac:dyDescent="0.25">
      <c r="A53" s="23" t="s">
        <v>1427</v>
      </c>
      <c r="B53">
        <v>7</v>
      </c>
      <c r="C53">
        <v>3</v>
      </c>
      <c r="D53">
        <v>10</v>
      </c>
    </row>
    <row r="54" spans="1:4" x14ac:dyDescent="0.25">
      <c r="A54" s="23" t="s">
        <v>1423</v>
      </c>
      <c r="B54">
        <v>2</v>
      </c>
      <c r="C54">
        <v>4</v>
      </c>
      <c r="D54">
        <v>6</v>
      </c>
    </row>
    <row r="55" spans="1:4" x14ac:dyDescent="0.25">
      <c r="A55" s="23" t="s">
        <v>1429</v>
      </c>
      <c r="C55">
        <v>1</v>
      </c>
      <c r="D55">
        <v>1</v>
      </c>
    </row>
    <row r="56" spans="1:4" x14ac:dyDescent="0.25">
      <c r="A56" s="22" t="s">
        <v>1521</v>
      </c>
      <c r="B56">
        <v>20</v>
      </c>
      <c r="C56">
        <v>17</v>
      </c>
      <c r="D56">
        <v>37</v>
      </c>
    </row>
    <row r="57" spans="1:4" x14ac:dyDescent="0.25">
      <c r="A57" s="22" t="s">
        <v>1444</v>
      </c>
    </row>
    <row r="58" spans="1:4" x14ac:dyDescent="0.25">
      <c r="A58" s="23" t="s">
        <v>1422</v>
      </c>
      <c r="C58">
        <v>1</v>
      </c>
      <c r="D58">
        <v>1</v>
      </c>
    </row>
    <row r="59" spans="1:4" x14ac:dyDescent="0.25">
      <c r="A59" s="23" t="s">
        <v>1426</v>
      </c>
      <c r="B59">
        <v>3</v>
      </c>
      <c r="D59">
        <v>3</v>
      </c>
    </row>
    <row r="60" spans="1:4" x14ac:dyDescent="0.25">
      <c r="A60" s="23" t="s">
        <v>1420</v>
      </c>
      <c r="B60">
        <v>3</v>
      </c>
      <c r="C60">
        <v>6</v>
      </c>
      <c r="D60">
        <v>9</v>
      </c>
    </row>
    <row r="61" spans="1:4" x14ac:dyDescent="0.25">
      <c r="A61" s="23" t="s">
        <v>1427</v>
      </c>
      <c r="B61">
        <v>2</v>
      </c>
      <c r="C61">
        <v>1</v>
      </c>
      <c r="D61">
        <v>3</v>
      </c>
    </row>
    <row r="62" spans="1:4" x14ac:dyDescent="0.25">
      <c r="A62" s="23" t="s">
        <v>1423</v>
      </c>
      <c r="B62">
        <v>1</v>
      </c>
      <c r="C62">
        <v>2</v>
      </c>
      <c r="D62">
        <v>3</v>
      </c>
    </row>
    <row r="63" spans="1:4" x14ac:dyDescent="0.25">
      <c r="A63" s="22" t="s">
        <v>1522</v>
      </c>
      <c r="B63">
        <v>9</v>
      </c>
      <c r="C63">
        <v>10</v>
      </c>
      <c r="D63">
        <v>19</v>
      </c>
    </row>
    <row r="64" spans="1:4" x14ac:dyDescent="0.25">
      <c r="A64" s="22" t="s">
        <v>1445</v>
      </c>
    </row>
    <row r="65" spans="1:4" x14ac:dyDescent="0.25">
      <c r="A65" s="23" t="s">
        <v>1422</v>
      </c>
      <c r="C65">
        <v>1</v>
      </c>
      <c r="D65">
        <v>1</v>
      </c>
    </row>
    <row r="66" spans="1:4" x14ac:dyDescent="0.25">
      <c r="A66" s="23" t="s">
        <v>1428</v>
      </c>
      <c r="B66">
        <v>1</v>
      </c>
      <c r="D66">
        <v>1</v>
      </c>
    </row>
    <row r="67" spans="1:4" x14ac:dyDescent="0.25">
      <c r="A67" s="23" t="s">
        <v>1426</v>
      </c>
      <c r="B67">
        <v>2</v>
      </c>
      <c r="C67">
        <v>4</v>
      </c>
      <c r="D67">
        <v>6</v>
      </c>
    </row>
    <row r="68" spans="1:4" x14ac:dyDescent="0.25">
      <c r="A68" s="23" t="s">
        <v>1420</v>
      </c>
      <c r="B68">
        <v>6</v>
      </c>
      <c r="C68">
        <v>3</v>
      </c>
      <c r="D68">
        <v>9</v>
      </c>
    </row>
    <row r="69" spans="1:4" x14ac:dyDescent="0.25">
      <c r="A69" s="23" t="s">
        <v>1427</v>
      </c>
      <c r="C69">
        <v>1</v>
      </c>
      <c r="D69">
        <v>1</v>
      </c>
    </row>
    <row r="70" spans="1:4" x14ac:dyDescent="0.25">
      <c r="A70" s="23" t="s">
        <v>1423</v>
      </c>
      <c r="B70">
        <v>2</v>
      </c>
      <c r="D70">
        <v>2</v>
      </c>
    </row>
    <row r="71" spans="1:4" x14ac:dyDescent="0.25">
      <c r="A71" s="22" t="s">
        <v>1523</v>
      </c>
      <c r="B71">
        <v>11</v>
      </c>
      <c r="C71">
        <v>9</v>
      </c>
      <c r="D71">
        <v>20</v>
      </c>
    </row>
    <row r="72" spans="1:4" x14ac:dyDescent="0.25">
      <c r="A72" s="22" t="s">
        <v>1446</v>
      </c>
    </row>
    <row r="73" spans="1:4" x14ac:dyDescent="0.25">
      <c r="A73" s="23" t="s">
        <v>1422</v>
      </c>
      <c r="B73">
        <v>3</v>
      </c>
      <c r="C73">
        <v>1</v>
      </c>
      <c r="D73">
        <v>4</v>
      </c>
    </row>
    <row r="74" spans="1:4" x14ac:dyDescent="0.25">
      <c r="A74" s="23" t="s">
        <v>1426</v>
      </c>
      <c r="C74">
        <v>2</v>
      </c>
      <c r="D74">
        <v>2</v>
      </c>
    </row>
    <row r="75" spans="1:4" x14ac:dyDescent="0.25">
      <c r="A75" s="23" t="s">
        <v>1420</v>
      </c>
      <c r="C75">
        <v>5</v>
      </c>
      <c r="D75">
        <v>5</v>
      </c>
    </row>
    <row r="76" spans="1:4" x14ac:dyDescent="0.25">
      <c r="A76" s="23" t="s">
        <v>1423</v>
      </c>
      <c r="B76">
        <v>3</v>
      </c>
      <c r="C76">
        <v>1</v>
      </c>
      <c r="D76">
        <v>4</v>
      </c>
    </row>
    <row r="77" spans="1:4" x14ac:dyDescent="0.25">
      <c r="A77" s="22" t="s">
        <v>1524</v>
      </c>
      <c r="B77">
        <v>6</v>
      </c>
      <c r="C77">
        <v>9</v>
      </c>
      <c r="D77">
        <v>15</v>
      </c>
    </row>
    <row r="78" spans="1:4" x14ac:dyDescent="0.25">
      <c r="A78" s="22" t="s">
        <v>1447</v>
      </c>
    </row>
    <row r="79" spans="1:4" x14ac:dyDescent="0.25">
      <c r="A79" s="23" t="s">
        <v>1428</v>
      </c>
      <c r="B79">
        <v>1</v>
      </c>
      <c r="D79">
        <v>1</v>
      </c>
    </row>
    <row r="80" spans="1:4" x14ac:dyDescent="0.25">
      <c r="A80" s="23" t="s">
        <v>1426</v>
      </c>
      <c r="B80">
        <v>1</v>
      </c>
      <c r="C80">
        <v>3</v>
      </c>
      <c r="D80">
        <v>4</v>
      </c>
    </row>
    <row r="81" spans="1:4" x14ac:dyDescent="0.25">
      <c r="A81" s="23" t="s">
        <v>1420</v>
      </c>
      <c r="B81">
        <v>3</v>
      </c>
      <c r="C81">
        <v>4</v>
      </c>
      <c r="D81">
        <v>7</v>
      </c>
    </row>
    <row r="82" spans="1:4" x14ac:dyDescent="0.25">
      <c r="A82" s="23" t="s">
        <v>1427</v>
      </c>
      <c r="C82">
        <v>2</v>
      </c>
      <c r="D82">
        <v>2</v>
      </c>
    </row>
    <row r="83" spans="1:4" x14ac:dyDescent="0.25">
      <c r="A83" s="23" t="s">
        <v>1423</v>
      </c>
      <c r="B83">
        <v>1</v>
      </c>
      <c r="C83">
        <v>1</v>
      </c>
      <c r="D83">
        <v>2</v>
      </c>
    </row>
    <row r="84" spans="1:4" x14ac:dyDescent="0.25">
      <c r="A84" s="22" t="s">
        <v>1525</v>
      </c>
      <c r="B84">
        <v>6</v>
      </c>
      <c r="C84">
        <v>10</v>
      </c>
      <c r="D84">
        <v>16</v>
      </c>
    </row>
    <row r="85" spans="1:4" x14ac:dyDescent="0.25">
      <c r="A85" s="22" t="s">
        <v>1448</v>
      </c>
    </row>
    <row r="86" spans="1:4" x14ac:dyDescent="0.25">
      <c r="A86" s="23" t="s">
        <v>1422</v>
      </c>
      <c r="B86">
        <v>2</v>
      </c>
      <c r="C86">
        <v>1</v>
      </c>
      <c r="D86">
        <v>3</v>
      </c>
    </row>
    <row r="87" spans="1:4" x14ac:dyDescent="0.25">
      <c r="A87" s="23" t="s">
        <v>1426</v>
      </c>
      <c r="B87">
        <v>5</v>
      </c>
      <c r="D87">
        <v>5</v>
      </c>
    </row>
    <row r="88" spans="1:4" x14ac:dyDescent="0.25">
      <c r="A88" s="23" t="s">
        <v>1420</v>
      </c>
      <c r="B88">
        <v>4</v>
      </c>
      <c r="C88">
        <v>1</v>
      </c>
      <c r="D88">
        <v>5</v>
      </c>
    </row>
    <row r="89" spans="1:4" x14ac:dyDescent="0.25">
      <c r="A89" s="23" t="s">
        <v>1427</v>
      </c>
      <c r="B89">
        <v>2</v>
      </c>
      <c r="D89">
        <v>2</v>
      </c>
    </row>
    <row r="90" spans="1:4" x14ac:dyDescent="0.25">
      <c r="A90" s="23" t="s">
        <v>1423</v>
      </c>
      <c r="C90">
        <v>4</v>
      </c>
      <c r="D90">
        <v>4</v>
      </c>
    </row>
    <row r="91" spans="1:4" x14ac:dyDescent="0.25">
      <c r="A91" s="23" t="s">
        <v>1429</v>
      </c>
      <c r="B91">
        <v>1</v>
      </c>
      <c r="C91">
        <v>1</v>
      </c>
      <c r="D91">
        <v>2</v>
      </c>
    </row>
    <row r="92" spans="1:4" x14ac:dyDescent="0.25">
      <c r="A92" s="22" t="s">
        <v>1526</v>
      </c>
      <c r="B92">
        <v>14</v>
      </c>
      <c r="C92">
        <v>7</v>
      </c>
      <c r="D92">
        <v>21</v>
      </c>
    </row>
    <row r="93" spans="1:4" x14ac:dyDescent="0.25">
      <c r="A93" s="22" t="s">
        <v>1436</v>
      </c>
      <c r="B93">
        <v>131</v>
      </c>
      <c r="C93">
        <v>110</v>
      </c>
      <c r="D93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C493-8AC4-4434-B80F-BA8D14F8C701}">
  <dimension ref="A1:J447"/>
  <sheetViews>
    <sheetView topLeftCell="D1" workbookViewId="0">
      <selection activeCell="E14" sqref="E14"/>
    </sheetView>
  </sheetViews>
  <sheetFormatPr defaultRowHeight="15" x14ac:dyDescent="0.25"/>
  <cols>
    <col min="1" max="3" width="19.42578125" hidden="1" customWidth="1"/>
    <col min="4" max="4" width="19.42578125" customWidth="1"/>
    <col min="5" max="5" width="22.140625" bestFit="1" customWidth="1"/>
    <col min="6" max="6" width="22.5703125" bestFit="1" customWidth="1"/>
    <col min="7" max="7" width="104" customWidth="1"/>
    <col min="8" max="8" width="32.42578125" bestFit="1" customWidth="1"/>
    <col min="9" max="9" width="18.85546875" customWidth="1"/>
    <col min="10" max="10" width="30.42578125" bestFit="1" customWidth="1"/>
  </cols>
  <sheetData>
    <row r="1" spans="1:10" x14ac:dyDescent="0.25">
      <c r="A1" s="19" t="s">
        <v>0</v>
      </c>
      <c r="B1" s="19" t="s">
        <v>1434</v>
      </c>
      <c r="C1" s="19" t="s">
        <v>1413</v>
      </c>
      <c r="D1" s="19" t="s">
        <v>1433</v>
      </c>
      <c r="E1" s="19" t="s">
        <v>1</v>
      </c>
      <c r="F1" s="19" t="s">
        <v>2</v>
      </c>
      <c r="G1" s="19" t="s">
        <v>3</v>
      </c>
      <c r="H1" s="17" t="s">
        <v>1416</v>
      </c>
      <c r="I1" s="17" t="s">
        <v>1417</v>
      </c>
      <c r="J1" s="17" t="s">
        <v>1430</v>
      </c>
    </row>
    <row r="2" spans="1:10" x14ac:dyDescent="0.25">
      <c r="A2" t="s">
        <v>119</v>
      </c>
      <c r="B2" t="str">
        <f>LEFT(A2,FIND("-",A2)-1)</f>
        <v>2</v>
      </c>
      <c r="C2" t="str">
        <f>MID(A2,FIND("-",A2)+1,FIND("-",A2,FIND("-",A2)+1)-FIND("-",A2)-1)</f>
        <v>ENERO</v>
      </c>
      <c r="D2" s="20">
        <v>45293</v>
      </c>
      <c r="E2" t="s">
        <v>116</v>
      </c>
      <c r="F2" t="s">
        <v>117</v>
      </c>
      <c r="H2">
        <f>_xlfn.XLOOKUP($G2,RazónMuerte!$A:$A,RazónMuerte!B:B,"",0)</f>
        <v>0</v>
      </c>
      <c r="I2">
        <f>_xlfn.XLOOKUP($G2,RazónMuerte!$A:$A,RazónMuerte!C:C,"",0)</f>
        <v>0</v>
      </c>
      <c r="J2">
        <f>_xlfn.XLOOKUP($G2,RazónMuerte!$A:$A,RazónMuerte!D:D,"",0)</f>
        <v>0</v>
      </c>
    </row>
    <row r="3" spans="1:10" x14ac:dyDescent="0.25">
      <c r="A3" t="s">
        <v>120</v>
      </c>
      <c r="B3" t="str">
        <f t="shared" ref="B3:B66" si="0">LEFT(A3,FIND("-",A3)-1)</f>
        <v>3</v>
      </c>
      <c r="C3" t="str">
        <f t="shared" ref="C3:C66" si="1">MID(A3,FIND("-",A3)+1,FIND("-",A3,FIND("-",A3)+1)-FIND("-",A3)-1)</f>
        <v>ENERO</v>
      </c>
      <c r="D3" s="20">
        <v>45294</v>
      </c>
      <c r="E3" t="s">
        <v>7</v>
      </c>
      <c r="F3" t="s">
        <v>121</v>
      </c>
      <c r="G3" t="s">
        <v>122</v>
      </c>
      <c r="H3" t="str">
        <f>_xlfn.XLOOKUP($G3,RazónMuerte!$A:$A,RazónMuerte!B:B,"",0)</f>
        <v>Enfermedad degenerativa articular</v>
      </c>
      <c r="I3">
        <f>_xlfn.XLOOKUP($G3,RazónMuerte!$A:$A,RazónMuerte!C:C,"",0)</f>
        <v>0</v>
      </c>
      <c r="J3" t="str">
        <f>_xlfn.XLOOKUP($G3,RazónMuerte!$A:$A,RazónMuerte!D:D,"",0)</f>
        <v>Fatal injury</v>
      </c>
    </row>
    <row r="4" spans="1:10" x14ac:dyDescent="0.25">
      <c r="A4" t="s">
        <v>123</v>
      </c>
      <c r="B4" t="str">
        <f t="shared" si="0"/>
        <v>4</v>
      </c>
      <c r="C4" t="str">
        <f t="shared" si="1"/>
        <v>ENERO</v>
      </c>
      <c r="D4" s="20">
        <v>45295</v>
      </c>
      <c r="E4" t="s">
        <v>124</v>
      </c>
      <c r="F4" t="s">
        <v>125</v>
      </c>
      <c r="G4" t="s">
        <v>8</v>
      </c>
      <c r="H4" t="str">
        <f>_xlfn.XLOOKUP($G4,RazónMuerte!$A:$A,RazónMuerte!B:B,"",0)</f>
        <v>Fractura ósea</v>
      </c>
      <c r="I4" t="str">
        <f>_xlfn.XLOOKUP($G4,RazónMuerte!$A:$A,RazónMuerte!C:C,"",0)</f>
        <v>Rodilla / Carpal</v>
      </c>
      <c r="J4" t="str">
        <f>_xlfn.XLOOKUP($G4,RazónMuerte!$A:$A,RazónMuerte!D:D,"",0)</f>
        <v>Fatal injury</v>
      </c>
    </row>
    <row r="5" spans="1:10" x14ac:dyDescent="0.25">
      <c r="A5" t="s">
        <v>126</v>
      </c>
      <c r="B5" t="str">
        <f t="shared" si="0"/>
        <v>5</v>
      </c>
      <c r="C5" t="str">
        <f t="shared" si="1"/>
        <v>ENERO</v>
      </c>
      <c r="D5" s="20">
        <v>45296</v>
      </c>
      <c r="E5" t="s">
        <v>127</v>
      </c>
      <c r="F5" t="s">
        <v>128</v>
      </c>
      <c r="G5" t="s">
        <v>50</v>
      </c>
      <c r="H5" t="str">
        <f>_xlfn.XLOOKUP($G5,RazónMuerte!$A:$A,RazónMuerte!B:B,"",0)</f>
        <v>Fractura ósea</v>
      </c>
      <c r="I5" t="str">
        <f>_xlfn.XLOOKUP($G5,RazónMuerte!$A:$A,RazónMuerte!C:C,"",0)</f>
        <v>Condylar</v>
      </c>
      <c r="J5" t="str">
        <f>_xlfn.XLOOKUP($G5,RazónMuerte!$A:$A,RazónMuerte!D:D,"",0)</f>
        <v>Fatal injury</v>
      </c>
    </row>
    <row r="6" spans="1:10" x14ac:dyDescent="0.25">
      <c r="A6" t="s">
        <v>126</v>
      </c>
      <c r="B6" t="str">
        <f t="shared" si="0"/>
        <v>5</v>
      </c>
      <c r="C6" t="str">
        <f t="shared" si="1"/>
        <v>ENERO</v>
      </c>
      <c r="D6" s="20">
        <v>45296</v>
      </c>
      <c r="E6" t="s">
        <v>129</v>
      </c>
      <c r="F6" t="s">
        <v>130</v>
      </c>
      <c r="G6" t="s">
        <v>131</v>
      </c>
      <c r="H6" t="str">
        <f>_xlfn.XLOOKUP($G6,RazónMuerte!$A:$A,RazónMuerte!B:B,"",0)</f>
        <v>Enfermedad degenerativa articular</v>
      </c>
      <c r="I6">
        <f>_xlfn.XLOOKUP($G6,RazónMuerte!$A:$A,RazónMuerte!C:C,"",0)</f>
        <v>0</v>
      </c>
      <c r="J6" t="str">
        <f>_xlfn.XLOOKUP($G6,RazónMuerte!$A:$A,RazónMuerte!D:D,"",0)</f>
        <v>No fatal injury (chronic/medical)</v>
      </c>
    </row>
    <row r="7" spans="1:10" x14ac:dyDescent="0.25">
      <c r="A7" t="s">
        <v>126</v>
      </c>
      <c r="B7" t="str">
        <f t="shared" si="0"/>
        <v>5</v>
      </c>
      <c r="C7" t="str">
        <f t="shared" si="1"/>
        <v>ENERO</v>
      </c>
      <c r="D7" s="20">
        <v>45296</v>
      </c>
      <c r="E7" t="s">
        <v>132</v>
      </c>
      <c r="F7" t="s">
        <v>133</v>
      </c>
      <c r="G7" t="s">
        <v>134</v>
      </c>
      <c r="H7" t="str">
        <f>_xlfn.XLOOKUP($G7,RazónMuerte!$A:$A,RazónMuerte!B:B,"",0)</f>
        <v>Fractura ósea</v>
      </c>
      <c r="I7" t="str">
        <f>_xlfn.XLOOKUP($G7,RazónMuerte!$A:$A,RazónMuerte!C:C,"",0)</f>
        <v>Caña / Cannon bone</v>
      </c>
      <c r="J7" t="str">
        <f>_xlfn.XLOOKUP($G7,RazónMuerte!$A:$A,RazónMuerte!D:D,"",0)</f>
        <v>Fatal injury</v>
      </c>
    </row>
    <row r="8" spans="1:10" x14ac:dyDescent="0.25">
      <c r="A8" t="s">
        <v>138</v>
      </c>
      <c r="B8" t="str">
        <f t="shared" si="0"/>
        <v>7</v>
      </c>
      <c r="C8" t="str">
        <f t="shared" si="1"/>
        <v>ENERO</v>
      </c>
      <c r="D8" s="20">
        <v>45298</v>
      </c>
      <c r="E8" t="s">
        <v>68</v>
      </c>
      <c r="F8" t="s">
        <v>59</v>
      </c>
      <c r="H8">
        <f>_xlfn.XLOOKUP($G8,RazónMuerte!$A:$A,RazónMuerte!B:B,"",0)</f>
        <v>0</v>
      </c>
      <c r="I8">
        <f>_xlfn.XLOOKUP($G8,RazónMuerte!$A:$A,RazónMuerte!C:C,"",0)</f>
        <v>0</v>
      </c>
      <c r="J8">
        <f>_xlfn.XLOOKUP($G8,RazónMuerte!$A:$A,RazónMuerte!D:D,"",0)</f>
        <v>0</v>
      </c>
    </row>
    <row r="9" spans="1:10" x14ac:dyDescent="0.25">
      <c r="A9" t="s">
        <v>139</v>
      </c>
      <c r="B9" t="str">
        <f t="shared" si="0"/>
        <v>8</v>
      </c>
      <c r="C9" t="str">
        <f t="shared" si="1"/>
        <v>ENERO</v>
      </c>
      <c r="D9" s="20">
        <v>45299</v>
      </c>
      <c r="E9" t="s">
        <v>140</v>
      </c>
      <c r="F9" t="s">
        <v>141</v>
      </c>
      <c r="H9">
        <f>_xlfn.XLOOKUP($G9,RazónMuerte!$A:$A,RazónMuerte!B:B,"",0)</f>
        <v>0</v>
      </c>
      <c r="I9">
        <f>_xlfn.XLOOKUP($G9,RazónMuerte!$A:$A,RazónMuerte!C:C,"",0)</f>
        <v>0</v>
      </c>
      <c r="J9">
        <f>_xlfn.XLOOKUP($G9,RazónMuerte!$A:$A,RazónMuerte!D:D,"",0)</f>
        <v>0</v>
      </c>
    </row>
    <row r="10" spans="1:10" x14ac:dyDescent="0.25">
      <c r="A10" t="s">
        <v>135</v>
      </c>
      <c r="B10" t="str">
        <f t="shared" si="0"/>
        <v>11</v>
      </c>
      <c r="C10" t="str">
        <f t="shared" si="1"/>
        <v>ENERO</v>
      </c>
      <c r="D10" s="20">
        <v>45302</v>
      </c>
      <c r="E10" t="s">
        <v>21</v>
      </c>
      <c r="F10" t="s">
        <v>136</v>
      </c>
      <c r="G10" t="s">
        <v>137</v>
      </c>
      <c r="H10" t="str">
        <f>_xlfn.XLOOKUP($G10,RazónMuerte!$A:$A,RazónMuerte!B:B,"",0)</f>
        <v>Fractura ósea</v>
      </c>
      <c r="I10" t="str">
        <f>_xlfn.XLOOKUP($G10,RazónMuerte!$A:$A,RazónMuerte!C:C,"",0)</f>
        <v>Slab</v>
      </c>
      <c r="J10" t="str">
        <f>_xlfn.XLOOKUP($G10,RazónMuerte!$A:$A,RazónMuerte!D:D,"",0)</f>
        <v>Fatal injury</v>
      </c>
    </row>
    <row r="11" spans="1:10" x14ac:dyDescent="0.25">
      <c r="A11" t="s">
        <v>142</v>
      </c>
      <c r="B11" t="str">
        <f t="shared" si="0"/>
        <v>12</v>
      </c>
      <c r="C11" t="str">
        <f t="shared" si="1"/>
        <v>ENERO</v>
      </c>
      <c r="D11" s="20">
        <v>45303</v>
      </c>
      <c r="E11" t="s">
        <v>143</v>
      </c>
      <c r="F11" t="s">
        <v>144</v>
      </c>
      <c r="G11" t="s">
        <v>145</v>
      </c>
      <c r="H11" t="str">
        <f>_xlfn.XLOOKUP($G11,RazónMuerte!$A:$A,RazónMuerte!B:B,"",0)</f>
        <v>Otras / No especificada</v>
      </c>
      <c r="I11">
        <f>_xlfn.XLOOKUP($G11,RazónMuerte!$A:$A,RazónMuerte!C:C,"",0)</f>
        <v>0</v>
      </c>
      <c r="J11" t="str">
        <f>_xlfn.XLOOKUP($G11,RazónMuerte!$A:$A,RazónMuerte!D:D,"",0)</f>
        <v>Fatal injury</v>
      </c>
    </row>
    <row r="12" spans="1:10" x14ac:dyDescent="0.25">
      <c r="A12" t="s">
        <v>142</v>
      </c>
      <c r="B12" t="str">
        <f t="shared" si="0"/>
        <v>12</v>
      </c>
      <c r="C12" t="str">
        <f t="shared" si="1"/>
        <v>ENERO</v>
      </c>
      <c r="D12" s="20">
        <v>45303</v>
      </c>
      <c r="E12" t="s">
        <v>5</v>
      </c>
      <c r="F12" t="s">
        <v>146</v>
      </c>
      <c r="G12" t="s">
        <v>46</v>
      </c>
      <c r="H12" t="str">
        <f>_xlfn.XLOOKUP($G12,RazónMuerte!$A:$A,RazónMuerte!B:B,"",0)</f>
        <v>Otras / No especificada</v>
      </c>
      <c r="I12">
        <f>_xlfn.XLOOKUP($G12,RazónMuerte!$A:$A,RazónMuerte!C:C,"",0)</f>
        <v>0</v>
      </c>
      <c r="J12" t="str">
        <f>_xlfn.XLOOKUP($G12,RazónMuerte!$A:$A,RazónMuerte!D:D,"",0)</f>
        <v>No clasificado</v>
      </c>
    </row>
    <row r="13" spans="1:10" x14ac:dyDescent="0.25">
      <c r="A13" t="s">
        <v>142</v>
      </c>
      <c r="B13" t="str">
        <f t="shared" si="0"/>
        <v>12</v>
      </c>
      <c r="C13" t="str">
        <f t="shared" si="1"/>
        <v>ENERO</v>
      </c>
      <c r="D13" s="20">
        <v>45303</v>
      </c>
      <c r="E13" t="s">
        <v>151</v>
      </c>
      <c r="F13" t="s">
        <v>152</v>
      </c>
      <c r="G13" t="s">
        <v>49</v>
      </c>
      <c r="H13" t="str">
        <f>_xlfn.XLOOKUP($G13,RazónMuerte!$A:$A,RazónMuerte!B:B,"",0)</f>
        <v>Otras / No especificada</v>
      </c>
      <c r="I13">
        <f>_xlfn.XLOOKUP($G13,RazónMuerte!$A:$A,RazónMuerte!C:C,"",0)</f>
        <v>0</v>
      </c>
      <c r="J13" t="str">
        <f>_xlfn.XLOOKUP($G13,RazónMuerte!$A:$A,RazónMuerte!D:D,"",0)</f>
        <v>No clasificado</v>
      </c>
    </row>
    <row r="14" spans="1:10" x14ac:dyDescent="0.25">
      <c r="A14" t="s">
        <v>147</v>
      </c>
      <c r="B14" t="str">
        <f t="shared" si="0"/>
        <v>13</v>
      </c>
      <c r="C14" t="str">
        <f t="shared" si="1"/>
        <v>ENERO</v>
      </c>
      <c r="D14" s="20">
        <v>45304</v>
      </c>
      <c r="E14" t="s">
        <v>32</v>
      </c>
      <c r="F14" t="s">
        <v>148</v>
      </c>
      <c r="G14" t="s">
        <v>149</v>
      </c>
      <c r="H14" t="str">
        <f>_xlfn.XLOOKUP($G14,RazónMuerte!$A:$A,RazónMuerte!B:B,"",0)</f>
        <v>Lesión de ligamentos/tendones</v>
      </c>
      <c r="I14">
        <f>_xlfn.XLOOKUP($G14,RazónMuerte!$A:$A,RazónMuerte!C:C,"",0)</f>
        <v>0</v>
      </c>
      <c r="J14" t="str">
        <f>_xlfn.XLOOKUP($G14,RazónMuerte!$A:$A,RazónMuerte!D:D,"",0)</f>
        <v>No clasificado</v>
      </c>
    </row>
    <row r="15" spans="1:10" x14ac:dyDescent="0.25">
      <c r="A15" t="s">
        <v>147</v>
      </c>
      <c r="B15" t="str">
        <f t="shared" si="0"/>
        <v>13</v>
      </c>
      <c r="C15" t="str">
        <f t="shared" si="1"/>
        <v>ENERO</v>
      </c>
      <c r="D15" s="20">
        <v>45304</v>
      </c>
      <c r="E15" t="s">
        <v>73</v>
      </c>
      <c r="F15" t="s">
        <v>150</v>
      </c>
      <c r="G15" t="s">
        <v>14</v>
      </c>
      <c r="H15" t="str">
        <f>_xlfn.XLOOKUP($G15,RazónMuerte!$A:$A,RazónMuerte!B:B,"",0)</f>
        <v>Fractura ósea</v>
      </c>
      <c r="I15" t="str">
        <f>_xlfn.XLOOKUP($G15,RazónMuerte!$A:$A,RazónMuerte!C:C,"",0)</f>
        <v>Rodilla / Carpal</v>
      </c>
      <c r="J15" t="str">
        <f>_xlfn.XLOOKUP($G15,RazónMuerte!$A:$A,RazónMuerte!D:D,"",0)</f>
        <v>Fatal injury</v>
      </c>
    </row>
    <row r="16" spans="1:10" x14ac:dyDescent="0.25">
      <c r="A16" t="s">
        <v>154</v>
      </c>
      <c r="B16" t="str">
        <f t="shared" si="0"/>
        <v>14</v>
      </c>
      <c r="C16" t="str">
        <f t="shared" si="1"/>
        <v>ENERO</v>
      </c>
      <c r="D16" s="20">
        <v>45305</v>
      </c>
      <c r="E16" t="s">
        <v>155</v>
      </c>
      <c r="F16" t="s">
        <v>156</v>
      </c>
      <c r="G16" t="s">
        <v>157</v>
      </c>
      <c r="H16" t="str">
        <f>_xlfn.XLOOKUP($G16,RazónMuerte!$A:$A,RazónMuerte!B:B,"",0)</f>
        <v>Fractura ósea</v>
      </c>
      <c r="I16" t="str">
        <f>_xlfn.XLOOKUP($G16,RazónMuerte!$A:$A,RazónMuerte!C:C,"",0)</f>
        <v>No especificado</v>
      </c>
      <c r="J16" t="str">
        <f>_xlfn.XLOOKUP($G16,RazónMuerte!$A:$A,RazónMuerte!D:D,"",0)</f>
        <v>Fatal injury</v>
      </c>
    </row>
    <row r="17" spans="1:10" x14ac:dyDescent="0.25">
      <c r="A17" t="s">
        <v>158</v>
      </c>
      <c r="B17" t="str">
        <f t="shared" si="0"/>
        <v>15</v>
      </c>
      <c r="C17" t="str">
        <f t="shared" si="1"/>
        <v>ENERO</v>
      </c>
      <c r="D17" s="20">
        <v>45306</v>
      </c>
      <c r="E17" t="s">
        <v>159</v>
      </c>
      <c r="F17" t="s">
        <v>160</v>
      </c>
      <c r="H17">
        <f>_xlfn.XLOOKUP($G17,RazónMuerte!$A:$A,RazónMuerte!B:B,"",0)</f>
        <v>0</v>
      </c>
      <c r="I17">
        <f>_xlfn.XLOOKUP($G17,RazónMuerte!$A:$A,RazónMuerte!C:C,"",0)</f>
        <v>0</v>
      </c>
      <c r="J17">
        <f>_xlfn.XLOOKUP($G17,RazónMuerte!$A:$A,RazónMuerte!D:D,"",0)</f>
        <v>0</v>
      </c>
    </row>
    <row r="18" spans="1:10" x14ac:dyDescent="0.25">
      <c r="A18" t="s">
        <v>161</v>
      </c>
      <c r="B18" t="str">
        <f t="shared" si="0"/>
        <v>16</v>
      </c>
      <c r="C18" t="str">
        <f t="shared" si="1"/>
        <v>ENERO</v>
      </c>
      <c r="D18" s="20">
        <v>45307</v>
      </c>
      <c r="E18" t="s">
        <v>162</v>
      </c>
      <c r="F18" t="s">
        <v>163</v>
      </c>
      <c r="G18" t="s">
        <v>112</v>
      </c>
      <c r="H18" t="str">
        <f>_xlfn.XLOOKUP($G18,RazónMuerte!$A:$A,RazónMuerte!B:B,"",0)</f>
        <v>Fractura ósea</v>
      </c>
      <c r="I18" t="str">
        <f>_xlfn.XLOOKUP($G18,RazónMuerte!$A:$A,RazónMuerte!C:C,"",0)</f>
        <v>Rodilla / Carpal</v>
      </c>
      <c r="J18" t="str">
        <f>_xlfn.XLOOKUP($G18,RazónMuerte!$A:$A,RazónMuerte!D:D,"",0)</f>
        <v>Fatal injury</v>
      </c>
    </row>
    <row r="19" spans="1:10" x14ac:dyDescent="0.25">
      <c r="A19" t="s">
        <v>161</v>
      </c>
      <c r="B19" t="str">
        <f t="shared" si="0"/>
        <v>16</v>
      </c>
      <c r="C19" t="str">
        <f t="shared" si="1"/>
        <v>ENERO</v>
      </c>
      <c r="D19" s="20">
        <v>45307</v>
      </c>
      <c r="E19" t="s">
        <v>32</v>
      </c>
      <c r="F19" t="s">
        <v>164</v>
      </c>
      <c r="G19" t="s">
        <v>165</v>
      </c>
      <c r="H19" t="str">
        <f>_xlfn.XLOOKUP($G19,RazónMuerte!$A:$A,RazónMuerte!B:B,"",0)</f>
        <v>Otras / No especificada</v>
      </c>
      <c r="I19">
        <f>_xlfn.XLOOKUP($G19,RazónMuerte!$A:$A,RazónMuerte!C:C,"",0)</f>
        <v>0</v>
      </c>
      <c r="J19" t="str">
        <f>_xlfn.XLOOKUP($G19,RazónMuerte!$A:$A,RazónMuerte!D:D,"",0)</f>
        <v>Fatal injury</v>
      </c>
    </row>
    <row r="20" spans="1:10" x14ac:dyDescent="0.25">
      <c r="A20" t="s">
        <v>166</v>
      </c>
      <c r="B20" t="str">
        <f t="shared" si="0"/>
        <v>19</v>
      </c>
      <c r="C20" t="str">
        <f t="shared" si="1"/>
        <v>ENERO</v>
      </c>
      <c r="D20" s="20">
        <v>45310</v>
      </c>
      <c r="E20" t="s">
        <v>167</v>
      </c>
      <c r="F20" t="s">
        <v>168</v>
      </c>
      <c r="G20" t="s">
        <v>95</v>
      </c>
      <c r="H20" t="str">
        <f>_xlfn.XLOOKUP($G20,RazónMuerte!$A:$A,RazónMuerte!B:B,"",0)</f>
        <v>Fractura ósea</v>
      </c>
      <c r="I20" t="str">
        <f>_xlfn.XLOOKUP($G20,RazónMuerte!$A:$A,RazónMuerte!C:C,"",0)</f>
        <v>Rodilla / Carpal</v>
      </c>
      <c r="J20" t="str">
        <f>_xlfn.XLOOKUP($G20,RazónMuerte!$A:$A,RazónMuerte!D:D,"",0)</f>
        <v>Fatal injury</v>
      </c>
    </row>
    <row r="21" spans="1:10" x14ac:dyDescent="0.25">
      <c r="A21" t="s">
        <v>166</v>
      </c>
      <c r="B21" t="str">
        <f t="shared" si="0"/>
        <v>19</v>
      </c>
      <c r="C21" t="str">
        <f t="shared" si="1"/>
        <v>ENERO</v>
      </c>
      <c r="D21" s="20">
        <v>45310</v>
      </c>
      <c r="E21" t="s">
        <v>169</v>
      </c>
      <c r="F21" t="s">
        <v>170</v>
      </c>
      <c r="G21" t="s">
        <v>171</v>
      </c>
      <c r="H21" t="str">
        <f>_xlfn.XLOOKUP($G21,RazónMuerte!$A:$A,RazónMuerte!B:B,"",0)</f>
        <v>Enfermedad degenerativa articular</v>
      </c>
      <c r="I21">
        <f>_xlfn.XLOOKUP($G21,RazónMuerte!$A:$A,RazónMuerte!C:C,"",0)</f>
        <v>0</v>
      </c>
      <c r="J21" t="str">
        <f>_xlfn.XLOOKUP($G21,RazónMuerte!$A:$A,RazónMuerte!D:D,"",0)</f>
        <v>No fatal injury (chronic/medical)</v>
      </c>
    </row>
    <row r="22" spans="1:10" x14ac:dyDescent="0.25">
      <c r="A22" t="s">
        <v>172</v>
      </c>
      <c r="B22" t="str">
        <f t="shared" si="0"/>
        <v>20</v>
      </c>
      <c r="C22" t="str">
        <f t="shared" si="1"/>
        <v>ENERO</v>
      </c>
      <c r="D22" s="20">
        <v>45311</v>
      </c>
      <c r="E22" t="s">
        <v>173</v>
      </c>
      <c r="F22" t="s">
        <v>174</v>
      </c>
      <c r="G22" t="s">
        <v>176</v>
      </c>
      <c r="H22" t="str">
        <f>_xlfn.XLOOKUP($G22,RazónMuerte!$A:$A,RazónMuerte!B:B,"",0)</f>
        <v>Otras / No especificada</v>
      </c>
      <c r="I22">
        <f>_xlfn.XLOOKUP($G22,RazónMuerte!$A:$A,RazónMuerte!C:C,"",0)</f>
        <v>0</v>
      </c>
      <c r="J22" t="str">
        <f>_xlfn.XLOOKUP($G22,RazónMuerte!$A:$A,RazónMuerte!D:D,"",0)</f>
        <v>No clasificado</v>
      </c>
    </row>
    <row r="23" spans="1:10" x14ac:dyDescent="0.25">
      <c r="A23" t="s">
        <v>177</v>
      </c>
      <c r="B23" t="str">
        <f t="shared" si="0"/>
        <v>22</v>
      </c>
      <c r="C23" t="str">
        <f t="shared" si="1"/>
        <v>ENERO</v>
      </c>
      <c r="D23" s="20">
        <v>45313</v>
      </c>
      <c r="E23" t="s">
        <v>178</v>
      </c>
      <c r="F23" t="s">
        <v>179</v>
      </c>
      <c r="G23" t="s">
        <v>180</v>
      </c>
      <c r="H23" t="str">
        <f>_xlfn.XLOOKUP($G23,RazónMuerte!$A:$A,RazónMuerte!B:B,"",0)</f>
        <v>Enfermedad degenerativa articular</v>
      </c>
      <c r="I23">
        <f>_xlfn.XLOOKUP($G23,RazónMuerte!$A:$A,RazónMuerte!C:C,"",0)</f>
        <v>0</v>
      </c>
      <c r="J23" t="str">
        <f>_xlfn.XLOOKUP($G23,RazónMuerte!$A:$A,RazónMuerte!D:D,"",0)</f>
        <v>No fatal injury (chronic/medical)</v>
      </c>
    </row>
    <row r="24" spans="1:10" x14ac:dyDescent="0.25">
      <c r="A24" t="s">
        <v>177</v>
      </c>
      <c r="B24" t="str">
        <f t="shared" si="0"/>
        <v>22</v>
      </c>
      <c r="C24" t="str">
        <f t="shared" si="1"/>
        <v>ENERO</v>
      </c>
      <c r="D24" s="20">
        <v>45313</v>
      </c>
      <c r="E24" t="s">
        <v>181</v>
      </c>
      <c r="F24" t="s">
        <v>182</v>
      </c>
      <c r="G24" t="s">
        <v>183</v>
      </c>
      <c r="H24" t="str">
        <f>_xlfn.XLOOKUP($G24,RazónMuerte!$A:$A,RazónMuerte!B:B,"",0)</f>
        <v>Fractura ósea</v>
      </c>
      <c r="I24" t="str">
        <f>_xlfn.XLOOKUP($G24,RazónMuerte!$A:$A,RazónMuerte!C:C,"",0)</f>
        <v>Sesamoideo</v>
      </c>
      <c r="J24" t="str">
        <f>_xlfn.XLOOKUP($G24,RazónMuerte!$A:$A,RazónMuerte!D:D,"",0)</f>
        <v>Fatal injury</v>
      </c>
    </row>
    <row r="25" spans="1:10" x14ac:dyDescent="0.25">
      <c r="A25" t="s">
        <v>177</v>
      </c>
      <c r="B25" t="str">
        <f t="shared" si="0"/>
        <v>22</v>
      </c>
      <c r="C25" t="str">
        <f t="shared" si="1"/>
        <v>ENERO</v>
      </c>
      <c r="D25" s="20">
        <v>45313</v>
      </c>
      <c r="E25" t="s">
        <v>184</v>
      </c>
      <c r="F25" t="s">
        <v>185</v>
      </c>
      <c r="G25" t="s">
        <v>95</v>
      </c>
      <c r="H25" t="str">
        <f>_xlfn.XLOOKUP($G25,RazónMuerte!$A:$A,RazónMuerte!B:B,"",0)</f>
        <v>Fractura ósea</v>
      </c>
      <c r="I25" t="str">
        <f>_xlfn.XLOOKUP($G25,RazónMuerte!$A:$A,RazónMuerte!C:C,"",0)</f>
        <v>Rodilla / Carpal</v>
      </c>
      <c r="J25" t="str">
        <f>_xlfn.XLOOKUP($G25,RazónMuerte!$A:$A,RazónMuerte!D:D,"",0)</f>
        <v>Fatal injury</v>
      </c>
    </row>
    <row r="26" spans="1:10" x14ac:dyDescent="0.25">
      <c r="A26" t="s">
        <v>186</v>
      </c>
      <c r="B26" t="str">
        <f t="shared" si="0"/>
        <v>26</v>
      </c>
      <c r="C26" t="str">
        <f t="shared" si="1"/>
        <v>ENERO</v>
      </c>
      <c r="D26" s="20">
        <v>45317</v>
      </c>
      <c r="E26" t="s">
        <v>187</v>
      </c>
      <c r="F26" t="s">
        <v>188</v>
      </c>
      <c r="G26" t="s">
        <v>189</v>
      </c>
      <c r="H26" t="str">
        <f>_xlfn.XLOOKUP($G26,RazónMuerte!$A:$A,RazónMuerte!B:B,"",0)</f>
        <v>Otras / No especificada</v>
      </c>
      <c r="I26">
        <f>_xlfn.XLOOKUP($G26,RazónMuerte!$A:$A,RazónMuerte!C:C,"",0)</f>
        <v>0</v>
      </c>
      <c r="J26" t="str">
        <f>_xlfn.XLOOKUP($G26,RazónMuerte!$A:$A,RazónMuerte!D:D,"",0)</f>
        <v>No clasificado</v>
      </c>
    </row>
    <row r="27" spans="1:10" x14ac:dyDescent="0.25">
      <c r="A27" t="s">
        <v>190</v>
      </c>
      <c r="B27" t="str">
        <f t="shared" si="0"/>
        <v>31</v>
      </c>
      <c r="C27" t="str">
        <f t="shared" si="1"/>
        <v>ENERO</v>
      </c>
      <c r="D27" s="20">
        <v>45322</v>
      </c>
      <c r="E27" t="s">
        <v>191</v>
      </c>
      <c r="F27" t="s">
        <v>192</v>
      </c>
      <c r="G27" t="s">
        <v>193</v>
      </c>
      <c r="H27" t="str">
        <f>_xlfn.XLOOKUP($G27,RazónMuerte!$A:$A,RazónMuerte!B:B,"",0)</f>
        <v>Fractura ósea</v>
      </c>
      <c r="I27" t="str">
        <f>_xlfn.XLOOKUP($G27,RazónMuerte!$A:$A,RazónMuerte!C:C,"",0)</f>
        <v>No especificado</v>
      </c>
      <c r="J27" t="str">
        <f>_xlfn.XLOOKUP($G27,RazónMuerte!$A:$A,RazónMuerte!D:D,"",0)</f>
        <v>Fatal injury</v>
      </c>
    </row>
    <row r="28" spans="1:10" x14ac:dyDescent="0.25">
      <c r="A28" t="s">
        <v>194</v>
      </c>
      <c r="B28" t="str">
        <f t="shared" si="0"/>
        <v>2</v>
      </c>
      <c r="C28" t="str">
        <f t="shared" si="1"/>
        <v>FEBRERO</v>
      </c>
      <c r="D28" s="20">
        <v>45324</v>
      </c>
      <c r="E28" t="s">
        <v>195</v>
      </c>
      <c r="F28" t="s">
        <v>196</v>
      </c>
      <c r="G28" t="s">
        <v>197</v>
      </c>
      <c r="H28" t="str">
        <f>_xlfn.XLOOKUP($G28,RazónMuerte!$A:$A,RazónMuerte!B:B,"",0)</f>
        <v>Lesión de ligamentos/tendones</v>
      </c>
      <c r="I28">
        <f>_xlfn.XLOOKUP($G28,RazónMuerte!$A:$A,RazónMuerte!C:C,"",0)</f>
        <v>0</v>
      </c>
      <c r="J28" t="str">
        <f>_xlfn.XLOOKUP($G28,RazónMuerte!$A:$A,RazónMuerte!D:D,"",0)</f>
        <v>No clasificado</v>
      </c>
    </row>
    <row r="29" spans="1:10" x14ac:dyDescent="0.25">
      <c r="A29" t="s">
        <v>200</v>
      </c>
      <c r="B29" t="str">
        <f t="shared" si="0"/>
        <v>5</v>
      </c>
      <c r="C29" t="str">
        <f t="shared" si="1"/>
        <v>FEBRERO</v>
      </c>
      <c r="D29" s="20">
        <v>45327</v>
      </c>
      <c r="E29" t="s">
        <v>201</v>
      </c>
      <c r="F29" t="s">
        <v>202</v>
      </c>
      <c r="G29" t="s">
        <v>203</v>
      </c>
      <c r="H29" t="str">
        <f>_xlfn.XLOOKUP($G29,RazónMuerte!$A:$A,RazónMuerte!B:B,"",0)</f>
        <v>Enfermedad degenerativa articular</v>
      </c>
      <c r="I29">
        <f>_xlfn.XLOOKUP($G29,RazónMuerte!$A:$A,RazónMuerte!C:C,"",0)</f>
        <v>0</v>
      </c>
      <c r="J29" t="str">
        <f>_xlfn.XLOOKUP($G29,RazónMuerte!$A:$A,RazónMuerte!D:D,"",0)</f>
        <v>No fatal injury (chronic/medical)</v>
      </c>
    </row>
    <row r="30" spans="1:10" x14ac:dyDescent="0.25">
      <c r="A30" t="s">
        <v>204</v>
      </c>
      <c r="B30" t="str">
        <f t="shared" si="0"/>
        <v>7</v>
      </c>
      <c r="C30" t="str">
        <f t="shared" si="1"/>
        <v>FEBRERO</v>
      </c>
      <c r="D30" s="20">
        <v>45329</v>
      </c>
      <c r="E30" t="s">
        <v>205</v>
      </c>
      <c r="F30" t="s">
        <v>206</v>
      </c>
      <c r="G30" t="s">
        <v>208</v>
      </c>
      <c r="H30" t="str">
        <f>_xlfn.XLOOKUP($G30,RazónMuerte!$A:$A,RazónMuerte!B:B,"",0)</f>
        <v>Otras / No especificada</v>
      </c>
      <c r="I30">
        <f>_xlfn.XLOOKUP($G30,RazónMuerte!$A:$A,RazónMuerte!C:C,"",0)</f>
        <v>0</v>
      </c>
      <c r="J30" t="str">
        <f>_xlfn.XLOOKUP($G30,RazónMuerte!$A:$A,RazónMuerte!D:D,"",0)</f>
        <v>No clasificado</v>
      </c>
    </row>
    <row r="31" spans="1:10" x14ac:dyDescent="0.25">
      <c r="A31" t="s">
        <v>204</v>
      </c>
      <c r="B31" t="str">
        <f t="shared" si="0"/>
        <v>7</v>
      </c>
      <c r="C31" t="str">
        <f t="shared" si="1"/>
        <v>FEBRERO</v>
      </c>
      <c r="D31" s="20">
        <v>45329</v>
      </c>
      <c r="E31" t="s">
        <v>209</v>
      </c>
      <c r="F31" t="s">
        <v>210</v>
      </c>
      <c r="G31" t="s">
        <v>211</v>
      </c>
      <c r="H31" t="str">
        <f>_xlfn.XLOOKUP($G31,RazónMuerte!$A:$A,RazónMuerte!B:B,"",0)</f>
        <v>Enfermedad degenerativa articular</v>
      </c>
      <c r="I31">
        <f>_xlfn.XLOOKUP($G31,RazónMuerte!$A:$A,RazónMuerte!C:C,"",0)</f>
        <v>0</v>
      </c>
      <c r="J31" t="str">
        <f>_xlfn.XLOOKUP($G31,RazónMuerte!$A:$A,RazónMuerte!D:D,"",0)</f>
        <v>No fatal injury (chronic/medical)</v>
      </c>
    </row>
    <row r="32" spans="1:10" x14ac:dyDescent="0.25">
      <c r="A32" t="s">
        <v>212</v>
      </c>
      <c r="B32" t="str">
        <f t="shared" si="0"/>
        <v>8</v>
      </c>
      <c r="C32" t="str">
        <f t="shared" si="1"/>
        <v>FEBRERO</v>
      </c>
      <c r="D32" s="20">
        <v>45330</v>
      </c>
      <c r="E32" t="s">
        <v>52</v>
      </c>
      <c r="F32" t="s">
        <v>213</v>
      </c>
      <c r="G32" t="s">
        <v>114</v>
      </c>
      <c r="H32" t="str">
        <f>_xlfn.XLOOKUP($G32,RazónMuerte!$A:$A,RazónMuerte!B:B,"",0)</f>
        <v>Enfermedad degenerativa articular</v>
      </c>
      <c r="I32">
        <f>_xlfn.XLOOKUP($G32,RazónMuerte!$A:$A,RazónMuerte!C:C,"",0)</f>
        <v>0</v>
      </c>
      <c r="J32" t="str">
        <f>_xlfn.XLOOKUP($G32,RazónMuerte!$A:$A,RazónMuerte!D:D,"",0)</f>
        <v>No fatal injury (chronic/medical)</v>
      </c>
    </row>
    <row r="33" spans="1:10" x14ac:dyDescent="0.25">
      <c r="A33" t="s">
        <v>198</v>
      </c>
      <c r="B33" t="str">
        <f t="shared" si="0"/>
        <v>9</v>
      </c>
      <c r="C33" t="str">
        <f t="shared" si="1"/>
        <v>FEBRERO</v>
      </c>
      <c r="D33" s="20">
        <v>45331</v>
      </c>
      <c r="E33" t="s">
        <v>63</v>
      </c>
      <c r="F33" t="s">
        <v>199</v>
      </c>
      <c r="G33" t="s">
        <v>171</v>
      </c>
      <c r="H33" t="str">
        <f>_xlfn.XLOOKUP($G33,RazónMuerte!$A:$A,RazónMuerte!B:B,"",0)</f>
        <v>Enfermedad degenerativa articular</v>
      </c>
      <c r="I33">
        <f>_xlfn.XLOOKUP($G33,RazónMuerte!$A:$A,RazónMuerte!C:C,"",0)</f>
        <v>0</v>
      </c>
      <c r="J33" t="str">
        <f>_xlfn.XLOOKUP($G33,RazónMuerte!$A:$A,RazónMuerte!D:D,"",0)</f>
        <v>No fatal injury (chronic/medical)</v>
      </c>
    </row>
    <row r="34" spans="1:10" x14ac:dyDescent="0.25">
      <c r="A34" t="s">
        <v>214</v>
      </c>
      <c r="B34" t="str">
        <f t="shared" si="0"/>
        <v>12</v>
      </c>
      <c r="C34" t="str">
        <f t="shared" si="1"/>
        <v>FEBRERO</v>
      </c>
      <c r="D34" s="20">
        <v>45334</v>
      </c>
      <c r="E34" t="s">
        <v>215</v>
      </c>
      <c r="F34" t="s">
        <v>216</v>
      </c>
      <c r="G34" t="s">
        <v>14</v>
      </c>
      <c r="H34" t="str">
        <f>_xlfn.XLOOKUP($G34,RazónMuerte!$A:$A,RazónMuerte!B:B,"",0)</f>
        <v>Fractura ósea</v>
      </c>
      <c r="I34" t="str">
        <f>_xlfn.XLOOKUP($G34,RazónMuerte!$A:$A,RazónMuerte!C:C,"",0)</f>
        <v>Rodilla / Carpal</v>
      </c>
      <c r="J34" t="str">
        <f>_xlfn.XLOOKUP($G34,RazónMuerte!$A:$A,RazónMuerte!D:D,"",0)</f>
        <v>Fatal injury</v>
      </c>
    </row>
    <row r="35" spans="1:10" x14ac:dyDescent="0.25">
      <c r="A35" t="s">
        <v>217</v>
      </c>
      <c r="B35" t="str">
        <f t="shared" si="0"/>
        <v>13</v>
      </c>
      <c r="C35" t="str">
        <f t="shared" si="1"/>
        <v>FEBRERO</v>
      </c>
      <c r="D35" s="20">
        <v>45335</v>
      </c>
      <c r="E35" t="s">
        <v>218</v>
      </c>
      <c r="F35" t="s">
        <v>219</v>
      </c>
      <c r="G35" t="s">
        <v>19</v>
      </c>
      <c r="H35" t="str">
        <f>_xlfn.XLOOKUP($G35,RazónMuerte!$A:$A,RazónMuerte!B:B,"",0)</f>
        <v>Enfermedad degenerativa articular</v>
      </c>
      <c r="I35">
        <f>_xlfn.XLOOKUP($G35,RazónMuerte!$A:$A,RazónMuerte!C:C,"",0)</f>
        <v>0</v>
      </c>
      <c r="J35" t="str">
        <f>_xlfn.XLOOKUP($G35,RazónMuerte!$A:$A,RazónMuerte!D:D,"",0)</f>
        <v>Fatal injury</v>
      </c>
    </row>
    <row r="36" spans="1:10" x14ac:dyDescent="0.25">
      <c r="A36" t="s">
        <v>217</v>
      </c>
      <c r="B36" t="str">
        <f t="shared" si="0"/>
        <v>13</v>
      </c>
      <c r="C36" t="str">
        <f t="shared" si="1"/>
        <v>FEBRERO</v>
      </c>
      <c r="D36" s="20">
        <v>45335</v>
      </c>
      <c r="E36" t="s">
        <v>220</v>
      </c>
      <c r="F36" t="s">
        <v>221</v>
      </c>
      <c r="G36" t="s">
        <v>222</v>
      </c>
      <c r="H36" t="str">
        <f>_xlfn.XLOOKUP($G36,RazónMuerte!$A:$A,RazónMuerte!B:B,"",0)</f>
        <v>Lesión de ligamentos/tendones</v>
      </c>
      <c r="I36">
        <f>_xlfn.XLOOKUP($G36,RazónMuerte!$A:$A,RazónMuerte!C:C,"",0)</f>
        <v>0</v>
      </c>
      <c r="J36" t="str">
        <f>_xlfn.XLOOKUP($G36,RazónMuerte!$A:$A,RazónMuerte!D:D,"",0)</f>
        <v>No clasificado</v>
      </c>
    </row>
    <row r="37" spans="1:10" x14ac:dyDescent="0.25">
      <c r="A37" t="s">
        <v>217</v>
      </c>
      <c r="B37" t="str">
        <f t="shared" si="0"/>
        <v>13</v>
      </c>
      <c r="C37" t="str">
        <f t="shared" si="1"/>
        <v>FEBRERO</v>
      </c>
      <c r="D37" s="20">
        <v>45335</v>
      </c>
      <c r="E37" t="s">
        <v>45</v>
      </c>
      <c r="F37" t="s">
        <v>223</v>
      </c>
      <c r="G37" t="s">
        <v>224</v>
      </c>
      <c r="H37" t="str">
        <f>_xlfn.XLOOKUP($G37,RazónMuerte!$A:$A,RazónMuerte!B:B,"",0)</f>
        <v>Fractura ósea</v>
      </c>
      <c r="I37" t="str">
        <f>_xlfn.XLOOKUP($G37,RazónMuerte!$A:$A,RazónMuerte!C:C,"",0)</f>
        <v>Sesamoideo</v>
      </c>
      <c r="J37" t="str">
        <f>_xlfn.XLOOKUP($G37,RazónMuerte!$A:$A,RazónMuerte!D:D,"",0)</f>
        <v>Fatal injury</v>
      </c>
    </row>
    <row r="38" spans="1:10" x14ac:dyDescent="0.25">
      <c r="A38" t="s">
        <v>217</v>
      </c>
      <c r="B38" t="str">
        <f t="shared" si="0"/>
        <v>13</v>
      </c>
      <c r="C38" t="str">
        <f t="shared" si="1"/>
        <v>FEBRERO</v>
      </c>
      <c r="D38" s="20">
        <v>45335</v>
      </c>
      <c r="E38" t="s">
        <v>62</v>
      </c>
      <c r="F38" t="s">
        <v>225</v>
      </c>
      <c r="G38" t="s">
        <v>14</v>
      </c>
      <c r="H38" t="str">
        <f>_xlfn.XLOOKUP($G38,RazónMuerte!$A:$A,RazónMuerte!B:B,"",0)</f>
        <v>Fractura ósea</v>
      </c>
      <c r="I38" t="str">
        <f>_xlfn.XLOOKUP($G38,RazónMuerte!$A:$A,RazónMuerte!C:C,"",0)</f>
        <v>Rodilla / Carpal</v>
      </c>
      <c r="J38" t="str">
        <f>_xlfn.XLOOKUP($G38,RazónMuerte!$A:$A,RazónMuerte!D:D,"",0)</f>
        <v>Fatal injury</v>
      </c>
    </row>
    <row r="39" spans="1:10" x14ac:dyDescent="0.25">
      <c r="A39" t="s">
        <v>226</v>
      </c>
      <c r="B39" t="str">
        <f t="shared" si="0"/>
        <v>14</v>
      </c>
      <c r="C39" t="str">
        <f t="shared" si="1"/>
        <v>FEBRERO</v>
      </c>
      <c r="D39" s="20">
        <v>45336</v>
      </c>
      <c r="E39" t="s">
        <v>80</v>
      </c>
      <c r="F39" t="s">
        <v>227</v>
      </c>
      <c r="G39" t="s">
        <v>228</v>
      </c>
      <c r="H39" t="str">
        <f>_xlfn.XLOOKUP($G39,RazónMuerte!$A:$A,RazónMuerte!B:B,"",0)</f>
        <v>Enfermedad degenerativa articular</v>
      </c>
      <c r="I39">
        <f>_xlfn.XLOOKUP($G39,RazónMuerte!$A:$A,RazónMuerte!C:C,"",0)</f>
        <v>0</v>
      </c>
      <c r="J39" t="str">
        <f>_xlfn.XLOOKUP($G39,RazónMuerte!$A:$A,RazónMuerte!D:D,"",0)</f>
        <v>Fatal injury</v>
      </c>
    </row>
    <row r="40" spans="1:10" x14ac:dyDescent="0.25">
      <c r="A40" t="s">
        <v>229</v>
      </c>
      <c r="B40" t="str">
        <f t="shared" si="0"/>
        <v>16</v>
      </c>
      <c r="C40" t="str">
        <f t="shared" si="1"/>
        <v>FEBRERO</v>
      </c>
      <c r="D40" s="20">
        <v>45338</v>
      </c>
      <c r="E40" t="s">
        <v>21</v>
      </c>
      <c r="F40" t="s">
        <v>230</v>
      </c>
      <c r="G40" t="s">
        <v>23</v>
      </c>
      <c r="H40" t="str">
        <f>_xlfn.XLOOKUP($G40,RazónMuerte!$A:$A,RazónMuerte!B:B,"",0)</f>
        <v>Fractura ósea</v>
      </c>
      <c r="I40" t="str">
        <f>_xlfn.XLOOKUP($G40,RazónMuerte!$A:$A,RazónMuerte!C:C,"",0)</f>
        <v>Sesamoideo</v>
      </c>
      <c r="J40" t="str">
        <f>_xlfn.XLOOKUP($G40,RazónMuerte!$A:$A,RazónMuerte!D:D,"",0)</f>
        <v>Fatal injury</v>
      </c>
    </row>
    <row r="41" spans="1:10" x14ac:dyDescent="0.25">
      <c r="A41" t="s">
        <v>229</v>
      </c>
      <c r="B41" t="str">
        <f t="shared" si="0"/>
        <v>16</v>
      </c>
      <c r="C41" t="str">
        <f t="shared" si="1"/>
        <v>FEBRERO</v>
      </c>
      <c r="D41" s="20">
        <v>45338</v>
      </c>
      <c r="E41" t="s">
        <v>35</v>
      </c>
      <c r="F41" t="s">
        <v>232</v>
      </c>
      <c r="G41" t="s">
        <v>231</v>
      </c>
      <c r="H41" t="str">
        <f>_xlfn.XLOOKUP($G41,RazónMuerte!$A:$A,RazónMuerte!B:B,"",0)</f>
        <v>Otras / No especificada</v>
      </c>
      <c r="I41">
        <f>_xlfn.XLOOKUP($G41,RazónMuerte!$A:$A,RazónMuerte!C:C,"",0)</f>
        <v>0</v>
      </c>
      <c r="J41" t="str">
        <f>_xlfn.XLOOKUP($G41,RazónMuerte!$A:$A,RazónMuerte!D:D,"",0)</f>
        <v>No clasificado</v>
      </c>
    </row>
    <row r="42" spans="1:10" x14ac:dyDescent="0.25">
      <c r="A42" t="s">
        <v>233</v>
      </c>
      <c r="B42" t="str">
        <f t="shared" si="0"/>
        <v>19</v>
      </c>
      <c r="C42" t="str">
        <f t="shared" si="1"/>
        <v>FEBRERO</v>
      </c>
      <c r="D42" s="20">
        <v>45341</v>
      </c>
      <c r="E42" t="s">
        <v>40</v>
      </c>
      <c r="F42" t="s">
        <v>236</v>
      </c>
      <c r="G42" t="s">
        <v>237</v>
      </c>
      <c r="H42" t="str">
        <f>_xlfn.XLOOKUP($G42,RazónMuerte!$A:$A,RazónMuerte!B:B,"",0)</f>
        <v>Otras / No especificada</v>
      </c>
      <c r="I42">
        <f>_xlfn.XLOOKUP($G42,RazónMuerte!$A:$A,RazónMuerte!C:C,"",0)</f>
        <v>0</v>
      </c>
      <c r="J42" t="str">
        <f>_xlfn.XLOOKUP($G42,RazónMuerte!$A:$A,RazónMuerte!D:D,"",0)</f>
        <v>No clasificado</v>
      </c>
    </row>
    <row r="43" spans="1:10" x14ac:dyDescent="0.25">
      <c r="A43" t="s">
        <v>233</v>
      </c>
      <c r="B43" t="str">
        <f t="shared" si="0"/>
        <v>19</v>
      </c>
      <c r="C43" t="str">
        <f t="shared" si="1"/>
        <v>FEBRERO</v>
      </c>
      <c r="D43" s="20">
        <v>45341</v>
      </c>
      <c r="E43" t="s">
        <v>42</v>
      </c>
      <c r="F43" t="s">
        <v>234</v>
      </c>
      <c r="G43" t="s">
        <v>235</v>
      </c>
      <c r="H43" t="str">
        <f>_xlfn.XLOOKUP($G43,RazónMuerte!$A:$A,RazónMuerte!B:B,"",0)</f>
        <v>Fractura ósea</v>
      </c>
      <c r="I43" t="str">
        <f>_xlfn.XLOOKUP($G43,RazónMuerte!$A:$A,RazónMuerte!C:C,"",0)</f>
        <v>Rodilla / Carpal</v>
      </c>
      <c r="J43" t="str">
        <f>_xlfn.XLOOKUP($G43,RazónMuerte!$A:$A,RazónMuerte!D:D,"",0)</f>
        <v>Fatal injury</v>
      </c>
    </row>
    <row r="44" spans="1:10" x14ac:dyDescent="0.25">
      <c r="A44" t="s">
        <v>238</v>
      </c>
      <c r="B44" t="str">
        <f t="shared" si="0"/>
        <v>22</v>
      </c>
      <c r="C44" t="str">
        <f t="shared" si="1"/>
        <v>FEBRERO</v>
      </c>
      <c r="D44" s="20">
        <v>45344</v>
      </c>
      <c r="E44" t="s">
        <v>239</v>
      </c>
      <c r="F44" t="s">
        <v>240</v>
      </c>
      <c r="G44" t="s">
        <v>235</v>
      </c>
      <c r="H44" t="str">
        <f>_xlfn.XLOOKUP($G44,RazónMuerte!$A:$A,RazónMuerte!B:B,"",0)</f>
        <v>Fractura ósea</v>
      </c>
      <c r="I44" t="str">
        <f>_xlfn.XLOOKUP($G44,RazónMuerte!$A:$A,RazónMuerte!C:C,"",0)</f>
        <v>Rodilla / Carpal</v>
      </c>
      <c r="J44" t="str">
        <f>_xlfn.XLOOKUP($G44,RazónMuerte!$A:$A,RazónMuerte!D:D,"",0)</f>
        <v>Fatal injury</v>
      </c>
    </row>
    <row r="45" spans="1:10" x14ac:dyDescent="0.25">
      <c r="A45" t="s">
        <v>241</v>
      </c>
      <c r="B45" t="str">
        <f t="shared" si="0"/>
        <v>23</v>
      </c>
      <c r="C45" t="str">
        <f t="shared" si="1"/>
        <v>FEBRERO</v>
      </c>
      <c r="D45" s="20">
        <v>45345</v>
      </c>
      <c r="E45" t="s">
        <v>20</v>
      </c>
      <c r="F45" t="s">
        <v>242</v>
      </c>
      <c r="G45" t="s">
        <v>243</v>
      </c>
      <c r="H45" t="str">
        <f>_xlfn.XLOOKUP($G45,RazónMuerte!$A:$A,RazónMuerte!B:B,"",0)</f>
        <v>Otras / No especificada</v>
      </c>
      <c r="I45">
        <f>_xlfn.XLOOKUP($G45,RazónMuerte!$A:$A,RazónMuerte!C:C,"",0)</f>
        <v>0</v>
      </c>
      <c r="J45" t="str">
        <f>_xlfn.XLOOKUP($G45,RazónMuerte!$A:$A,RazónMuerte!D:D,"",0)</f>
        <v>Fatal injury</v>
      </c>
    </row>
    <row r="46" spans="1:10" x14ac:dyDescent="0.25">
      <c r="A46" t="s">
        <v>244</v>
      </c>
      <c r="B46" t="str">
        <f t="shared" si="0"/>
        <v>24</v>
      </c>
      <c r="C46" t="str">
        <f t="shared" si="1"/>
        <v>FEBRERO</v>
      </c>
      <c r="D46" s="20">
        <v>45346</v>
      </c>
      <c r="E46" t="s">
        <v>83</v>
      </c>
      <c r="F46" t="s">
        <v>245</v>
      </c>
      <c r="G46" t="s">
        <v>87</v>
      </c>
      <c r="H46" t="str">
        <f>_xlfn.XLOOKUP($G46,RazónMuerte!$A:$A,RazónMuerte!B:B,"",0)</f>
        <v>Otras / No especificada</v>
      </c>
      <c r="I46">
        <f>_xlfn.XLOOKUP($G46,RazónMuerte!$A:$A,RazónMuerte!C:C,"",0)</f>
        <v>0</v>
      </c>
      <c r="J46" t="str">
        <f>_xlfn.XLOOKUP($G46,RazónMuerte!$A:$A,RazónMuerte!D:D,"",0)</f>
        <v>No clasificado</v>
      </c>
    </row>
    <row r="47" spans="1:10" x14ac:dyDescent="0.25">
      <c r="A47" t="s">
        <v>249</v>
      </c>
      <c r="B47" t="str">
        <f t="shared" si="0"/>
        <v>27</v>
      </c>
      <c r="C47" t="str">
        <f t="shared" si="1"/>
        <v>FEBRERO</v>
      </c>
      <c r="D47" s="20">
        <v>45349</v>
      </c>
      <c r="E47" t="s">
        <v>248</v>
      </c>
      <c r="F47" t="s">
        <v>247</v>
      </c>
      <c r="G47" t="s">
        <v>246</v>
      </c>
      <c r="H47" t="str">
        <f>_xlfn.XLOOKUP($G47,RazónMuerte!$A:$A,RazónMuerte!B:B,"",0)</f>
        <v>Otras / No especificada</v>
      </c>
      <c r="I47">
        <f>_xlfn.XLOOKUP($G47,RazónMuerte!$A:$A,RazónMuerte!C:C,"",0)</f>
        <v>0</v>
      </c>
      <c r="J47" t="str">
        <f>_xlfn.XLOOKUP($G47,RazónMuerte!$A:$A,RazónMuerte!D:D,"",0)</f>
        <v>No clasificado</v>
      </c>
    </row>
    <row r="48" spans="1:10" x14ac:dyDescent="0.25">
      <c r="A48" t="s">
        <v>249</v>
      </c>
      <c r="B48" t="str">
        <f t="shared" si="0"/>
        <v>27</v>
      </c>
      <c r="C48" t="str">
        <f t="shared" si="1"/>
        <v>FEBRERO</v>
      </c>
      <c r="D48" s="20">
        <v>45349</v>
      </c>
      <c r="E48" t="s">
        <v>7</v>
      </c>
      <c r="F48" t="s">
        <v>250</v>
      </c>
      <c r="G48" t="s">
        <v>251</v>
      </c>
      <c r="H48" t="str">
        <f>_xlfn.XLOOKUP($G48,RazónMuerte!$A:$A,RazónMuerte!B:B,"",0)</f>
        <v>Fractura ósea</v>
      </c>
      <c r="I48" t="str">
        <f>_xlfn.XLOOKUP($G48,RazónMuerte!$A:$A,RazónMuerte!C:C,"",0)</f>
        <v>Sesamoideo</v>
      </c>
      <c r="J48" t="str">
        <f>_xlfn.XLOOKUP($G48,RazónMuerte!$A:$A,RazónMuerte!D:D,"",0)</f>
        <v>Fatal injury</v>
      </c>
    </row>
    <row r="49" spans="1:10" x14ac:dyDescent="0.25">
      <c r="A49" t="s">
        <v>256</v>
      </c>
      <c r="B49" t="str">
        <f t="shared" si="0"/>
        <v>1</v>
      </c>
      <c r="C49" t="str">
        <f t="shared" si="1"/>
        <v>MARZO</v>
      </c>
      <c r="D49" s="20">
        <v>45352</v>
      </c>
      <c r="E49" t="s">
        <v>76</v>
      </c>
      <c r="F49" t="s">
        <v>257</v>
      </c>
      <c r="G49" t="s">
        <v>258</v>
      </c>
      <c r="H49" t="str">
        <f>_xlfn.XLOOKUP($G49,RazónMuerte!$A:$A,RazónMuerte!B:B,"",0)</f>
        <v>Otras / No especificada</v>
      </c>
      <c r="I49">
        <f>_xlfn.XLOOKUP($G49,RazónMuerte!$A:$A,RazónMuerte!C:C,"",0)</f>
        <v>0</v>
      </c>
      <c r="J49" t="str">
        <f>_xlfn.XLOOKUP($G49,RazónMuerte!$A:$A,RazónMuerte!D:D,"",0)</f>
        <v>Fatal injury</v>
      </c>
    </row>
    <row r="50" spans="1:10" x14ac:dyDescent="0.25">
      <c r="A50" t="s">
        <v>252</v>
      </c>
      <c r="B50" t="str">
        <f t="shared" si="0"/>
        <v>4</v>
      </c>
      <c r="C50" t="str">
        <f t="shared" si="1"/>
        <v>MARZO</v>
      </c>
      <c r="D50" s="20">
        <v>45355</v>
      </c>
      <c r="E50" t="s">
        <v>253</v>
      </c>
      <c r="F50" t="s">
        <v>254</v>
      </c>
      <c r="G50" t="s">
        <v>255</v>
      </c>
      <c r="H50" t="str">
        <f>_xlfn.XLOOKUP($G50,RazónMuerte!$A:$A,RazónMuerte!B:B,"",0)</f>
        <v>Fractura ósea</v>
      </c>
      <c r="I50" t="str">
        <f>_xlfn.XLOOKUP($G50,RazónMuerte!$A:$A,RazónMuerte!C:C,"",0)</f>
        <v>Rodilla / Carpal</v>
      </c>
      <c r="J50" t="str">
        <f>_xlfn.XLOOKUP($G50,RazónMuerte!$A:$A,RazónMuerte!D:D,"",0)</f>
        <v>Fatal injury</v>
      </c>
    </row>
    <row r="51" spans="1:10" x14ac:dyDescent="0.25">
      <c r="A51" t="s">
        <v>259</v>
      </c>
      <c r="B51" t="str">
        <f t="shared" si="0"/>
        <v>6</v>
      </c>
      <c r="C51" t="str">
        <f t="shared" si="1"/>
        <v>MARZO</v>
      </c>
      <c r="D51" s="20">
        <v>45357</v>
      </c>
      <c r="E51" t="s">
        <v>261</v>
      </c>
      <c r="F51" t="s">
        <v>262</v>
      </c>
      <c r="G51" t="s">
        <v>263</v>
      </c>
      <c r="H51" t="str">
        <f>_xlfn.XLOOKUP($G51,RazónMuerte!$A:$A,RazónMuerte!B:B,"",0)</f>
        <v>Fractura ósea</v>
      </c>
      <c r="I51" t="str">
        <f>_xlfn.XLOOKUP($G51,RazónMuerte!$A:$A,RazónMuerte!C:C,"",0)</f>
        <v>Sesamoideo</v>
      </c>
      <c r="J51" t="str">
        <f>_xlfn.XLOOKUP($G51,RazónMuerte!$A:$A,RazónMuerte!D:D,"",0)</f>
        <v>Fatal injury</v>
      </c>
    </row>
    <row r="52" spans="1:10" x14ac:dyDescent="0.25">
      <c r="A52" t="s">
        <v>259</v>
      </c>
      <c r="B52" t="str">
        <f t="shared" si="0"/>
        <v>6</v>
      </c>
      <c r="C52" t="str">
        <f t="shared" si="1"/>
        <v>MARZO</v>
      </c>
      <c r="D52" s="20">
        <v>45357</v>
      </c>
      <c r="E52" t="s">
        <v>11</v>
      </c>
      <c r="F52" t="s">
        <v>265</v>
      </c>
      <c r="G52" t="s">
        <v>264</v>
      </c>
      <c r="H52" t="str">
        <f>_xlfn.XLOOKUP($G52,RazónMuerte!$A:$A,RazónMuerte!B:B,"",0)</f>
        <v>Otras / No especificada</v>
      </c>
      <c r="I52">
        <f>_xlfn.XLOOKUP($G52,RazónMuerte!$A:$A,RazónMuerte!C:C,"",0)</f>
        <v>0</v>
      </c>
      <c r="J52" t="str">
        <f>_xlfn.XLOOKUP($G52,RazónMuerte!$A:$A,RazónMuerte!D:D,"",0)</f>
        <v>No clasificado</v>
      </c>
    </row>
    <row r="53" spans="1:10" x14ac:dyDescent="0.25">
      <c r="A53" t="s">
        <v>260</v>
      </c>
      <c r="B53" t="str">
        <f t="shared" si="0"/>
        <v>7</v>
      </c>
      <c r="C53" t="str">
        <f t="shared" si="1"/>
        <v>MARZO</v>
      </c>
      <c r="D53" s="20">
        <v>45358</v>
      </c>
      <c r="E53" t="s">
        <v>86</v>
      </c>
      <c r="F53" t="s">
        <v>266</v>
      </c>
      <c r="G53" t="s">
        <v>267</v>
      </c>
      <c r="H53" t="str">
        <f>_xlfn.XLOOKUP($G53,RazónMuerte!$A:$A,RazónMuerte!B:B,"",0)</f>
        <v>Otras / No especificada</v>
      </c>
      <c r="I53">
        <f>_xlfn.XLOOKUP($G53,RazónMuerte!$A:$A,RazónMuerte!C:C,"",0)</f>
        <v>0</v>
      </c>
      <c r="J53" t="str">
        <f>_xlfn.XLOOKUP($G53,RazónMuerte!$A:$A,RazónMuerte!D:D,"",0)</f>
        <v>No clasificado</v>
      </c>
    </row>
    <row r="54" spans="1:10" x14ac:dyDescent="0.25">
      <c r="A54" t="s">
        <v>268</v>
      </c>
      <c r="B54" t="str">
        <f t="shared" si="0"/>
        <v>8</v>
      </c>
      <c r="C54" t="str">
        <f t="shared" si="1"/>
        <v>MARZO</v>
      </c>
      <c r="D54" s="20">
        <v>45359</v>
      </c>
      <c r="E54" t="s">
        <v>269</v>
      </c>
      <c r="F54" t="s">
        <v>270</v>
      </c>
      <c r="G54" t="s">
        <v>271</v>
      </c>
      <c r="H54" t="str">
        <f>_xlfn.XLOOKUP($G54,RazónMuerte!$A:$A,RazónMuerte!B:B,"",0)</f>
        <v>Otras / No especificada</v>
      </c>
      <c r="I54">
        <f>_xlfn.XLOOKUP($G54,RazónMuerte!$A:$A,RazónMuerte!C:C,"",0)</f>
        <v>0</v>
      </c>
      <c r="J54" t="str">
        <f>_xlfn.XLOOKUP($G54,RazónMuerte!$A:$A,RazónMuerte!D:D,"",0)</f>
        <v>Fatal injury</v>
      </c>
    </row>
    <row r="55" spans="1:10" x14ac:dyDescent="0.25">
      <c r="A55" t="s">
        <v>272</v>
      </c>
      <c r="B55" t="str">
        <f t="shared" si="0"/>
        <v>9</v>
      </c>
      <c r="C55" t="str">
        <f t="shared" si="1"/>
        <v>MARZO</v>
      </c>
      <c r="D55" s="20">
        <v>45360</v>
      </c>
      <c r="E55" t="s">
        <v>273</v>
      </c>
      <c r="F55" t="s">
        <v>274</v>
      </c>
      <c r="G55" t="s">
        <v>275</v>
      </c>
      <c r="H55" t="str">
        <f>_xlfn.XLOOKUP($G55,RazónMuerte!$A:$A,RazónMuerte!B:B,"",0)</f>
        <v>Fractura ósea</v>
      </c>
      <c r="I55" t="str">
        <f>_xlfn.XLOOKUP($G55,RazónMuerte!$A:$A,RazónMuerte!C:C,"",0)</f>
        <v>Caña / Cannon bone</v>
      </c>
      <c r="J55" t="str">
        <f>_xlfn.XLOOKUP($G55,RazónMuerte!$A:$A,RazónMuerte!D:D,"",0)</f>
        <v>Fatal injury</v>
      </c>
    </row>
    <row r="56" spans="1:10" x14ac:dyDescent="0.25">
      <c r="A56" t="s">
        <v>272</v>
      </c>
      <c r="B56" t="str">
        <f t="shared" si="0"/>
        <v>9</v>
      </c>
      <c r="C56" t="str">
        <f t="shared" si="1"/>
        <v>MARZO</v>
      </c>
      <c r="D56" s="20">
        <v>45360</v>
      </c>
      <c r="E56" t="s">
        <v>278</v>
      </c>
      <c r="F56" t="s">
        <v>277</v>
      </c>
      <c r="G56" t="s">
        <v>276</v>
      </c>
      <c r="H56" t="str">
        <f>_xlfn.XLOOKUP($G56,RazónMuerte!$A:$A,RazónMuerte!B:B,"",0)</f>
        <v>Fractura ósea</v>
      </c>
      <c r="I56" t="str">
        <f>_xlfn.XLOOKUP($G56,RazónMuerte!$A:$A,RazónMuerte!C:C,"",0)</f>
        <v>No especificado</v>
      </c>
      <c r="J56" t="str">
        <f>_xlfn.XLOOKUP($G56,RazónMuerte!$A:$A,RazónMuerte!D:D,"",0)</f>
        <v>Fatal injury</v>
      </c>
    </row>
    <row r="57" spans="1:10" x14ac:dyDescent="0.25">
      <c r="A57" t="s">
        <v>272</v>
      </c>
      <c r="B57" t="str">
        <f t="shared" si="0"/>
        <v>9</v>
      </c>
      <c r="C57" t="str">
        <f t="shared" si="1"/>
        <v>MARZO</v>
      </c>
      <c r="D57" s="20">
        <v>45360</v>
      </c>
      <c r="E57" t="s">
        <v>10</v>
      </c>
      <c r="F57" t="s">
        <v>279</v>
      </c>
      <c r="G57" t="s">
        <v>280</v>
      </c>
      <c r="H57" t="str">
        <f>_xlfn.XLOOKUP($G57,RazónMuerte!$A:$A,RazónMuerte!B:B,"",0)</f>
        <v>Otras / No especificada</v>
      </c>
      <c r="I57">
        <f>_xlfn.XLOOKUP($G57,RazónMuerte!$A:$A,RazónMuerte!C:C,"",0)</f>
        <v>0</v>
      </c>
      <c r="J57" t="str">
        <f>_xlfn.XLOOKUP($G57,RazónMuerte!$A:$A,RazónMuerte!D:D,"",0)</f>
        <v>No clasificado</v>
      </c>
    </row>
    <row r="58" spans="1:10" x14ac:dyDescent="0.25">
      <c r="A58" t="s">
        <v>281</v>
      </c>
      <c r="B58" t="str">
        <f t="shared" si="0"/>
        <v>11</v>
      </c>
      <c r="C58" t="str">
        <f t="shared" si="1"/>
        <v>MARZO</v>
      </c>
      <c r="D58" s="20">
        <v>45362</v>
      </c>
      <c r="E58" t="s">
        <v>99</v>
      </c>
      <c r="F58" t="s">
        <v>282</v>
      </c>
      <c r="G58" t="s">
        <v>283</v>
      </c>
      <c r="H58" t="str">
        <f>_xlfn.XLOOKUP($G58,RazónMuerte!$A:$A,RazónMuerte!B:B,"",0)</f>
        <v>Otras / No especificada</v>
      </c>
      <c r="I58">
        <f>_xlfn.XLOOKUP($G58,RazónMuerte!$A:$A,RazónMuerte!C:C,"",0)</f>
        <v>0</v>
      </c>
      <c r="J58" t="str">
        <f>_xlfn.XLOOKUP($G58,RazónMuerte!$A:$A,RazónMuerte!D:D,"",0)</f>
        <v>No clasificado</v>
      </c>
    </row>
    <row r="59" spans="1:10" x14ac:dyDescent="0.25">
      <c r="A59" t="s">
        <v>284</v>
      </c>
      <c r="B59" t="str">
        <f t="shared" si="0"/>
        <v>12</v>
      </c>
      <c r="C59" t="str">
        <f t="shared" si="1"/>
        <v>MARZO</v>
      </c>
      <c r="D59" s="20">
        <v>45363</v>
      </c>
      <c r="E59" t="s">
        <v>36</v>
      </c>
      <c r="F59" t="s">
        <v>285</v>
      </c>
      <c r="G59" t="s">
        <v>286</v>
      </c>
      <c r="H59" t="str">
        <f>_xlfn.XLOOKUP($G59,RazónMuerte!$A:$A,RazónMuerte!B:B,"",0)</f>
        <v>Fractura ósea</v>
      </c>
      <c r="I59" t="str">
        <f>_xlfn.XLOOKUP($G59,RazónMuerte!$A:$A,RazónMuerte!C:C,"",0)</f>
        <v>Slab</v>
      </c>
      <c r="J59" t="str">
        <f>_xlfn.XLOOKUP($G59,RazónMuerte!$A:$A,RazónMuerte!D:D,"",0)</f>
        <v>Fatal injury</v>
      </c>
    </row>
    <row r="60" spans="1:10" x14ac:dyDescent="0.25">
      <c r="A60" t="s">
        <v>287</v>
      </c>
      <c r="B60" t="str">
        <f t="shared" si="0"/>
        <v>13</v>
      </c>
      <c r="C60" t="str">
        <f t="shared" si="1"/>
        <v>MARZO</v>
      </c>
      <c r="D60" s="20">
        <v>45364</v>
      </c>
      <c r="E60" t="s">
        <v>97</v>
      </c>
      <c r="F60" t="s">
        <v>288</v>
      </c>
      <c r="G60" t="s">
        <v>289</v>
      </c>
      <c r="H60" t="str">
        <f>_xlfn.XLOOKUP($G60,RazónMuerte!$A:$A,RazónMuerte!B:B,"",0)</f>
        <v>Otras / No especificada</v>
      </c>
      <c r="I60">
        <f>_xlfn.XLOOKUP($G60,RazónMuerte!$A:$A,RazónMuerte!C:C,"",0)</f>
        <v>0</v>
      </c>
      <c r="J60" t="str">
        <f>_xlfn.XLOOKUP($G60,RazónMuerte!$A:$A,RazónMuerte!D:D,"",0)</f>
        <v>No clasificado</v>
      </c>
    </row>
    <row r="61" spans="1:10" x14ac:dyDescent="0.25">
      <c r="A61" t="s">
        <v>290</v>
      </c>
      <c r="B61" t="str">
        <f t="shared" si="0"/>
        <v>15</v>
      </c>
      <c r="C61" t="str">
        <f t="shared" si="1"/>
        <v>MARZO</v>
      </c>
      <c r="D61" s="20">
        <v>45366</v>
      </c>
      <c r="E61" t="s">
        <v>99</v>
      </c>
      <c r="F61" t="s">
        <v>291</v>
      </c>
      <c r="G61" t="s">
        <v>292</v>
      </c>
      <c r="H61" t="str">
        <f>_xlfn.XLOOKUP($G61,RazónMuerte!$A:$A,RazónMuerte!B:B,"",0)</f>
        <v>Otras / No especificada</v>
      </c>
      <c r="I61">
        <f>_xlfn.XLOOKUP($G61,RazónMuerte!$A:$A,RazónMuerte!C:C,"",0)</f>
        <v>0</v>
      </c>
      <c r="J61" t="str">
        <f>_xlfn.XLOOKUP($G61,RazónMuerte!$A:$A,RazónMuerte!D:D,"",0)</f>
        <v>No clasificado</v>
      </c>
    </row>
    <row r="62" spans="1:10" x14ac:dyDescent="0.25">
      <c r="A62" t="s">
        <v>293</v>
      </c>
      <c r="B62" t="str">
        <f t="shared" si="0"/>
        <v>16</v>
      </c>
      <c r="C62" t="str">
        <f t="shared" si="1"/>
        <v>MARZO</v>
      </c>
      <c r="D62" s="20">
        <v>45367</v>
      </c>
      <c r="E62" t="s">
        <v>294</v>
      </c>
      <c r="F62" t="s">
        <v>295</v>
      </c>
      <c r="G62" t="s">
        <v>87</v>
      </c>
      <c r="H62" t="str">
        <f>_xlfn.XLOOKUP($G62,RazónMuerte!$A:$A,RazónMuerte!B:B,"",0)</f>
        <v>Otras / No especificada</v>
      </c>
      <c r="I62">
        <f>_xlfn.XLOOKUP($G62,RazónMuerte!$A:$A,RazónMuerte!C:C,"",0)</f>
        <v>0</v>
      </c>
      <c r="J62" t="str">
        <f>_xlfn.XLOOKUP($G62,RazónMuerte!$A:$A,RazónMuerte!D:D,"",0)</f>
        <v>No clasificado</v>
      </c>
    </row>
    <row r="63" spans="1:10" x14ac:dyDescent="0.25">
      <c r="A63" t="s">
        <v>296</v>
      </c>
      <c r="B63" t="str">
        <f t="shared" si="0"/>
        <v>20</v>
      </c>
      <c r="C63" t="str">
        <f t="shared" si="1"/>
        <v>MARZO</v>
      </c>
      <c r="D63" s="20">
        <v>45371</v>
      </c>
      <c r="E63" t="s">
        <v>73</v>
      </c>
      <c r="F63" t="s">
        <v>297</v>
      </c>
      <c r="G63" t="s">
        <v>298</v>
      </c>
      <c r="H63" t="str">
        <f>_xlfn.XLOOKUP($G63,RazónMuerte!$A:$A,RazónMuerte!B:B,"",0)</f>
        <v>Fractura ósea</v>
      </c>
      <c r="I63" t="str">
        <f>_xlfn.XLOOKUP($G63,RazónMuerte!$A:$A,RazónMuerte!C:C,"",0)</f>
        <v>Caña / Cannon bone</v>
      </c>
      <c r="J63" t="str">
        <f>_xlfn.XLOOKUP($G63,RazónMuerte!$A:$A,RazónMuerte!D:D,"",0)</f>
        <v>Fatal injury</v>
      </c>
    </row>
    <row r="64" spans="1:10" x14ac:dyDescent="0.25">
      <c r="A64" t="s">
        <v>299</v>
      </c>
      <c r="B64" t="str">
        <f t="shared" si="0"/>
        <v>27</v>
      </c>
      <c r="C64" t="str">
        <f t="shared" si="1"/>
        <v>MARZO</v>
      </c>
      <c r="D64" s="20">
        <v>45378</v>
      </c>
      <c r="E64" t="s">
        <v>300</v>
      </c>
      <c r="F64" t="s">
        <v>301</v>
      </c>
      <c r="G64" t="s">
        <v>101</v>
      </c>
      <c r="H64" t="str">
        <f>_xlfn.XLOOKUP($G64,RazónMuerte!$A:$A,RazónMuerte!B:B,"",0)</f>
        <v>Fractura ósea</v>
      </c>
      <c r="I64" t="str">
        <f>_xlfn.XLOOKUP($G64,RazónMuerte!$A:$A,RazónMuerte!C:C,"",0)</f>
        <v>Rodilla / Carpal</v>
      </c>
      <c r="J64" t="str">
        <f>_xlfn.XLOOKUP($G64,RazónMuerte!$A:$A,RazónMuerte!D:D,"",0)</f>
        <v>Fatal injury</v>
      </c>
    </row>
    <row r="65" spans="1:10" x14ac:dyDescent="0.25">
      <c r="A65" t="s">
        <v>302</v>
      </c>
      <c r="B65" t="str">
        <f t="shared" si="0"/>
        <v>28</v>
      </c>
      <c r="C65" t="str">
        <f t="shared" si="1"/>
        <v>MARZO</v>
      </c>
      <c r="D65" s="20">
        <v>45379</v>
      </c>
      <c r="E65" t="s">
        <v>88</v>
      </c>
      <c r="F65" t="s">
        <v>303</v>
      </c>
      <c r="G65" t="s">
        <v>304</v>
      </c>
      <c r="H65" t="str">
        <f>_xlfn.XLOOKUP($G65,RazónMuerte!$A:$A,RazónMuerte!B:B,"",0)</f>
        <v>Fractura ósea</v>
      </c>
      <c r="I65" t="str">
        <f>_xlfn.XLOOKUP($G65,RazónMuerte!$A:$A,RazónMuerte!C:C,"",0)</f>
        <v>Caña / Cannon bone</v>
      </c>
      <c r="J65" t="str">
        <f>_xlfn.XLOOKUP($G65,RazónMuerte!$A:$A,RazónMuerte!D:D,"",0)</f>
        <v>Fatal injury</v>
      </c>
    </row>
    <row r="66" spans="1:10" x14ac:dyDescent="0.25">
      <c r="A66" t="s">
        <v>305</v>
      </c>
      <c r="B66" t="str">
        <f t="shared" si="0"/>
        <v>1</v>
      </c>
      <c r="C66" t="str">
        <f t="shared" si="1"/>
        <v>ABRIL</v>
      </c>
      <c r="D66" s="20">
        <v>45383</v>
      </c>
      <c r="E66" t="s">
        <v>306</v>
      </c>
      <c r="F66" t="s">
        <v>307</v>
      </c>
      <c r="G66" t="s">
        <v>308</v>
      </c>
      <c r="H66" t="str">
        <f>_xlfn.XLOOKUP($G66,RazónMuerte!$A:$A,RazónMuerte!B:B,"",0)</f>
        <v>Fractura ósea</v>
      </c>
      <c r="I66" t="str">
        <f>_xlfn.XLOOKUP($G66,RazónMuerte!$A:$A,RazónMuerte!C:C,"",0)</f>
        <v>Slab</v>
      </c>
      <c r="J66" t="str">
        <f>_xlfn.XLOOKUP($G66,RazónMuerte!$A:$A,RazónMuerte!D:D,"",0)</f>
        <v>Fatal injury</v>
      </c>
    </row>
    <row r="67" spans="1:10" x14ac:dyDescent="0.25">
      <c r="A67" t="s">
        <v>309</v>
      </c>
      <c r="B67" t="str">
        <f t="shared" ref="B67:B130" si="2">LEFT(A67,FIND("-",A67)-1)</f>
        <v>2</v>
      </c>
      <c r="C67" t="str">
        <f t="shared" ref="C67:C130" si="3">MID(A67,FIND("-",A67)+1,FIND("-",A67,FIND("-",A67)+1)-FIND("-",A67)-1)</f>
        <v>ABRIL</v>
      </c>
      <c r="D67" s="20">
        <v>45384</v>
      </c>
      <c r="E67" t="s">
        <v>318</v>
      </c>
      <c r="F67" t="s">
        <v>319</v>
      </c>
      <c r="G67" t="s">
        <v>320</v>
      </c>
      <c r="H67" t="str">
        <f>_xlfn.XLOOKUP($G67,RazónMuerte!$A:$A,RazónMuerte!B:B,"",0)</f>
        <v>Fractura ósea</v>
      </c>
      <c r="I67" t="str">
        <f>_xlfn.XLOOKUP($G67,RazónMuerte!$A:$A,RazónMuerte!C:C,"",0)</f>
        <v>No especificado</v>
      </c>
      <c r="J67" t="str">
        <f>_xlfn.XLOOKUP($G67,RazónMuerte!$A:$A,RazónMuerte!D:D,"",0)</f>
        <v>Fatal injury</v>
      </c>
    </row>
    <row r="68" spans="1:10" x14ac:dyDescent="0.25">
      <c r="A68" t="s">
        <v>309</v>
      </c>
      <c r="B68" t="str">
        <f t="shared" si="2"/>
        <v>2</v>
      </c>
      <c r="C68" t="str">
        <f t="shared" si="3"/>
        <v>ABRIL</v>
      </c>
      <c r="D68" s="20">
        <v>45384</v>
      </c>
      <c r="E68" t="s">
        <v>315</v>
      </c>
      <c r="F68" t="s">
        <v>316</v>
      </c>
      <c r="G68" t="s">
        <v>317</v>
      </c>
      <c r="H68" t="str">
        <f>_xlfn.XLOOKUP($G68,RazónMuerte!$A:$A,RazónMuerte!B:B,"",0)</f>
        <v>Otras / No especificada</v>
      </c>
      <c r="I68">
        <f>_xlfn.XLOOKUP($G68,RazónMuerte!$A:$A,RazónMuerte!C:C,"",0)</f>
        <v>0</v>
      </c>
      <c r="J68" t="str">
        <f>_xlfn.XLOOKUP($G68,RazónMuerte!$A:$A,RazónMuerte!D:D,"",0)</f>
        <v>No clasificado</v>
      </c>
    </row>
    <row r="69" spans="1:10" x14ac:dyDescent="0.25">
      <c r="A69" t="s">
        <v>309</v>
      </c>
      <c r="B69" t="str">
        <f t="shared" si="2"/>
        <v>2</v>
      </c>
      <c r="C69" t="str">
        <f t="shared" si="3"/>
        <v>ABRIL</v>
      </c>
      <c r="D69" s="20">
        <v>45384</v>
      </c>
      <c r="E69" t="s">
        <v>310</v>
      </c>
      <c r="F69" t="s">
        <v>311</v>
      </c>
      <c r="G69" t="s">
        <v>313</v>
      </c>
      <c r="H69" t="str">
        <f>_xlfn.XLOOKUP($G69,RazónMuerte!$A:$A,RazónMuerte!B:B,"",0)</f>
        <v>Fractura ósea</v>
      </c>
      <c r="I69" t="str">
        <f>_xlfn.XLOOKUP($G69,RazónMuerte!$A:$A,RazónMuerte!C:C,"",0)</f>
        <v>Rodilla / Carpal</v>
      </c>
      <c r="J69" t="str">
        <f>_xlfn.XLOOKUP($G69,RazónMuerte!$A:$A,RazónMuerte!D:D,"",0)</f>
        <v>Fatal injury</v>
      </c>
    </row>
    <row r="70" spans="1:10" x14ac:dyDescent="0.25">
      <c r="A70" t="s">
        <v>309</v>
      </c>
      <c r="B70" t="str">
        <f t="shared" si="2"/>
        <v>2</v>
      </c>
      <c r="C70" t="str">
        <f t="shared" si="3"/>
        <v>ABRIL</v>
      </c>
      <c r="D70" s="20">
        <v>45384</v>
      </c>
      <c r="E70" t="s">
        <v>96</v>
      </c>
      <c r="F70" t="s">
        <v>314</v>
      </c>
      <c r="G70" t="s">
        <v>78</v>
      </c>
      <c r="H70" t="str">
        <f>_xlfn.XLOOKUP($G70,RazónMuerte!$A:$A,RazónMuerte!B:B,"",0)</f>
        <v>Fractura ósea</v>
      </c>
      <c r="I70" t="str">
        <f>_xlfn.XLOOKUP($G70,RazónMuerte!$A:$A,RazónMuerte!C:C,"",0)</f>
        <v>Rodilla / Carpal</v>
      </c>
      <c r="J70" t="str">
        <f>_xlfn.XLOOKUP($G70,RazónMuerte!$A:$A,RazónMuerte!D:D,"",0)</f>
        <v>Fatal injury</v>
      </c>
    </row>
    <row r="71" spans="1:10" x14ac:dyDescent="0.25">
      <c r="A71" t="s">
        <v>309</v>
      </c>
      <c r="B71" t="str">
        <f t="shared" si="2"/>
        <v>2</v>
      </c>
      <c r="C71" t="str">
        <f t="shared" si="3"/>
        <v>ABRIL</v>
      </c>
      <c r="D71" s="20">
        <v>45384</v>
      </c>
      <c r="E71" t="s">
        <v>116</v>
      </c>
      <c r="F71" t="s">
        <v>322</v>
      </c>
      <c r="G71" t="s">
        <v>321</v>
      </c>
      <c r="H71" t="str">
        <f>_xlfn.XLOOKUP($G71,RazónMuerte!$A:$A,RazónMuerte!B:B,"",0)</f>
        <v>Otras / No especificada</v>
      </c>
      <c r="I71">
        <f>_xlfn.XLOOKUP($G71,RazónMuerte!$A:$A,RazónMuerte!C:C,"",0)</f>
        <v>0</v>
      </c>
      <c r="J71" t="str">
        <f>_xlfn.XLOOKUP($G71,RazónMuerte!$A:$A,RazónMuerte!D:D,"",0)</f>
        <v>No clasificado</v>
      </c>
    </row>
    <row r="72" spans="1:10" x14ac:dyDescent="0.25">
      <c r="A72" t="s">
        <v>323</v>
      </c>
      <c r="B72" t="str">
        <f t="shared" si="2"/>
        <v>5</v>
      </c>
      <c r="C72" t="str">
        <f t="shared" si="3"/>
        <v>ABRIL</v>
      </c>
      <c r="D72" s="20">
        <v>45387</v>
      </c>
      <c r="E72" t="s">
        <v>71</v>
      </c>
      <c r="F72" t="s">
        <v>324</v>
      </c>
      <c r="G72" t="s">
        <v>325</v>
      </c>
      <c r="H72" t="str">
        <f>_xlfn.XLOOKUP($G72,RazónMuerte!$A:$A,RazónMuerte!B:B,"",0)</f>
        <v>Fractura ósea</v>
      </c>
      <c r="I72" t="str">
        <f>_xlfn.XLOOKUP($G72,RazónMuerte!$A:$A,RazónMuerte!C:C,"",0)</f>
        <v>Rodilla / Carpal</v>
      </c>
      <c r="J72" t="str">
        <f>_xlfn.XLOOKUP($G72,RazónMuerte!$A:$A,RazónMuerte!D:D,"",0)</f>
        <v>Fatal injury</v>
      </c>
    </row>
    <row r="73" spans="1:10" x14ac:dyDescent="0.25">
      <c r="A73" t="s">
        <v>382</v>
      </c>
      <c r="B73" t="str">
        <f t="shared" si="2"/>
        <v>6</v>
      </c>
      <c r="C73" t="str">
        <f t="shared" si="3"/>
        <v>ABRIL</v>
      </c>
      <c r="D73" s="20">
        <v>45388</v>
      </c>
      <c r="E73" t="s">
        <v>383</v>
      </c>
      <c r="F73" t="s">
        <v>384</v>
      </c>
      <c r="G73" t="s">
        <v>385</v>
      </c>
      <c r="H73" t="str">
        <f>_xlfn.XLOOKUP($G73,RazónMuerte!$A:$A,RazónMuerte!B:B,"",0)</f>
        <v>Otras / No especificada</v>
      </c>
      <c r="I73">
        <f>_xlfn.XLOOKUP($G73,RazónMuerte!$A:$A,RazónMuerte!C:C,"",0)</f>
        <v>0</v>
      </c>
      <c r="J73" t="str">
        <f>_xlfn.XLOOKUP($G73,RazónMuerte!$A:$A,RazónMuerte!D:D,"",0)</f>
        <v>No clasificado</v>
      </c>
    </row>
    <row r="74" spans="1:10" x14ac:dyDescent="0.25">
      <c r="A74" t="s">
        <v>326</v>
      </c>
      <c r="B74" t="str">
        <f t="shared" si="2"/>
        <v>15</v>
      </c>
      <c r="C74" t="str">
        <f t="shared" si="3"/>
        <v>ABRIL</v>
      </c>
      <c r="D74" s="20">
        <v>45397</v>
      </c>
      <c r="E74" t="s">
        <v>10</v>
      </c>
      <c r="F74" t="s">
        <v>327</v>
      </c>
      <c r="G74" t="s">
        <v>78</v>
      </c>
      <c r="H74" t="str">
        <f>_xlfn.XLOOKUP($G74,RazónMuerte!$A:$A,RazónMuerte!B:B,"",0)</f>
        <v>Fractura ósea</v>
      </c>
      <c r="I74" t="str">
        <f>_xlfn.XLOOKUP($G74,RazónMuerte!$A:$A,RazónMuerte!C:C,"",0)</f>
        <v>Rodilla / Carpal</v>
      </c>
      <c r="J74" t="str">
        <f>_xlfn.XLOOKUP($G74,RazónMuerte!$A:$A,RazónMuerte!D:D,"",0)</f>
        <v>Fatal injury</v>
      </c>
    </row>
    <row r="75" spans="1:10" x14ac:dyDescent="0.25">
      <c r="A75" t="s">
        <v>328</v>
      </c>
      <c r="B75" t="str">
        <f t="shared" si="2"/>
        <v>19</v>
      </c>
      <c r="C75" t="str">
        <f t="shared" si="3"/>
        <v>ABRIL</v>
      </c>
      <c r="D75" s="20">
        <v>45401</v>
      </c>
      <c r="E75" t="s">
        <v>329</v>
      </c>
      <c r="F75" t="s">
        <v>330</v>
      </c>
      <c r="G75" t="s">
        <v>60</v>
      </c>
      <c r="H75" t="str">
        <f>_xlfn.XLOOKUP($G75,RazónMuerte!$A:$A,RazónMuerte!B:B,"",0)</f>
        <v>Fractura ósea</v>
      </c>
      <c r="I75" t="str">
        <f>_xlfn.XLOOKUP($G75,RazónMuerte!$A:$A,RazónMuerte!C:C,"",0)</f>
        <v>Caña / Cannon bone</v>
      </c>
      <c r="J75" t="str">
        <f>_xlfn.XLOOKUP($G75,RazónMuerte!$A:$A,RazónMuerte!D:D,"",0)</f>
        <v>Fatal injury</v>
      </c>
    </row>
    <row r="76" spans="1:10" x14ac:dyDescent="0.25">
      <c r="A76" t="s">
        <v>331</v>
      </c>
      <c r="B76" t="str">
        <f t="shared" si="2"/>
        <v>20</v>
      </c>
      <c r="C76" t="str">
        <f t="shared" si="3"/>
        <v>ABRIL</v>
      </c>
      <c r="D76" s="20">
        <v>45402</v>
      </c>
      <c r="E76" t="s">
        <v>332</v>
      </c>
      <c r="F76" t="s">
        <v>333</v>
      </c>
      <c r="G76" t="s">
        <v>334</v>
      </c>
      <c r="H76" t="str">
        <f>_xlfn.XLOOKUP($G76,RazónMuerte!$A:$A,RazónMuerte!B:B,"",0)</f>
        <v>Otras / No especificada</v>
      </c>
      <c r="I76">
        <f>_xlfn.XLOOKUP($G76,RazónMuerte!$A:$A,RazónMuerte!C:C,"",0)</f>
        <v>0</v>
      </c>
      <c r="J76" t="str">
        <f>_xlfn.XLOOKUP($G76,RazónMuerte!$A:$A,RazónMuerte!D:D,"",0)</f>
        <v>No fatal injury (chronic/medical)</v>
      </c>
    </row>
    <row r="77" spans="1:10" x14ac:dyDescent="0.25">
      <c r="A77" t="s">
        <v>335</v>
      </c>
      <c r="B77" t="str">
        <f t="shared" si="2"/>
        <v>23</v>
      </c>
      <c r="C77" t="str">
        <f t="shared" si="3"/>
        <v>ABRIL</v>
      </c>
      <c r="D77" s="20">
        <v>45405</v>
      </c>
      <c r="E77" t="s">
        <v>6</v>
      </c>
      <c r="F77" t="s">
        <v>336</v>
      </c>
      <c r="G77" t="s">
        <v>337</v>
      </c>
      <c r="H77" t="str">
        <f>_xlfn.XLOOKUP($G77,RazónMuerte!$A:$A,RazónMuerte!B:B,"",0)</f>
        <v>Fractura ósea</v>
      </c>
      <c r="I77" t="str">
        <f>_xlfn.XLOOKUP($G77,RazónMuerte!$A:$A,RazónMuerte!C:C,"",0)</f>
        <v>Rodilla / Carpal</v>
      </c>
      <c r="J77" t="str">
        <f>_xlfn.XLOOKUP($G77,RazónMuerte!$A:$A,RazónMuerte!D:D,"",0)</f>
        <v>Fatal injury</v>
      </c>
    </row>
    <row r="78" spans="1:10" x14ac:dyDescent="0.25">
      <c r="A78" t="s">
        <v>338</v>
      </c>
      <c r="B78" t="str">
        <f t="shared" si="2"/>
        <v>26</v>
      </c>
      <c r="C78" t="str">
        <f t="shared" si="3"/>
        <v>ABRIL</v>
      </c>
      <c r="D78" s="20">
        <v>45408</v>
      </c>
      <c r="E78" t="s">
        <v>31</v>
      </c>
      <c r="F78" t="s">
        <v>339</v>
      </c>
      <c r="G78" t="s">
        <v>340</v>
      </c>
      <c r="H78" t="str">
        <f>_xlfn.XLOOKUP($G78,RazónMuerte!$A:$A,RazónMuerte!B:B,"",0)</f>
        <v>Fractura ósea</v>
      </c>
      <c r="I78" t="str">
        <f>_xlfn.XLOOKUP($G78,RazónMuerte!$A:$A,RazónMuerte!C:C,"",0)</f>
        <v>Rodilla / Carpal</v>
      </c>
      <c r="J78" t="str">
        <f>_xlfn.XLOOKUP($G78,RazónMuerte!$A:$A,RazónMuerte!D:D,"",0)</f>
        <v>Fatal injury</v>
      </c>
    </row>
    <row r="79" spans="1:10" x14ac:dyDescent="0.25">
      <c r="A79" t="s">
        <v>343</v>
      </c>
      <c r="B79" t="str">
        <f t="shared" si="2"/>
        <v>27</v>
      </c>
      <c r="C79" t="str">
        <f t="shared" si="3"/>
        <v>ABRIL</v>
      </c>
      <c r="D79" s="20">
        <v>45409</v>
      </c>
      <c r="E79" t="s">
        <v>98</v>
      </c>
      <c r="F79" t="s">
        <v>344</v>
      </c>
      <c r="G79" t="s">
        <v>345</v>
      </c>
      <c r="H79" t="str">
        <f>_xlfn.XLOOKUP($G79,RazónMuerte!$A:$A,RazónMuerte!B:B,"",0)</f>
        <v>Fractura ósea</v>
      </c>
      <c r="I79" t="str">
        <f>_xlfn.XLOOKUP($G79,RazónMuerte!$A:$A,RazónMuerte!C:C,"",0)</f>
        <v>Sesamoideo</v>
      </c>
      <c r="J79" t="str">
        <f>_xlfn.XLOOKUP($G79,RazónMuerte!$A:$A,RazónMuerte!D:D,"",0)</f>
        <v>Fatal injury</v>
      </c>
    </row>
    <row r="80" spans="1:10" x14ac:dyDescent="0.25">
      <c r="A80" t="s">
        <v>341</v>
      </c>
      <c r="B80" t="str">
        <f t="shared" si="2"/>
        <v>29</v>
      </c>
      <c r="C80" t="str">
        <f t="shared" si="3"/>
        <v>ABRIL</v>
      </c>
      <c r="D80" s="20">
        <v>45411</v>
      </c>
      <c r="E80" t="s">
        <v>53</v>
      </c>
      <c r="F80" t="s">
        <v>342</v>
      </c>
      <c r="G80" t="s">
        <v>78</v>
      </c>
      <c r="H80" t="str">
        <f>_xlfn.XLOOKUP($G80,RazónMuerte!$A:$A,RazónMuerte!B:B,"",0)</f>
        <v>Fractura ósea</v>
      </c>
      <c r="I80" t="str">
        <f>_xlfn.XLOOKUP($G80,RazónMuerte!$A:$A,RazónMuerte!C:C,"",0)</f>
        <v>Rodilla / Carpal</v>
      </c>
      <c r="J80" t="str">
        <f>_xlfn.XLOOKUP($G80,RazónMuerte!$A:$A,RazónMuerte!D:D,"",0)</f>
        <v>Fatal injury</v>
      </c>
    </row>
    <row r="81" spans="1:10" x14ac:dyDescent="0.25">
      <c r="A81" t="s">
        <v>346</v>
      </c>
      <c r="B81" t="str">
        <f t="shared" si="2"/>
        <v>1</v>
      </c>
      <c r="C81" t="str">
        <f t="shared" si="3"/>
        <v>MAYO</v>
      </c>
      <c r="D81" s="20">
        <v>45413</v>
      </c>
      <c r="E81" t="s">
        <v>11</v>
      </c>
      <c r="F81" t="s">
        <v>347</v>
      </c>
      <c r="G81" t="s">
        <v>348</v>
      </c>
      <c r="H81" t="str">
        <f>_xlfn.XLOOKUP($G81,RazónMuerte!$A:$A,RazónMuerte!B:B,"",0)</f>
        <v>Otras / No especificada</v>
      </c>
      <c r="I81">
        <f>_xlfn.XLOOKUP($G81,RazónMuerte!$A:$A,RazónMuerte!C:C,"",0)</f>
        <v>0</v>
      </c>
      <c r="J81" t="str">
        <f>_xlfn.XLOOKUP($G81,RazónMuerte!$A:$A,RazónMuerte!D:D,"",0)</f>
        <v>No clasificado</v>
      </c>
    </row>
    <row r="82" spans="1:10" x14ac:dyDescent="0.25">
      <c r="A82" t="s">
        <v>346</v>
      </c>
      <c r="B82" t="str">
        <f t="shared" si="2"/>
        <v>1</v>
      </c>
      <c r="C82" t="str">
        <f t="shared" si="3"/>
        <v>MAYO</v>
      </c>
      <c r="D82" s="20">
        <v>45413</v>
      </c>
      <c r="E82" t="s">
        <v>349</v>
      </c>
      <c r="F82" t="s">
        <v>350</v>
      </c>
      <c r="G82" t="s">
        <v>351</v>
      </c>
      <c r="H82" t="str">
        <f>_xlfn.XLOOKUP($G82,RazónMuerte!$A:$A,RazónMuerte!B:B,"",0)</f>
        <v>Fractura ósea</v>
      </c>
      <c r="I82" t="str">
        <f>_xlfn.XLOOKUP($G82,RazónMuerte!$A:$A,RazónMuerte!C:C,"",0)</f>
        <v>No especificado</v>
      </c>
      <c r="J82" t="str">
        <f>_xlfn.XLOOKUP($G82,RazónMuerte!$A:$A,RazónMuerte!D:D,"",0)</f>
        <v>Fatal injury</v>
      </c>
    </row>
    <row r="83" spans="1:10" x14ac:dyDescent="0.25">
      <c r="A83" t="s">
        <v>346</v>
      </c>
      <c r="B83" t="str">
        <f t="shared" si="2"/>
        <v>1</v>
      </c>
      <c r="C83" t="str">
        <f t="shared" si="3"/>
        <v>MAYO</v>
      </c>
      <c r="D83" s="20">
        <v>45413</v>
      </c>
      <c r="E83" t="s">
        <v>353</v>
      </c>
      <c r="F83" t="s">
        <v>352</v>
      </c>
      <c r="G83" t="s">
        <v>354</v>
      </c>
      <c r="H83" t="str">
        <f>_xlfn.XLOOKUP($G83,RazónMuerte!$A:$A,RazónMuerte!B:B,"",0)</f>
        <v>Fractura ósea</v>
      </c>
      <c r="I83" t="str">
        <f>_xlfn.XLOOKUP($G83,RazónMuerte!$A:$A,RazónMuerte!C:C,"",0)</f>
        <v>Rodilla / Carpal</v>
      </c>
      <c r="J83" t="str">
        <f>_xlfn.XLOOKUP($G83,RazónMuerte!$A:$A,RazónMuerte!D:D,"",0)</f>
        <v>Fatal injury</v>
      </c>
    </row>
    <row r="84" spans="1:10" x14ac:dyDescent="0.25">
      <c r="A84" t="s">
        <v>355</v>
      </c>
      <c r="B84" t="str">
        <f t="shared" si="2"/>
        <v>3</v>
      </c>
      <c r="C84" t="str">
        <f t="shared" si="3"/>
        <v>MAYO</v>
      </c>
      <c r="D84" s="20">
        <v>45415</v>
      </c>
      <c r="E84" t="s">
        <v>356</v>
      </c>
      <c r="F84" t="s">
        <v>357</v>
      </c>
      <c r="G84" t="s">
        <v>358</v>
      </c>
      <c r="H84" t="str">
        <f>_xlfn.XLOOKUP($G84,RazónMuerte!$A:$A,RazónMuerte!B:B,"",0)</f>
        <v>Otras / No especificada</v>
      </c>
      <c r="I84">
        <f>_xlfn.XLOOKUP($G84,RazónMuerte!$A:$A,RazónMuerte!C:C,"",0)</f>
        <v>0</v>
      </c>
      <c r="J84" t="str">
        <f>_xlfn.XLOOKUP($G84,RazónMuerte!$A:$A,RazónMuerte!D:D,"",0)</f>
        <v>No clasificado</v>
      </c>
    </row>
    <row r="85" spans="1:10" x14ac:dyDescent="0.25">
      <c r="A85" t="s">
        <v>359</v>
      </c>
      <c r="B85" t="str">
        <f t="shared" si="2"/>
        <v>4</v>
      </c>
      <c r="C85" t="str">
        <f t="shared" si="3"/>
        <v>MAYO</v>
      </c>
      <c r="D85" s="20">
        <v>45416</v>
      </c>
      <c r="E85" t="s">
        <v>360</v>
      </c>
      <c r="F85" t="s">
        <v>361</v>
      </c>
      <c r="G85" t="s">
        <v>362</v>
      </c>
      <c r="H85" t="str">
        <f>_xlfn.XLOOKUP($G85,RazónMuerte!$A:$A,RazónMuerte!B:B,"",0)</f>
        <v>Otras / No especificada</v>
      </c>
      <c r="I85">
        <f>_xlfn.XLOOKUP($G85,RazónMuerte!$A:$A,RazónMuerte!C:C,"",0)</f>
        <v>0</v>
      </c>
      <c r="J85" t="str">
        <f>_xlfn.XLOOKUP($G85,RazónMuerte!$A:$A,RazónMuerte!D:D,"",0)</f>
        <v>No clasificado</v>
      </c>
    </row>
    <row r="86" spans="1:10" x14ac:dyDescent="0.25">
      <c r="A86" t="s">
        <v>363</v>
      </c>
      <c r="B86" t="str">
        <f t="shared" si="2"/>
        <v>6</v>
      </c>
      <c r="C86" t="str">
        <f t="shared" si="3"/>
        <v>MAYO</v>
      </c>
      <c r="D86" s="20">
        <v>45418</v>
      </c>
      <c r="E86" t="s">
        <v>155</v>
      </c>
      <c r="F86" t="s">
        <v>364</v>
      </c>
      <c r="G86" t="s">
        <v>365</v>
      </c>
      <c r="H86" t="str">
        <f>_xlfn.XLOOKUP($G86,RazónMuerte!$A:$A,RazónMuerte!B:B,"",0)</f>
        <v>Fractura ósea</v>
      </c>
      <c r="I86" t="str">
        <f>_xlfn.XLOOKUP($G86,RazónMuerte!$A:$A,RazónMuerte!C:C,"",0)</f>
        <v>No especificado</v>
      </c>
      <c r="J86" t="str">
        <f>_xlfn.XLOOKUP($G86,RazónMuerte!$A:$A,RazónMuerte!D:D,"",0)</f>
        <v>Fatal injury</v>
      </c>
    </row>
    <row r="87" spans="1:10" x14ac:dyDescent="0.25">
      <c r="A87" t="s">
        <v>363</v>
      </c>
      <c r="B87" t="str">
        <f t="shared" si="2"/>
        <v>6</v>
      </c>
      <c r="C87" t="str">
        <f t="shared" si="3"/>
        <v>MAYO</v>
      </c>
      <c r="D87" s="20">
        <v>45418</v>
      </c>
      <c r="E87" t="s">
        <v>124</v>
      </c>
      <c r="F87" t="s">
        <v>366</v>
      </c>
      <c r="G87" t="s">
        <v>367</v>
      </c>
      <c r="H87" t="str">
        <f>_xlfn.XLOOKUP($G87,RazónMuerte!$A:$A,RazónMuerte!B:B,"",0)</f>
        <v>Fractura ósea</v>
      </c>
      <c r="I87" t="str">
        <f>_xlfn.XLOOKUP($G87,RazónMuerte!$A:$A,RazónMuerte!C:C,"",0)</f>
        <v>Rodilla / Carpal</v>
      </c>
      <c r="J87" t="str">
        <f>_xlfn.XLOOKUP($G87,RazónMuerte!$A:$A,RazónMuerte!D:D,"",0)</f>
        <v>Fatal injury</v>
      </c>
    </row>
    <row r="88" spans="1:10" x14ac:dyDescent="0.25">
      <c r="A88" t="s">
        <v>371</v>
      </c>
      <c r="B88" t="str">
        <f t="shared" si="2"/>
        <v>7</v>
      </c>
      <c r="C88" t="str">
        <f t="shared" si="3"/>
        <v>MAYO</v>
      </c>
      <c r="D88" s="20">
        <v>45419</v>
      </c>
      <c r="E88" t="s">
        <v>368</v>
      </c>
      <c r="F88" t="s">
        <v>369</v>
      </c>
      <c r="G88" t="s">
        <v>370</v>
      </c>
      <c r="H88" t="str">
        <f>_xlfn.XLOOKUP($G88,RazónMuerte!$A:$A,RazónMuerte!B:B,"",0)</f>
        <v>Enfermedad degenerativa articular</v>
      </c>
      <c r="I88">
        <f>_xlfn.XLOOKUP($G88,RazónMuerte!$A:$A,RazónMuerte!C:C,"",0)</f>
        <v>0</v>
      </c>
      <c r="J88" t="str">
        <f>_xlfn.XLOOKUP($G88,RazónMuerte!$A:$A,RazónMuerte!D:D,"",0)</f>
        <v>No fatal injury (chronic/medical)</v>
      </c>
    </row>
    <row r="89" spans="1:10" x14ac:dyDescent="0.25">
      <c r="A89" t="s">
        <v>371</v>
      </c>
      <c r="B89" t="str">
        <f t="shared" si="2"/>
        <v>7</v>
      </c>
      <c r="C89" t="str">
        <f t="shared" si="3"/>
        <v>MAYO</v>
      </c>
      <c r="D89" s="20">
        <v>45419</v>
      </c>
      <c r="E89" t="s">
        <v>43</v>
      </c>
      <c r="F89" t="s">
        <v>372</v>
      </c>
      <c r="G89" t="s">
        <v>373</v>
      </c>
      <c r="H89" t="str">
        <f>_xlfn.XLOOKUP($G89,RazónMuerte!$A:$A,RazónMuerte!B:B,"",0)</f>
        <v>Fractura ósea</v>
      </c>
      <c r="I89" t="str">
        <f>_xlfn.XLOOKUP($G89,RazónMuerte!$A:$A,RazónMuerte!C:C,"",0)</f>
        <v>Caña / Cannon bone</v>
      </c>
      <c r="J89" t="str">
        <f>_xlfn.XLOOKUP($G89,RazónMuerte!$A:$A,RazónMuerte!D:D,"",0)</f>
        <v>Fatal injury</v>
      </c>
    </row>
    <row r="90" spans="1:10" x14ac:dyDescent="0.25">
      <c r="A90" t="s">
        <v>371</v>
      </c>
      <c r="B90" t="str">
        <f t="shared" si="2"/>
        <v>7</v>
      </c>
      <c r="C90" t="str">
        <f t="shared" si="3"/>
        <v>MAYO</v>
      </c>
      <c r="D90" s="20">
        <v>45419</v>
      </c>
      <c r="E90" t="s">
        <v>110</v>
      </c>
      <c r="F90" t="s">
        <v>375</v>
      </c>
      <c r="G90" t="s">
        <v>374</v>
      </c>
      <c r="H90" t="str">
        <f>_xlfn.XLOOKUP($G90,RazónMuerte!$A:$A,RazónMuerte!B:B,"",0)</f>
        <v>Enfermedad degenerativa articular</v>
      </c>
      <c r="I90">
        <f>_xlfn.XLOOKUP($G90,RazónMuerte!$A:$A,RazónMuerte!C:C,"",0)</f>
        <v>0</v>
      </c>
      <c r="J90" t="str">
        <f>_xlfn.XLOOKUP($G90,RazónMuerte!$A:$A,RazónMuerte!D:D,"",0)</f>
        <v>Fatal injury</v>
      </c>
    </row>
    <row r="91" spans="1:10" x14ac:dyDescent="0.25">
      <c r="A91" t="s">
        <v>376</v>
      </c>
      <c r="B91" t="str">
        <f t="shared" si="2"/>
        <v>10</v>
      </c>
      <c r="C91" t="str">
        <f t="shared" si="3"/>
        <v>MAYO</v>
      </c>
      <c r="D91" s="20">
        <v>45422</v>
      </c>
      <c r="E91" t="s">
        <v>377</v>
      </c>
      <c r="F91" t="s">
        <v>378</v>
      </c>
      <c r="G91" t="s">
        <v>379</v>
      </c>
      <c r="H91" t="str">
        <f>_xlfn.XLOOKUP($G91,RazónMuerte!$A:$A,RazónMuerte!B:B,"",0)</f>
        <v>Fractura ósea</v>
      </c>
      <c r="I91" t="str">
        <f>_xlfn.XLOOKUP($G91,RazónMuerte!$A:$A,RazónMuerte!C:C,"",0)</f>
        <v>Sesamoideo</v>
      </c>
      <c r="J91" t="str">
        <f>_xlfn.XLOOKUP($G91,RazónMuerte!$A:$A,RazónMuerte!D:D,"",0)</f>
        <v>Fatal injury</v>
      </c>
    </row>
    <row r="92" spans="1:10" x14ac:dyDescent="0.25">
      <c r="A92" t="s">
        <v>376</v>
      </c>
      <c r="B92" t="str">
        <f t="shared" si="2"/>
        <v>10</v>
      </c>
      <c r="C92" t="str">
        <f t="shared" si="3"/>
        <v>MAYO</v>
      </c>
      <c r="D92" s="20">
        <v>45422</v>
      </c>
      <c r="E92" t="s">
        <v>89</v>
      </c>
      <c r="F92" t="s">
        <v>380</v>
      </c>
      <c r="G92" t="s">
        <v>381</v>
      </c>
      <c r="H92" t="str">
        <f>_xlfn.XLOOKUP($G92,RazónMuerte!$A:$A,RazónMuerte!B:B,"",0)</f>
        <v>Fractura ósea</v>
      </c>
      <c r="I92" t="str">
        <f>_xlfn.XLOOKUP($G92,RazónMuerte!$A:$A,RazónMuerte!C:C,"",0)</f>
        <v>Sesamoideo</v>
      </c>
      <c r="J92" t="str">
        <f>_xlfn.XLOOKUP($G92,RazónMuerte!$A:$A,RazónMuerte!D:D,"",0)</f>
        <v>Fatal injury</v>
      </c>
    </row>
    <row r="93" spans="1:10" x14ac:dyDescent="0.25">
      <c r="A93" t="s">
        <v>386</v>
      </c>
      <c r="B93" t="str">
        <f t="shared" si="2"/>
        <v>11</v>
      </c>
      <c r="C93" t="str">
        <f t="shared" si="3"/>
        <v>MAYO</v>
      </c>
      <c r="D93" s="20">
        <v>45423</v>
      </c>
      <c r="E93" t="s">
        <v>387</v>
      </c>
      <c r="F93" t="s">
        <v>388</v>
      </c>
      <c r="G93" t="s">
        <v>78</v>
      </c>
      <c r="H93" t="str">
        <f>_xlfn.XLOOKUP($G93,RazónMuerte!$A:$A,RazónMuerte!B:B,"",0)</f>
        <v>Fractura ósea</v>
      </c>
      <c r="I93" t="str">
        <f>_xlfn.XLOOKUP($G93,RazónMuerte!$A:$A,RazónMuerte!C:C,"",0)</f>
        <v>Rodilla / Carpal</v>
      </c>
      <c r="J93" t="str">
        <f>_xlfn.XLOOKUP($G93,RazónMuerte!$A:$A,RazónMuerte!D:D,"",0)</f>
        <v>Fatal injury</v>
      </c>
    </row>
    <row r="94" spans="1:10" x14ac:dyDescent="0.25">
      <c r="A94" t="s">
        <v>386</v>
      </c>
      <c r="B94" t="str">
        <f t="shared" si="2"/>
        <v>11</v>
      </c>
      <c r="C94" t="str">
        <f t="shared" si="3"/>
        <v>MAYO</v>
      </c>
      <c r="D94" s="20">
        <v>45423</v>
      </c>
      <c r="E94" t="s">
        <v>389</v>
      </c>
      <c r="F94" t="s">
        <v>390</v>
      </c>
      <c r="G94" t="s">
        <v>391</v>
      </c>
      <c r="H94" t="str">
        <f>_xlfn.XLOOKUP($G94,RazónMuerte!$A:$A,RazónMuerte!B:B,"",0)</f>
        <v>Fractura ósea</v>
      </c>
      <c r="I94" t="str">
        <f>_xlfn.XLOOKUP($G94,RazónMuerte!$A:$A,RazónMuerte!C:C,"",0)</f>
        <v>No especificado</v>
      </c>
      <c r="J94" t="str">
        <f>_xlfn.XLOOKUP($G94,RazónMuerte!$A:$A,RazónMuerte!D:D,"",0)</f>
        <v>Fatal injury</v>
      </c>
    </row>
    <row r="95" spans="1:10" x14ac:dyDescent="0.25">
      <c r="A95" t="s">
        <v>386</v>
      </c>
      <c r="B95" t="str">
        <f t="shared" si="2"/>
        <v>11</v>
      </c>
      <c r="C95" t="str">
        <f t="shared" si="3"/>
        <v>MAYO</v>
      </c>
      <c r="D95" s="20">
        <v>45423</v>
      </c>
      <c r="E95" t="s">
        <v>392</v>
      </c>
      <c r="F95" t="s">
        <v>393</v>
      </c>
      <c r="G95" t="s">
        <v>394</v>
      </c>
      <c r="H95" t="str">
        <f>_xlfn.XLOOKUP($G95,RazónMuerte!$A:$A,RazónMuerte!B:B,"",0)</f>
        <v>Fractura ósea</v>
      </c>
      <c r="I95" t="str">
        <f>_xlfn.XLOOKUP($G95,RazónMuerte!$A:$A,RazónMuerte!C:C,"",0)</f>
        <v>Sesamoideo</v>
      </c>
      <c r="J95" t="str">
        <f>_xlfn.XLOOKUP($G95,RazónMuerte!$A:$A,RazónMuerte!D:D,"",0)</f>
        <v>Fatal injury</v>
      </c>
    </row>
    <row r="96" spans="1:10" x14ac:dyDescent="0.25">
      <c r="A96" t="s">
        <v>395</v>
      </c>
      <c r="B96" t="str">
        <f t="shared" si="2"/>
        <v>15</v>
      </c>
      <c r="C96" t="str">
        <f t="shared" si="3"/>
        <v>MAYO</v>
      </c>
      <c r="D96" s="20">
        <v>45427</v>
      </c>
      <c r="E96" t="s">
        <v>396</v>
      </c>
      <c r="F96" t="s">
        <v>397</v>
      </c>
      <c r="G96" t="s">
        <v>78</v>
      </c>
      <c r="H96" t="str">
        <f>_xlfn.XLOOKUP($G96,RazónMuerte!$A:$A,RazónMuerte!B:B,"",0)</f>
        <v>Fractura ósea</v>
      </c>
      <c r="I96" t="str">
        <f>_xlfn.XLOOKUP($G96,RazónMuerte!$A:$A,RazónMuerte!C:C,"",0)</f>
        <v>Rodilla / Carpal</v>
      </c>
      <c r="J96" t="str">
        <f>_xlfn.XLOOKUP($G96,RazónMuerte!$A:$A,RazónMuerte!D:D,"",0)</f>
        <v>Fatal injury</v>
      </c>
    </row>
    <row r="97" spans="1:10" x14ac:dyDescent="0.25">
      <c r="A97" t="s">
        <v>395</v>
      </c>
      <c r="B97" t="str">
        <f t="shared" si="2"/>
        <v>15</v>
      </c>
      <c r="C97" t="str">
        <f t="shared" si="3"/>
        <v>MAYO</v>
      </c>
      <c r="D97" s="20">
        <v>45427</v>
      </c>
      <c r="E97" t="s">
        <v>51</v>
      </c>
      <c r="F97" t="s">
        <v>399</v>
      </c>
      <c r="G97" t="s">
        <v>398</v>
      </c>
      <c r="H97" t="str">
        <f>_xlfn.XLOOKUP($G97,RazónMuerte!$A:$A,RazónMuerte!B:B,"",0)</f>
        <v>Fractura ósea</v>
      </c>
      <c r="I97" t="str">
        <f>_xlfn.XLOOKUP($G97,RazónMuerte!$A:$A,RazónMuerte!C:C,"",0)</f>
        <v>Rodilla / Carpal</v>
      </c>
      <c r="J97" t="str">
        <f>_xlfn.XLOOKUP($G97,RazónMuerte!$A:$A,RazónMuerte!D:D,"",0)</f>
        <v>Fatal injury</v>
      </c>
    </row>
    <row r="98" spans="1:10" x14ac:dyDescent="0.25">
      <c r="A98" t="s">
        <v>400</v>
      </c>
      <c r="B98" t="str">
        <f t="shared" si="2"/>
        <v>17</v>
      </c>
      <c r="C98" t="str">
        <f t="shared" si="3"/>
        <v>MAYO</v>
      </c>
      <c r="D98" s="20">
        <v>45429</v>
      </c>
      <c r="E98" t="s">
        <v>31</v>
      </c>
      <c r="F98" t="s">
        <v>401</v>
      </c>
      <c r="G98" t="s">
        <v>402</v>
      </c>
      <c r="H98" t="str">
        <f>_xlfn.XLOOKUP($G98,RazónMuerte!$A:$A,RazónMuerte!B:B,"",0)</f>
        <v>Otras / No especificada</v>
      </c>
      <c r="I98">
        <f>_xlfn.XLOOKUP($G98,RazónMuerte!$A:$A,RazónMuerte!C:C,"",0)</f>
        <v>0</v>
      </c>
      <c r="J98" t="str">
        <f>_xlfn.XLOOKUP($G98,RazónMuerte!$A:$A,RazónMuerte!D:D,"",0)</f>
        <v>Fatal injury</v>
      </c>
    </row>
    <row r="99" spans="1:10" x14ac:dyDescent="0.25">
      <c r="A99" t="s">
        <v>400</v>
      </c>
      <c r="B99" t="str">
        <f t="shared" si="2"/>
        <v>17</v>
      </c>
      <c r="C99" t="str">
        <f t="shared" si="3"/>
        <v>MAYO</v>
      </c>
      <c r="D99" s="20">
        <v>45429</v>
      </c>
      <c r="E99" t="s">
        <v>62</v>
      </c>
      <c r="F99" t="s">
        <v>403</v>
      </c>
      <c r="G99" t="s">
        <v>78</v>
      </c>
      <c r="H99" t="str">
        <f>_xlfn.XLOOKUP($G99,RazónMuerte!$A:$A,RazónMuerte!B:B,"",0)</f>
        <v>Fractura ósea</v>
      </c>
      <c r="I99" t="str">
        <f>_xlfn.XLOOKUP($G99,RazónMuerte!$A:$A,RazónMuerte!C:C,"",0)</f>
        <v>Rodilla / Carpal</v>
      </c>
      <c r="J99" t="str">
        <f>_xlfn.XLOOKUP($G99,RazónMuerte!$A:$A,RazónMuerte!D:D,"",0)</f>
        <v>Fatal injury</v>
      </c>
    </row>
    <row r="100" spans="1:10" x14ac:dyDescent="0.25">
      <c r="A100" t="s">
        <v>400</v>
      </c>
      <c r="B100" t="str">
        <f t="shared" si="2"/>
        <v>17</v>
      </c>
      <c r="C100" t="str">
        <f t="shared" si="3"/>
        <v>MAYO</v>
      </c>
      <c r="D100" s="20">
        <v>45429</v>
      </c>
      <c r="E100" t="s">
        <v>5</v>
      </c>
      <c r="F100" t="s">
        <v>404</v>
      </c>
      <c r="G100" t="s">
        <v>405</v>
      </c>
      <c r="H100" t="str">
        <f>_xlfn.XLOOKUP($G100,RazónMuerte!$A:$A,RazónMuerte!B:B,"",0)</f>
        <v>Otras / No especificada</v>
      </c>
      <c r="I100">
        <f>_xlfn.XLOOKUP($G100,RazónMuerte!$A:$A,RazónMuerte!C:C,"",0)</f>
        <v>0</v>
      </c>
      <c r="J100" t="str">
        <f>_xlfn.XLOOKUP($G100,RazónMuerte!$A:$A,RazónMuerte!D:D,"",0)</f>
        <v>No clasificado</v>
      </c>
    </row>
    <row r="101" spans="1:10" x14ac:dyDescent="0.25">
      <c r="A101" t="s">
        <v>400</v>
      </c>
      <c r="B101" t="str">
        <f t="shared" si="2"/>
        <v>17</v>
      </c>
      <c r="C101" t="str">
        <f t="shared" si="3"/>
        <v>MAYO</v>
      </c>
      <c r="D101" s="20">
        <v>45429</v>
      </c>
      <c r="E101" t="s">
        <v>155</v>
      </c>
      <c r="F101" t="s">
        <v>412</v>
      </c>
      <c r="G101" t="s">
        <v>413</v>
      </c>
      <c r="H101" t="str">
        <f>_xlfn.XLOOKUP($G101,RazónMuerte!$A:$A,RazónMuerte!B:B,"",0)</f>
        <v>Fractura ósea</v>
      </c>
      <c r="I101" t="str">
        <f>_xlfn.XLOOKUP($G101,RazónMuerte!$A:$A,RazónMuerte!C:C,"",0)</f>
        <v>Caña / Cannon bone</v>
      </c>
      <c r="J101" t="str">
        <f>_xlfn.XLOOKUP($G101,RazónMuerte!$A:$A,RazónMuerte!D:D,"",0)</f>
        <v>Fatal injury</v>
      </c>
    </row>
    <row r="102" spans="1:10" x14ac:dyDescent="0.25">
      <c r="A102" t="s">
        <v>406</v>
      </c>
      <c r="B102" t="str">
        <f t="shared" si="2"/>
        <v>20</v>
      </c>
      <c r="C102" t="str">
        <f t="shared" si="3"/>
        <v>MAYO</v>
      </c>
      <c r="D102" s="20">
        <v>45432</v>
      </c>
      <c r="E102" t="s">
        <v>407</v>
      </c>
      <c r="F102" t="s">
        <v>408</v>
      </c>
      <c r="G102" t="s">
        <v>409</v>
      </c>
      <c r="H102" t="str">
        <f>_xlfn.XLOOKUP($G102,RazónMuerte!$A:$A,RazónMuerte!B:B,"",0)</f>
        <v>Otras / No especificada</v>
      </c>
      <c r="I102">
        <f>_xlfn.XLOOKUP($G102,RazónMuerte!$A:$A,RazónMuerte!C:C,"",0)</f>
        <v>0</v>
      </c>
      <c r="J102" t="str">
        <f>_xlfn.XLOOKUP($G102,RazónMuerte!$A:$A,RazónMuerte!D:D,"",0)</f>
        <v>No fatal injury (chronic/medical)</v>
      </c>
    </row>
    <row r="103" spans="1:10" x14ac:dyDescent="0.25">
      <c r="A103" t="s">
        <v>406</v>
      </c>
      <c r="B103" t="str">
        <f t="shared" si="2"/>
        <v>20</v>
      </c>
      <c r="C103" t="str">
        <f t="shared" si="3"/>
        <v>MAYO</v>
      </c>
      <c r="D103" s="20">
        <v>45432</v>
      </c>
      <c r="E103" t="s">
        <v>11</v>
      </c>
      <c r="F103" t="s">
        <v>410</v>
      </c>
      <c r="G103" t="s">
        <v>411</v>
      </c>
      <c r="H103" t="str">
        <f>_xlfn.XLOOKUP($G103,RazónMuerte!$A:$A,RazónMuerte!B:B,"",0)</f>
        <v>Otras / No especificada</v>
      </c>
      <c r="I103">
        <f>_xlfn.XLOOKUP($G103,RazónMuerte!$A:$A,RazónMuerte!C:C,"",0)</f>
        <v>0</v>
      </c>
      <c r="J103" t="str">
        <f>_xlfn.XLOOKUP($G103,RazónMuerte!$A:$A,RazónMuerte!D:D,"",0)</f>
        <v>No clasificado</v>
      </c>
    </row>
    <row r="104" spans="1:10" x14ac:dyDescent="0.25">
      <c r="A104" t="s">
        <v>422</v>
      </c>
      <c r="B104" t="str">
        <f t="shared" si="2"/>
        <v>22</v>
      </c>
      <c r="C104" t="str">
        <f t="shared" si="3"/>
        <v>MAYO</v>
      </c>
      <c r="D104" s="20">
        <v>45434</v>
      </c>
      <c r="E104" t="s">
        <v>423</v>
      </c>
      <c r="F104" t="s">
        <v>424</v>
      </c>
      <c r="G104" t="s">
        <v>425</v>
      </c>
      <c r="H104" t="str">
        <f>_xlfn.XLOOKUP($G104,RazónMuerte!$A:$A,RazónMuerte!B:B,"",0)</f>
        <v>Lesión de ligamentos/tendones</v>
      </c>
      <c r="I104">
        <f>_xlfn.XLOOKUP($G104,RazónMuerte!$A:$A,RazónMuerte!C:C,"",0)</f>
        <v>0</v>
      </c>
      <c r="J104" t="str">
        <f>_xlfn.XLOOKUP($G104,RazónMuerte!$A:$A,RazónMuerte!D:D,"",0)</f>
        <v>Fatal injury</v>
      </c>
    </row>
    <row r="105" spans="1:10" x14ac:dyDescent="0.25">
      <c r="A105" t="s">
        <v>414</v>
      </c>
      <c r="B105" t="str">
        <f t="shared" si="2"/>
        <v>27</v>
      </c>
      <c r="C105" t="str">
        <f t="shared" si="3"/>
        <v>MAYO</v>
      </c>
      <c r="D105" s="20">
        <v>45439</v>
      </c>
      <c r="E105" t="s">
        <v>415</v>
      </c>
      <c r="F105" t="s">
        <v>416</v>
      </c>
      <c r="G105" t="s">
        <v>417</v>
      </c>
      <c r="H105" t="str">
        <f>_xlfn.XLOOKUP($G105,RazónMuerte!$A:$A,RazónMuerte!B:B,"",0)</f>
        <v>Lesión de ligamentos/tendones</v>
      </c>
      <c r="I105">
        <f>_xlfn.XLOOKUP($G105,RazónMuerte!$A:$A,RazónMuerte!C:C,"",0)</f>
        <v>0</v>
      </c>
      <c r="J105" t="str">
        <f>_xlfn.XLOOKUP($G105,RazónMuerte!$A:$A,RazónMuerte!D:D,"",0)</f>
        <v>No clasificado</v>
      </c>
    </row>
    <row r="106" spans="1:10" x14ac:dyDescent="0.25">
      <c r="A106" t="s">
        <v>414</v>
      </c>
      <c r="B106" t="str">
        <f t="shared" si="2"/>
        <v>27</v>
      </c>
      <c r="C106" t="str">
        <f t="shared" si="3"/>
        <v>MAYO</v>
      </c>
      <c r="D106" s="20">
        <v>45439</v>
      </c>
      <c r="E106" t="s">
        <v>31</v>
      </c>
      <c r="F106" t="s">
        <v>418</v>
      </c>
      <c r="G106" t="s">
        <v>419</v>
      </c>
      <c r="H106" t="str">
        <f>_xlfn.XLOOKUP($G106,RazónMuerte!$A:$A,RazónMuerte!B:B,"",0)</f>
        <v>Fractura ósea</v>
      </c>
      <c r="I106" t="str">
        <f>_xlfn.XLOOKUP($G106,RazónMuerte!$A:$A,RazónMuerte!C:C,"",0)</f>
        <v>Rodilla / Carpal</v>
      </c>
      <c r="J106" t="str">
        <f>_xlfn.XLOOKUP($G106,RazónMuerte!$A:$A,RazónMuerte!D:D,"",0)</f>
        <v>Fatal injury</v>
      </c>
    </row>
    <row r="107" spans="1:10" x14ac:dyDescent="0.25">
      <c r="A107" t="s">
        <v>414</v>
      </c>
      <c r="B107" t="str">
        <f t="shared" si="2"/>
        <v>27</v>
      </c>
      <c r="C107" t="str">
        <f t="shared" si="3"/>
        <v>MAYO</v>
      </c>
      <c r="D107" s="20">
        <v>45439</v>
      </c>
      <c r="E107" t="s">
        <v>159</v>
      </c>
      <c r="F107" t="s">
        <v>420</v>
      </c>
      <c r="G107" t="s">
        <v>421</v>
      </c>
      <c r="H107" t="str">
        <f>_xlfn.XLOOKUP($G107,RazónMuerte!$A:$A,RazónMuerte!B:B,"",0)</f>
        <v>Otras / No especificada</v>
      </c>
      <c r="I107">
        <f>_xlfn.XLOOKUP($G107,RazónMuerte!$A:$A,RazónMuerte!C:C,"",0)</f>
        <v>0</v>
      </c>
      <c r="J107" t="str">
        <f>_xlfn.XLOOKUP($G107,RazónMuerte!$A:$A,RazónMuerte!D:D,"",0)</f>
        <v>No clasificado</v>
      </c>
    </row>
    <row r="108" spans="1:10" x14ac:dyDescent="0.25">
      <c r="A108" t="s">
        <v>426</v>
      </c>
      <c r="B108" t="str">
        <f t="shared" si="2"/>
        <v>29</v>
      </c>
      <c r="C108" t="str">
        <f t="shared" si="3"/>
        <v>MAYO</v>
      </c>
      <c r="D108" s="20">
        <v>45441</v>
      </c>
      <c r="E108" t="s">
        <v>52</v>
      </c>
      <c r="F108" t="s">
        <v>427</v>
      </c>
      <c r="G108" t="s">
        <v>428</v>
      </c>
      <c r="H108" t="str">
        <f>_xlfn.XLOOKUP($G108,RazónMuerte!$A:$A,RazónMuerte!B:B,"",0)</f>
        <v>Enfermedad degenerativa articular</v>
      </c>
      <c r="I108">
        <f>_xlfn.XLOOKUP($G108,RazónMuerte!$A:$A,RazónMuerte!C:C,"",0)</f>
        <v>0</v>
      </c>
      <c r="J108" t="str">
        <f>_xlfn.XLOOKUP($G108,RazónMuerte!$A:$A,RazónMuerte!D:D,"",0)</f>
        <v>No fatal injury (chronic/medical)</v>
      </c>
    </row>
    <row r="109" spans="1:10" x14ac:dyDescent="0.25">
      <c r="A109" t="s">
        <v>426</v>
      </c>
      <c r="B109" t="str">
        <f t="shared" si="2"/>
        <v>29</v>
      </c>
      <c r="C109" t="str">
        <f t="shared" si="3"/>
        <v>MAYO</v>
      </c>
      <c r="D109" s="20">
        <v>45441</v>
      </c>
      <c r="E109" t="s">
        <v>31</v>
      </c>
      <c r="F109" t="s">
        <v>429</v>
      </c>
      <c r="G109" t="s">
        <v>430</v>
      </c>
      <c r="H109" t="str">
        <f>_xlfn.XLOOKUP($G109,RazónMuerte!$A:$A,RazónMuerte!B:B,"",0)</f>
        <v>Fractura ósea</v>
      </c>
      <c r="I109" t="str">
        <f>_xlfn.XLOOKUP($G109,RazónMuerte!$A:$A,RazónMuerte!C:C,"",0)</f>
        <v>No especificado</v>
      </c>
      <c r="J109" t="str">
        <f>_xlfn.XLOOKUP($G109,RazónMuerte!$A:$A,RazónMuerte!D:D,"",0)</f>
        <v>Fatal injury</v>
      </c>
    </row>
    <row r="110" spans="1:10" x14ac:dyDescent="0.25">
      <c r="A110" t="s">
        <v>426</v>
      </c>
      <c r="B110" t="str">
        <f t="shared" si="2"/>
        <v>29</v>
      </c>
      <c r="C110" t="str">
        <f t="shared" si="3"/>
        <v>MAYO</v>
      </c>
      <c r="D110" s="20">
        <v>45441</v>
      </c>
      <c r="E110" t="s">
        <v>431</v>
      </c>
      <c r="F110" t="s">
        <v>432</v>
      </c>
      <c r="G110" t="s">
        <v>433</v>
      </c>
      <c r="H110" t="str">
        <f>_xlfn.XLOOKUP($G110,RazónMuerte!$A:$A,RazónMuerte!B:B,"",0)</f>
        <v>Fractura ósea</v>
      </c>
      <c r="I110" t="str">
        <f>_xlfn.XLOOKUP($G110,RazónMuerte!$A:$A,RazónMuerte!C:C,"",0)</f>
        <v>No especificado</v>
      </c>
      <c r="J110" t="str">
        <f>_xlfn.XLOOKUP($G110,RazónMuerte!$A:$A,RazónMuerte!D:D,"",0)</f>
        <v>Fatal injury</v>
      </c>
    </row>
    <row r="111" spans="1:10" x14ac:dyDescent="0.25">
      <c r="A111" t="s">
        <v>434</v>
      </c>
      <c r="B111" t="str">
        <f t="shared" si="2"/>
        <v>31</v>
      </c>
      <c r="C111" t="str">
        <f t="shared" si="3"/>
        <v>MAYO</v>
      </c>
      <c r="D111" s="20">
        <v>45443</v>
      </c>
      <c r="E111" t="s">
        <v>436</v>
      </c>
      <c r="F111" t="s">
        <v>437</v>
      </c>
      <c r="G111" t="s">
        <v>438</v>
      </c>
      <c r="H111" t="str">
        <f>_xlfn.XLOOKUP($G111,RazónMuerte!$A:$A,RazónMuerte!B:B,"",0)</f>
        <v>Enfermedad degenerativa articular</v>
      </c>
      <c r="I111">
        <f>_xlfn.XLOOKUP($G111,RazónMuerte!$A:$A,RazónMuerte!C:C,"",0)</f>
        <v>0</v>
      </c>
      <c r="J111" t="str">
        <f>_xlfn.XLOOKUP($G111,RazónMuerte!$A:$A,RazónMuerte!D:D,"",0)</f>
        <v>No fatal injury (chronic/medical)</v>
      </c>
    </row>
    <row r="112" spans="1:10" x14ac:dyDescent="0.25">
      <c r="A112" t="s">
        <v>434</v>
      </c>
      <c r="B112" t="str">
        <f t="shared" si="2"/>
        <v>31</v>
      </c>
      <c r="C112" t="str">
        <f t="shared" si="3"/>
        <v>MAYO</v>
      </c>
      <c r="D112" s="20">
        <v>45443</v>
      </c>
      <c r="E112" t="s">
        <v>423</v>
      </c>
      <c r="F112" t="s">
        <v>435</v>
      </c>
      <c r="G112" t="s">
        <v>439</v>
      </c>
      <c r="H112" t="str">
        <f>_xlfn.XLOOKUP($G112,RazónMuerte!$A:$A,RazónMuerte!B:B,"",0)</f>
        <v>Fractura ósea</v>
      </c>
      <c r="I112" t="str">
        <f>_xlfn.XLOOKUP($G112,RazónMuerte!$A:$A,RazónMuerte!C:C,"",0)</f>
        <v>No especificado</v>
      </c>
      <c r="J112" t="str">
        <f>_xlfn.XLOOKUP($G112,RazónMuerte!$A:$A,RazónMuerte!D:D,"",0)</f>
        <v>Fatal injury</v>
      </c>
    </row>
    <row r="113" spans="1:10" x14ac:dyDescent="0.25">
      <c r="A113" t="s">
        <v>440</v>
      </c>
      <c r="B113" t="str">
        <f t="shared" si="2"/>
        <v>3</v>
      </c>
      <c r="C113" t="str">
        <f t="shared" si="3"/>
        <v>JUNIO</v>
      </c>
      <c r="D113" s="20">
        <v>45446</v>
      </c>
      <c r="E113" t="s">
        <v>184</v>
      </c>
      <c r="F113" t="s">
        <v>441</v>
      </c>
      <c r="G113" t="s">
        <v>255</v>
      </c>
      <c r="H113" t="str">
        <f>_xlfn.XLOOKUP($G113,RazónMuerte!$A:$A,RazónMuerte!B:B,"",0)</f>
        <v>Fractura ósea</v>
      </c>
      <c r="I113" t="str">
        <f>_xlfn.XLOOKUP($G113,RazónMuerte!$A:$A,RazónMuerte!C:C,"",0)</f>
        <v>Rodilla / Carpal</v>
      </c>
      <c r="J113" t="str">
        <f>_xlfn.XLOOKUP($G113,RazónMuerte!$A:$A,RazónMuerte!D:D,"",0)</f>
        <v>Fatal injury</v>
      </c>
    </row>
    <row r="114" spans="1:10" x14ac:dyDescent="0.25">
      <c r="A114" t="s">
        <v>442</v>
      </c>
      <c r="B114" t="str">
        <f t="shared" si="2"/>
        <v>10</v>
      </c>
      <c r="C114" t="str">
        <f t="shared" si="3"/>
        <v>JUNIO</v>
      </c>
      <c r="D114" s="20">
        <v>45453</v>
      </c>
      <c r="E114" t="s">
        <v>155</v>
      </c>
      <c r="F114" t="s">
        <v>443</v>
      </c>
      <c r="G114" t="s">
        <v>444</v>
      </c>
      <c r="H114" t="str">
        <f>_xlfn.XLOOKUP($G114,RazónMuerte!$A:$A,RazónMuerte!B:B,"",0)</f>
        <v>Otras / No especificada</v>
      </c>
      <c r="I114">
        <f>_xlfn.XLOOKUP($G114,RazónMuerte!$A:$A,RazónMuerte!C:C,"",0)</f>
        <v>0</v>
      </c>
      <c r="J114" t="str">
        <f>_xlfn.XLOOKUP($G114,RazónMuerte!$A:$A,RazónMuerte!D:D,"",0)</f>
        <v>Fatal injury</v>
      </c>
    </row>
    <row r="115" spans="1:10" x14ac:dyDescent="0.25">
      <c r="A115" t="s">
        <v>445</v>
      </c>
      <c r="B115" t="str">
        <f t="shared" si="2"/>
        <v>11</v>
      </c>
      <c r="C115" t="str">
        <f t="shared" si="3"/>
        <v>JUNIO</v>
      </c>
      <c r="D115" s="20">
        <v>45454</v>
      </c>
      <c r="E115" t="s">
        <v>29</v>
      </c>
      <c r="F115" t="s">
        <v>446</v>
      </c>
      <c r="G115" t="s">
        <v>447</v>
      </c>
      <c r="H115" t="str">
        <f>_xlfn.XLOOKUP($G115,RazónMuerte!$A:$A,RazónMuerte!B:B,"",0)</f>
        <v>Fractura ósea</v>
      </c>
      <c r="I115" t="str">
        <f>_xlfn.XLOOKUP($G115,RazónMuerte!$A:$A,RazónMuerte!C:C,"",0)</f>
        <v>No especificado</v>
      </c>
      <c r="J115" t="str">
        <f>_xlfn.XLOOKUP($G115,RazónMuerte!$A:$A,RazónMuerte!D:D,"",0)</f>
        <v>Fatal injury</v>
      </c>
    </row>
    <row r="116" spans="1:10" x14ac:dyDescent="0.25">
      <c r="A116" t="s">
        <v>448</v>
      </c>
      <c r="B116" t="str">
        <f t="shared" si="2"/>
        <v>13</v>
      </c>
      <c r="C116" t="str">
        <f t="shared" si="3"/>
        <v>JUNIO</v>
      </c>
      <c r="D116" s="20">
        <v>45456</v>
      </c>
      <c r="E116" t="s">
        <v>104</v>
      </c>
      <c r="F116" t="s">
        <v>449</v>
      </c>
      <c r="G116" t="s">
        <v>450</v>
      </c>
      <c r="H116" t="str">
        <f>_xlfn.XLOOKUP($G116,RazónMuerte!$A:$A,RazónMuerte!B:B,"",0)</f>
        <v>Enfermedad degenerativa articular</v>
      </c>
      <c r="I116">
        <f>_xlfn.XLOOKUP($G116,RazónMuerte!$A:$A,RazónMuerte!C:C,"",0)</f>
        <v>0</v>
      </c>
      <c r="J116" t="str">
        <f>_xlfn.XLOOKUP($G116,RazónMuerte!$A:$A,RazónMuerte!D:D,"",0)</f>
        <v>No fatal injury (chronic/medical)</v>
      </c>
    </row>
    <row r="117" spans="1:10" x14ac:dyDescent="0.25">
      <c r="A117" t="s">
        <v>448</v>
      </c>
      <c r="B117" t="str">
        <f t="shared" si="2"/>
        <v>13</v>
      </c>
      <c r="C117" t="str">
        <f t="shared" si="3"/>
        <v>JUNIO</v>
      </c>
      <c r="D117" s="20">
        <v>45456</v>
      </c>
      <c r="E117" t="s">
        <v>98</v>
      </c>
      <c r="F117" t="s">
        <v>452</v>
      </c>
      <c r="G117" t="s">
        <v>451</v>
      </c>
      <c r="H117" t="str">
        <f>_xlfn.XLOOKUP($G117,RazónMuerte!$A:$A,RazónMuerte!B:B,"",0)</f>
        <v>Fractura ósea</v>
      </c>
      <c r="I117" t="str">
        <f>_xlfn.XLOOKUP($G117,RazónMuerte!$A:$A,RazónMuerte!C:C,"",0)</f>
        <v>Sesamoideo</v>
      </c>
      <c r="J117" t="str">
        <f>_xlfn.XLOOKUP($G117,RazónMuerte!$A:$A,RazónMuerte!D:D,"",0)</f>
        <v>Fatal injury</v>
      </c>
    </row>
    <row r="118" spans="1:10" x14ac:dyDescent="0.25">
      <c r="A118" t="s">
        <v>453</v>
      </c>
      <c r="B118" t="str">
        <f t="shared" si="2"/>
        <v>14</v>
      </c>
      <c r="C118" t="str">
        <f t="shared" si="3"/>
        <v>JUNIO</v>
      </c>
      <c r="D118" s="20">
        <v>45457</v>
      </c>
      <c r="E118" t="s">
        <v>356</v>
      </c>
      <c r="F118" t="s">
        <v>454</v>
      </c>
      <c r="G118" t="s">
        <v>455</v>
      </c>
      <c r="H118" t="str">
        <f>_xlfn.XLOOKUP($G118,RazónMuerte!$A:$A,RazónMuerte!B:B,"",0)</f>
        <v>Enfermedad degenerativa articular</v>
      </c>
      <c r="I118">
        <f>_xlfn.XLOOKUP($G118,RazónMuerte!$A:$A,RazónMuerte!C:C,"",0)</f>
        <v>0</v>
      </c>
      <c r="J118" t="str">
        <f>_xlfn.XLOOKUP($G118,RazónMuerte!$A:$A,RazónMuerte!D:D,"",0)</f>
        <v>Fatal injury</v>
      </c>
    </row>
    <row r="119" spans="1:10" x14ac:dyDescent="0.25">
      <c r="A119" t="s">
        <v>456</v>
      </c>
      <c r="B119" t="str">
        <f t="shared" si="2"/>
        <v>15</v>
      </c>
      <c r="C119" t="str">
        <f t="shared" si="3"/>
        <v>JUNIO</v>
      </c>
      <c r="D119" s="20">
        <v>45458</v>
      </c>
      <c r="E119" t="s">
        <v>457</v>
      </c>
      <c r="F119" t="s">
        <v>458</v>
      </c>
      <c r="G119" t="s">
        <v>459</v>
      </c>
      <c r="H119" t="str">
        <f>_xlfn.XLOOKUP($G119,RazónMuerte!$A:$A,RazónMuerte!B:B,"",0)</f>
        <v>Fractura ósea</v>
      </c>
      <c r="I119" t="str">
        <f>_xlfn.XLOOKUP($G119,RazónMuerte!$A:$A,RazónMuerte!C:C,"",0)</f>
        <v>Slab</v>
      </c>
      <c r="J119" t="str">
        <f>_xlfn.XLOOKUP($G119,RazónMuerte!$A:$A,RazónMuerte!D:D,"",0)</f>
        <v>Fatal injury</v>
      </c>
    </row>
    <row r="120" spans="1:10" x14ac:dyDescent="0.25">
      <c r="A120" t="s">
        <v>456</v>
      </c>
      <c r="B120" t="str">
        <f t="shared" si="2"/>
        <v>15</v>
      </c>
      <c r="C120" t="str">
        <f t="shared" si="3"/>
        <v>JUNIO</v>
      </c>
      <c r="D120" s="20">
        <v>45458</v>
      </c>
      <c r="E120" t="s">
        <v>93</v>
      </c>
      <c r="F120" t="s">
        <v>460</v>
      </c>
      <c r="G120" t="s">
        <v>461</v>
      </c>
      <c r="H120" t="str">
        <f>_xlfn.XLOOKUP($G120,RazónMuerte!$A:$A,RazónMuerte!B:B,"",0)</f>
        <v>Fractura ósea</v>
      </c>
      <c r="I120" t="str">
        <f>_xlfn.XLOOKUP($G120,RazónMuerte!$A:$A,RazónMuerte!C:C,"",0)</f>
        <v>Slab</v>
      </c>
      <c r="J120" t="str">
        <f>_xlfn.XLOOKUP($G120,RazónMuerte!$A:$A,RazónMuerte!D:D,"",0)</f>
        <v>Fatal injury</v>
      </c>
    </row>
    <row r="121" spans="1:10" x14ac:dyDescent="0.25">
      <c r="A121" t="s">
        <v>462</v>
      </c>
      <c r="B121" t="str">
        <f t="shared" si="2"/>
        <v>16</v>
      </c>
      <c r="C121" t="str">
        <f t="shared" si="3"/>
        <v>JUNIO</v>
      </c>
      <c r="D121" s="20">
        <v>45459</v>
      </c>
      <c r="E121" t="s">
        <v>11</v>
      </c>
      <c r="F121" t="s">
        <v>463</v>
      </c>
      <c r="G121" t="s">
        <v>57</v>
      </c>
      <c r="H121" t="str">
        <f>_xlfn.XLOOKUP($G121,RazónMuerte!$A:$A,RazónMuerte!B:B,"",0)</f>
        <v>Otras / No especificada</v>
      </c>
      <c r="I121">
        <f>_xlfn.XLOOKUP($G121,RazónMuerte!$A:$A,RazónMuerte!C:C,"",0)</f>
        <v>0</v>
      </c>
      <c r="J121" t="str">
        <f>_xlfn.XLOOKUP($G121,RazónMuerte!$A:$A,RazónMuerte!D:D,"",0)</f>
        <v>No clasificado</v>
      </c>
    </row>
    <row r="122" spans="1:10" x14ac:dyDescent="0.25">
      <c r="A122" t="s">
        <v>464</v>
      </c>
      <c r="B122" t="str">
        <f t="shared" si="2"/>
        <v>17</v>
      </c>
      <c r="C122" t="str">
        <f t="shared" si="3"/>
        <v>JUNIO</v>
      </c>
      <c r="D122" s="20">
        <v>45460</v>
      </c>
      <c r="E122" t="s">
        <v>107</v>
      </c>
      <c r="F122" t="s">
        <v>465</v>
      </c>
      <c r="G122" t="s">
        <v>255</v>
      </c>
      <c r="H122" t="str">
        <f>_xlfn.XLOOKUP($G122,RazónMuerte!$A:$A,RazónMuerte!B:B,"",0)</f>
        <v>Fractura ósea</v>
      </c>
      <c r="I122" t="str">
        <f>_xlfn.XLOOKUP($G122,RazónMuerte!$A:$A,RazónMuerte!C:C,"",0)</f>
        <v>Rodilla / Carpal</v>
      </c>
      <c r="J122" t="str">
        <f>_xlfn.XLOOKUP($G122,RazónMuerte!$A:$A,RazónMuerte!D:D,"",0)</f>
        <v>Fatal injury</v>
      </c>
    </row>
    <row r="123" spans="1:10" x14ac:dyDescent="0.25">
      <c r="A123" t="s">
        <v>466</v>
      </c>
      <c r="B123" t="str">
        <f t="shared" si="2"/>
        <v>18</v>
      </c>
      <c r="C123" t="str">
        <f t="shared" si="3"/>
        <v>JUNIO</v>
      </c>
      <c r="D123" s="20">
        <v>45461</v>
      </c>
      <c r="E123" t="s">
        <v>423</v>
      </c>
      <c r="F123" t="s">
        <v>467</v>
      </c>
      <c r="G123" t="s">
        <v>468</v>
      </c>
      <c r="H123" t="str">
        <f>_xlfn.XLOOKUP($G123,RazónMuerte!$A:$A,RazónMuerte!B:B,"",0)</f>
        <v>Enfermedad degenerativa articular</v>
      </c>
      <c r="I123">
        <f>_xlfn.XLOOKUP($G123,RazónMuerte!$A:$A,RazónMuerte!C:C,"",0)</f>
        <v>0</v>
      </c>
      <c r="J123" t="str">
        <f>_xlfn.XLOOKUP($G123,RazónMuerte!$A:$A,RazónMuerte!D:D,"",0)</f>
        <v>Fatal injury</v>
      </c>
    </row>
    <row r="124" spans="1:10" x14ac:dyDescent="0.25">
      <c r="A124" t="s">
        <v>469</v>
      </c>
      <c r="B124" t="str">
        <f t="shared" si="2"/>
        <v>19</v>
      </c>
      <c r="C124" t="str">
        <f t="shared" si="3"/>
        <v>JUNIO</v>
      </c>
      <c r="D124" s="20">
        <v>45462</v>
      </c>
      <c r="E124" t="s">
        <v>470</v>
      </c>
      <c r="F124" t="s">
        <v>471</v>
      </c>
      <c r="G124" t="s">
        <v>472</v>
      </c>
      <c r="H124" t="str">
        <f>_xlfn.XLOOKUP($G124,RazónMuerte!$A:$A,RazónMuerte!B:B,"",0)</f>
        <v>Otras / No especificada</v>
      </c>
      <c r="I124">
        <f>_xlfn.XLOOKUP($G124,RazónMuerte!$A:$A,RazónMuerte!C:C,"",0)</f>
        <v>0</v>
      </c>
      <c r="J124" t="str">
        <f>_xlfn.XLOOKUP($G124,RazónMuerte!$A:$A,RazónMuerte!D:D,"",0)</f>
        <v>No clasificado</v>
      </c>
    </row>
    <row r="125" spans="1:10" x14ac:dyDescent="0.25">
      <c r="A125" t="s">
        <v>469</v>
      </c>
      <c r="B125" t="str">
        <f t="shared" si="2"/>
        <v>19</v>
      </c>
      <c r="C125" t="str">
        <f t="shared" si="3"/>
        <v>JUNIO</v>
      </c>
      <c r="D125" s="20">
        <v>45462</v>
      </c>
      <c r="E125" t="s">
        <v>473</v>
      </c>
      <c r="F125" t="s">
        <v>474</v>
      </c>
      <c r="G125" t="s">
        <v>475</v>
      </c>
      <c r="H125" t="str">
        <f>_xlfn.XLOOKUP($G125,RazónMuerte!$A:$A,RazónMuerte!B:B,"",0)</f>
        <v>Otras / No especificada</v>
      </c>
      <c r="I125">
        <f>_xlfn.XLOOKUP($G125,RazónMuerte!$A:$A,RazónMuerte!C:C,"",0)</f>
        <v>0</v>
      </c>
      <c r="J125" t="str">
        <f>_xlfn.XLOOKUP($G125,RazónMuerte!$A:$A,RazónMuerte!D:D,"",0)</f>
        <v>No clasificado</v>
      </c>
    </row>
    <row r="126" spans="1:10" x14ac:dyDescent="0.25">
      <c r="A126" t="s">
        <v>476</v>
      </c>
      <c r="B126" t="str">
        <f t="shared" si="2"/>
        <v>21</v>
      </c>
      <c r="C126" t="str">
        <f t="shared" si="3"/>
        <v>JUNIO</v>
      </c>
      <c r="D126" s="20">
        <v>45464</v>
      </c>
      <c r="E126" t="s">
        <v>77</v>
      </c>
      <c r="F126" t="s">
        <v>477</v>
      </c>
      <c r="G126" t="s">
        <v>478</v>
      </c>
      <c r="H126" t="str">
        <f>_xlfn.XLOOKUP($G126,RazónMuerte!$A:$A,RazónMuerte!B:B,"",0)</f>
        <v>Enfermedad degenerativa articular</v>
      </c>
      <c r="I126">
        <f>_xlfn.XLOOKUP($G126,RazónMuerte!$A:$A,RazónMuerte!C:C,"",0)</f>
        <v>0</v>
      </c>
      <c r="J126" t="str">
        <f>_xlfn.XLOOKUP($G126,RazónMuerte!$A:$A,RazónMuerte!D:D,"",0)</f>
        <v>No fatal injury (chronic/medical)</v>
      </c>
    </row>
    <row r="127" spans="1:10" x14ac:dyDescent="0.25">
      <c r="A127" t="s">
        <v>479</v>
      </c>
      <c r="B127" t="str">
        <f t="shared" si="2"/>
        <v>22</v>
      </c>
      <c r="C127" t="str">
        <f t="shared" si="3"/>
        <v>JUNIO</v>
      </c>
      <c r="D127" s="20">
        <v>45465</v>
      </c>
      <c r="E127" t="s">
        <v>480</v>
      </c>
      <c r="F127" t="s">
        <v>481</v>
      </c>
      <c r="G127" t="s">
        <v>78</v>
      </c>
      <c r="H127" t="str">
        <f>_xlfn.XLOOKUP($G127,RazónMuerte!$A:$A,RazónMuerte!B:B,"",0)</f>
        <v>Fractura ósea</v>
      </c>
      <c r="I127" t="str">
        <f>_xlfn.XLOOKUP($G127,RazónMuerte!$A:$A,RazónMuerte!C:C,"",0)</f>
        <v>Rodilla / Carpal</v>
      </c>
      <c r="J127" t="str">
        <f>_xlfn.XLOOKUP($G127,RazónMuerte!$A:$A,RazónMuerte!D:D,"",0)</f>
        <v>Fatal injury</v>
      </c>
    </row>
    <row r="128" spans="1:10" x14ac:dyDescent="0.25">
      <c r="A128" t="s">
        <v>485</v>
      </c>
      <c r="B128" t="str">
        <f t="shared" si="2"/>
        <v>24</v>
      </c>
      <c r="C128" t="str">
        <f t="shared" si="3"/>
        <v>JUNIO</v>
      </c>
      <c r="D128" s="20">
        <v>45467</v>
      </c>
      <c r="E128" t="s">
        <v>484</v>
      </c>
      <c r="F128" t="s">
        <v>483</v>
      </c>
      <c r="G128" t="s">
        <v>482</v>
      </c>
      <c r="H128" t="str">
        <f>_xlfn.XLOOKUP($G128,RazónMuerte!$A:$A,RazónMuerte!B:B,"",0)</f>
        <v>Enfermedad degenerativa articular</v>
      </c>
      <c r="I128">
        <f>_xlfn.XLOOKUP($G128,RazónMuerte!$A:$A,RazónMuerte!C:C,"",0)</f>
        <v>0</v>
      </c>
      <c r="J128" t="str">
        <f>_xlfn.XLOOKUP($G128,RazónMuerte!$A:$A,RazónMuerte!D:D,"",0)</f>
        <v>No fatal injury (chronic/medical)</v>
      </c>
    </row>
    <row r="129" spans="1:10" x14ac:dyDescent="0.25">
      <c r="A129" t="s">
        <v>486</v>
      </c>
      <c r="B129" t="str">
        <f t="shared" si="2"/>
        <v>25</v>
      </c>
      <c r="C129" t="str">
        <f t="shared" si="3"/>
        <v>JUNIO</v>
      </c>
      <c r="D129" s="20">
        <v>45468</v>
      </c>
      <c r="E129" t="s">
        <v>329</v>
      </c>
      <c r="F129" t="s">
        <v>487</v>
      </c>
      <c r="G129" t="s">
        <v>488</v>
      </c>
      <c r="H129" t="str">
        <f>_xlfn.XLOOKUP($G129,RazónMuerte!$A:$A,RazónMuerte!B:B,"",0)</f>
        <v>Fractura ósea</v>
      </c>
      <c r="I129" t="str">
        <f>_xlfn.XLOOKUP($G129,RazónMuerte!$A:$A,RazónMuerte!C:C,"",0)</f>
        <v>Sesamoideo</v>
      </c>
      <c r="J129" t="str">
        <f>_xlfn.XLOOKUP($G129,RazónMuerte!$A:$A,RazónMuerte!D:D,"",0)</f>
        <v>Fatal injury</v>
      </c>
    </row>
    <row r="130" spans="1:10" x14ac:dyDescent="0.25">
      <c r="A130" t="s">
        <v>489</v>
      </c>
      <c r="B130" t="str">
        <f t="shared" si="2"/>
        <v>26</v>
      </c>
      <c r="C130" t="str">
        <f t="shared" si="3"/>
        <v>JUNIO</v>
      </c>
      <c r="D130" s="20">
        <v>45469</v>
      </c>
      <c r="E130" t="s">
        <v>4</v>
      </c>
      <c r="F130" t="s">
        <v>492</v>
      </c>
      <c r="G130" t="s">
        <v>491</v>
      </c>
      <c r="H130" t="str">
        <f>_xlfn.XLOOKUP($G130,RazónMuerte!$A:$A,RazónMuerte!B:B,"",0)</f>
        <v>Fractura ósea</v>
      </c>
      <c r="I130" t="str">
        <f>_xlfn.XLOOKUP($G130,RazónMuerte!$A:$A,RazónMuerte!C:C,"",0)</f>
        <v>Sesamoideo</v>
      </c>
      <c r="J130" t="str">
        <f>_xlfn.XLOOKUP($G130,RazónMuerte!$A:$A,RazónMuerte!D:D,"",0)</f>
        <v>Fatal injury</v>
      </c>
    </row>
    <row r="131" spans="1:10" x14ac:dyDescent="0.25">
      <c r="A131" t="s">
        <v>493</v>
      </c>
      <c r="B131" t="str">
        <f t="shared" ref="B131:B194" si="4">LEFT(A131,FIND("-",A131)-1)</f>
        <v>29</v>
      </c>
      <c r="C131" t="str">
        <f t="shared" ref="C131:C194" si="5">MID(A131,FIND("-",A131)+1,FIND("-",A131,FIND("-",A131)+1)-FIND("-",A131)-1)</f>
        <v>JUNIO</v>
      </c>
      <c r="D131" s="20">
        <v>45472</v>
      </c>
      <c r="E131" t="s">
        <v>294</v>
      </c>
      <c r="F131" t="s">
        <v>494</v>
      </c>
      <c r="G131" t="s">
        <v>495</v>
      </c>
      <c r="H131" t="str">
        <f>_xlfn.XLOOKUP($G131,RazónMuerte!$A:$A,RazónMuerte!B:B,"",0)</f>
        <v>Fractura ósea</v>
      </c>
      <c r="I131" t="str">
        <f>_xlfn.XLOOKUP($G131,RazónMuerte!$A:$A,RazónMuerte!C:C,"",0)</f>
        <v>No especificado</v>
      </c>
      <c r="J131" t="str">
        <f>_xlfn.XLOOKUP($G131,RazónMuerte!$A:$A,RazónMuerte!D:D,"",0)</f>
        <v>Fatal injury</v>
      </c>
    </row>
    <row r="132" spans="1:10" x14ac:dyDescent="0.25">
      <c r="A132" t="s">
        <v>496</v>
      </c>
      <c r="B132" t="str">
        <f t="shared" si="4"/>
        <v>3</v>
      </c>
      <c r="C132" t="str">
        <f t="shared" si="5"/>
        <v>JULIO</v>
      </c>
      <c r="D132" s="20">
        <v>45476</v>
      </c>
      <c r="E132" t="s">
        <v>218</v>
      </c>
      <c r="F132" t="s">
        <v>497</v>
      </c>
      <c r="G132" t="s">
        <v>498</v>
      </c>
      <c r="H132" t="str">
        <f>_xlfn.XLOOKUP($G132,RazónMuerte!$A:$A,RazónMuerte!B:B,"",0)</f>
        <v>Fractura ósea</v>
      </c>
      <c r="I132" t="str">
        <f>_xlfn.XLOOKUP($G132,RazónMuerte!$A:$A,RazónMuerte!C:C,"",0)</f>
        <v>Rodilla / Carpal</v>
      </c>
      <c r="J132" t="str">
        <f>_xlfn.XLOOKUP($G132,RazónMuerte!$A:$A,RazónMuerte!D:D,"",0)</f>
        <v>Fatal injury</v>
      </c>
    </row>
    <row r="133" spans="1:10" x14ac:dyDescent="0.25">
      <c r="A133" t="s">
        <v>496</v>
      </c>
      <c r="B133" t="str">
        <f t="shared" si="4"/>
        <v>3</v>
      </c>
      <c r="C133" t="str">
        <f t="shared" si="5"/>
        <v>JULIO</v>
      </c>
      <c r="D133" s="20">
        <v>45476</v>
      </c>
      <c r="E133" t="s">
        <v>499</v>
      </c>
      <c r="F133" t="s">
        <v>500</v>
      </c>
      <c r="G133" t="s">
        <v>501</v>
      </c>
      <c r="H133" t="str">
        <f>_xlfn.XLOOKUP($G133,RazónMuerte!$A:$A,RazónMuerte!B:B,"",0)</f>
        <v>Fractura ósea</v>
      </c>
      <c r="I133" t="str">
        <f>_xlfn.XLOOKUP($G133,RazónMuerte!$A:$A,RazónMuerte!C:C,"",0)</f>
        <v>No especificado</v>
      </c>
      <c r="J133" t="str">
        <f>_xlfn.XLOOKUP($G133,RazónMuerte!$A:$A,RazónMuerte!D:D,"",0)</f>
        <v>Fatal injury</v>
      </c>
    </row>
    <row r="134" spans="1:10" x14ac:dyDescent="0.25">
      <c r="A134" t="s">
        <v>505</v>
      </c>
      <c r="B134" t="str">
        <f t="shared" si="4"/>
        <v>4</v>
      </c>
      <c r="C134" t="str">
        <f t="shared" si="5"/>
        <v>JULIO</v>
      </c>
      <c r="D134" s="20">
        <v>45477</v>
      </c>
      <c r="E134" t="s">
        <v>504</v>
      </c>
      <c r="F134" t="s">
        <v>503</v>
      </c>
      <c r="G134" t="s">
        <v>502</v>
      </c>
      <c r="H134" t="str">
        <f>_xlfn.XLOOKUP($G134,RazónMuerte!$A:$A,RazónMuerte!B:B,"",0)</f>
        <v>Enfermedad degenerativa articular</v>
      </c>
      <c r="I134">
        <f>_xlfn.XLOOKUP($G134,RazónMuerte!$A:$A,RazónMuerte!C:C,"",0)</f>
        <v>0</v>
      </c>
      <c r="J134" t="str">
        <f>_xlfn.XLOOKUP($G134,RazónMuerte!$A:$A,RazónMuerte!D:D,"",0)</f>
        <v>No fatal injury (chronic/medical)</v>
      </c>
    </row>
    <row r="135" spans="1:10" x14ac:dyDescent="0.25">
      <c r="A135" t="s">
        <v>506</v>
      </c>
      <c r="B135" t="str">
        <f t="shared" si="4"/>
        <v>5</v>
      </c>
      <c r="C135" t="str">
        <f t="shared" si="5"/>
        <v>JULIO</v>
      </c>
      <c r="D135" s="20">
        <v>45478</v>
      </c>
      <c r="E135" t="s">
        <v>5</v>
      </c>
      <c r="F135" t="s">
        <v>507</v>
      </c>
      <c r="G135" t="s">
        <v>255</v>
      </c>
      <c r="H135" t="str">
        <f>_xlfn.XLOOKUP($G135,RazónMuerte!$A:$A,RazónMuerte!B:B,"",0)</f>
        <v>Fractura ósea</v>
      </c>
      <c r="I135" t="str">
        <f>_xlfn.XLOOKUP($G135,RazónMuerte!$A:$A,RazónMuerte!C:C,"",0)</f>
        <v>Rodilla / Carpal</v>
      </c>
      <c r="J135" t="str">
        <f>_xlfn.XLOOKUP($G135,RazónMuerte!$A:$A,RazónMuerte!D:D,"",0)</f>
        <v>Fatal injury</v>
      </c>
    </row>
    <row r="136" spans="1:10" x14ac:dyDescent="0.25">
      <c r="A136" t="s">
        <v>536</v>
      </c>
      <c r="B136" t="str">
        <f t="shared" si="4"/>
        <v>6</v>
      </c>
      <c r="C136" t="str">
        <f t="shared" si="5"/>
        <v>JULIO</v>
      </c>
      <c r="D136" s="20">
        <v>45479</v>
      </c>
      <c r="E136" t="s">
        <v>537</v>
      </c>
      <c r="F136" t="s">
        <v>538</v>
      </c>
      <c r="G136" t="s">
        <v>539</v>
      </c>
      <c r="H136" t="str">
        <f>_xlfn.XLOOKUP($G136,RazónMuerte!$A:$A,RazónMuerte!B:B,"",0)</f>
        <v>Otras / No especificada</v>
      </c>
      <c r="I136">
        <f>_xlfn.XLOOKUP($G136,RazónMuerte!$A:$A,RazónMuerte!C:C,"",0)</f>
        <v>0</v>
      </c>
      <c r="J136" t="str">
        <f>_xlfn.XLOOKUP($G136,RazónMuerte!$A:$A,RazónMuerte!D:D,"",0)</f>
        <v>No clasificado</v>
      </c>
    </row>
    <row r="137" spans="1:10" x14ac:dyDescent="0.25">
      <c r="A137" t="s">
        <v>540</v>
      </c>
      <c r="B137" t="str">
        <f t="shared" si="4"/>
        <v>7</v>
      </c>
      <c r="C137" t="str">
        <f t="shared" si="5"/>
        <v>JULIO</v>
      </c>
      <c r="D137" s="20">
        <v>45480</v>
      </c>
      <c r="E137" t="s">
        <v>541</v>
      </c>
      <c r="F137" t="s">
        <v>542</v>
      </c>
      <c r="G137" t="s">
        <v>543</v>
      </c>
      <c r="H137" t="str">
        <f>_xlfn.XLOOKUP($G137,RazónMuerte!$A:$A,RazónMuerte!B:B,"",0)</f>
        <v>Fractura ósea</v>
      </c>
      <c r="I137" t="str">
        <f>_xlfn.XLOOKUP($G137,RazónMuerte!$A:$A,RazónMuerte!C:C,"",0)</f>
        <v>No especificado</v>
      </c>
      <c r="J137" t="str">
        <f>_xlfn.XLOOKUP($G137,RazónMuerte!$A:$A,RazónMuerte!D:D,"",0)</f>
        <v>Fatal injury</v>
      </c>
    </row>
    <row r="138" spans="1:10" x14ac:dyDescent="0.25">
      <c r="A138" t="s">
        <v>508</v>
      </c>
      <c r="B138" t="str">
        <f t="shared" si="4"/>
        <v>8</v>
      </c>
      <c r="C138" t="str">
        <f t="shared" si="5"/>
        <v>JULIO</v>
      </c>
      <c r="D138" s="20">
        <v>45481</v>
      </c>
      <c r="E138" t="s">
        <v>31</v>
      </c>
      <c r="F138" t="s">
        <v>509</v>
      </c>
      <c r="G138" t="s">
        <v>101</v>
      </c>
      <c r="H138" t="str">
        <f>_xlfn.XLOOKUP($G138,RazónMuerte!$A:$A,RazónMuerte!B:B,"",0)</f>
        <v>Fractura ósea</v>
      </c>
      <c r="I138" t="str">
        <f>_xlfn.XLOOKUP($G138,RazónMuerte!$A:$A,RazónMuerte!C:C,"",0)</f>
        <v>Rodilla / Carpal</v>
      </c>
      <c r="J138" t="str">
        <f>_xlfn.XLOOKUP($G138,RazónMuerte!$A:$A,RazónMuerte!D:D,"",0)</f>
        <v>Fatal injury</v>
      </c>
    </row>
    <row r="139" spans="1:10" x14ac:dyDescent="0.25">
      <c r="A139" t="s">
        <v>508</v>
      </c>
      <c r="B139" t="str">
        <f t="shared" si="4"/>
        <v>8</v>
      </c>
      <c r="C139" t="str">
        <f t="shared" si="5"/>
        <v>JULIO</v>
      </c>
      <c r="D139" s="20">
        <v>45481</v>
      </c>
      <c r="E139" t="s">
        <v>53</v>
      </c>
      <c r="F139" t="s">
        <v>510</v>
      </c>
      <c r="G139" t="s">
        <v>511</v>
      </c>
      <c r="H139" t="str">
        <f>_xlfn.XLOOKUP($G139,RazónMuerte!$A:$A,RazónMuerte!B:B,"",0)</f>
        <v>Fractura ósea</v>
      </c>
      <c r="I139" t="str">
        <f>_xlfn.XLOOKUP($G139,RazónMuerte!$A:$A,RazónMuerte!C:C,"",0)</f>
        <v>Rodilla / Carpal</v>
      </c>
      <c r="J139" t="str">
        <f>_xlfn.XLOOKUP($G139,RazónMuerte!$A:$A,RazónMuerte!D:D,"",0)</f>
        <v>Fatal injury</v>
      </c>
    </row>
    <row r="140" spans="1:10" x14ac:dyDescent="0.25">
      <c r="A140" t="s">
        <v>512</v>
      </c>
      <c r="B140" t="str">
        <f t="shared" si="4"/>
        <v>9</v>
      </c>
      <c r="C140" t="str">
        <f t="shared" si="5"/>
        <v>JULIO</v>
      </c>
      <c r="D140" s="20">
        <v>45482</v>
      </c>
      <c r="E140" t="s">
        <v>109</v>
      </c>
      <c r="F140" t="s">
        <v>513</v>
      </c>
      <c r="G140" t="s">
        <v>514</v>
      </c>
      <c r="H140" t="str">
        <f>_xlfn.XLOOKUP($G140,RazónMuerte!$A:$A,RazónMuerte!B:B,"",0)</f>
        <v>Enfermedad degenerativa articular</v>
      </c>
      <c r="I140">
        <f>_xlfn.XLOOKUP($G140,RazónMuerte!$A:$A,RazónMuerte!C:C,"",0)</f>
        <v>0</v>
      </c>
      <c r="J140" t="str">
        <f>_xlfn.XLOOKUP($G140,RazónMuerte!$A:$A,RazónMuerte!D:D,"",0)</f>
        <v>No fatal injury (chronic/medical)</v>
      </c>
    </row>
    <row r="141" spans="1:10" x14ac:dyDescent="0.25">
      <c r="A141" t="s">
        <v>515</v>
      </c>
      <c r="B141" t="str">
        <f t="shared" si="4"/>
        <v>10</v>
      </c>
      <c r="C141" t="str">
        <f t="shared" si="5"/>
        <v>JULIO</v>
      </c>
      <c r="D141" s="20">
        <v>45483</v>
      </c>
      <c r="E141" t="s">
        <v>516</v>
      </c>
      <c r="F141" t="s">
        <v>517</v>
      </c>
      <c r="G141" t="s">
        <v>518</v>
      </c>
      <c r="H141" t="str">
        <f>_xlfn.XLOOKUP($G141,RazónMuerte!$A:$A,RazónMuerte!B:B,"",0)</f>
        <v>Otras / No especificada</v>
      </c>
      <c r="I141">
        <f>_xlfn.XLOOKUP($G141,RazónMuerte!$A:$A,RazónMuerte!C:C,"",0)</f>
        <v>0</v>
      </c>
      <c r="J141" t="str">
        <f>_xlfn.XLOOKUP($G141,RazónMuerte!$A:$A,RazónMuerte!D:D,"",0)</f>
        <v>No clasificado</v>
      </c>
    </row>
    <row r="142" spans="1:10" x14ac:dyDescent="0.25">
      <c r="A142" t="s">
        <v>515</v>
      </c>
      <c r="B142" t="str">
        <f t="shared" si="4"/>
        <v>10</v>
      </c>
      <c r="C142" t="str">
        <f t="shared" si="5"/>
        <v>JULIO</v>
      </c>
      <c r="D142" s="20">
        <v>45483</v>
      </c>
      <c r="E142" t="s">
        <v>74</v>
      </c>
      <c r="F142" t="s">
        <v>520</v>
      </c>
      <c r="G142" t="s">
        <v>519</v>
      </c>
      <c r="H142" t="str">
        <f>_xlfn.XLOOKUP($G142,RazónMuerte!$A:$A,RazónMuerte!B:B,"",0)</f>
        <v>Otras / No especificada</v>
      </c>
      <c r="I142">
        <f>_xlfn.XLOOKUP($G142,RazónMuerte!$A:$A,RazónMuerte!C:C,"",0)</f>
        <v>0</v>
      </c>
      <c r="J142" t="str">
        <f>_xlfn.XLOOKUP($G142,RazónMuerte!$A:$A,RazónMuerte!D:D,"",0)</f>
        <v>Fatal injury</v>
      </c>
    </row>
    <row r="143" spans="1:10" x14ac:dyDescent="0.25">
      <c r="A143" t="s">
        <v>521</v>
      </c>
      <c r="B143" t="str">
        <f t="shared" si="4"/>
        <v>11</v>
      </c>
      <c r="C143" t="str">
        <f t="shared" si="5"/>
        <v>JULIO</v>
      </c>
      <c r="D143" s="20">
        <v>45484</v>
      </c>
      <c r="E143" t="s">
        <v>129</v>
      </c>
      <c r="F143" t="s">
        <v>522</v>
      </c>
      <c r="G143" t="s">
        <v>523</v>
      </c>
      <c r="H143" t="str">
        <f>_xlfn.XLOOKUP($G143,RazónMuerte!$A:$A,RazónMuerte!B:B,"",0)</f>
        <v>Otras / No especificada</v>
      </c>
      <c r="I143">
        <f>_xlfn.XLOOKUP($G143,RazónMuerte!$A:$A,RazónMuerte!C:C,"",0)</f>
        <v>0</v>
      </c>
      <c r="J143" t="str">
        <f>_xlfn.XLOOKUP($G143,RazónMuerte!$A:$A,RazónMuerte!D:D,"",0)</f>
        <v>No clasificado</v>
      </c>
    </row>
    <row r="144" spans="1:10" x14ac:dyDescent="0.25">
      <c r="A144" t="s">
        <v>525</v>
      </c>
      <c r="B144" t="str">
        <f t="shared" si="4"/>
        <v>15</v>
      </c>
      <c r="C144" t="str">
        <f t="shared" si="5"/>
        <v>JULIO</v>
      </c>
      <c r="D144" s="20">
        <v>45488</v>
      </c>
      <c r="E144" t="s">
        <v>99</v>
      </c>
      <c r="F144" t="s">
        <v>524</v>
      </c>
      <c r="G144" t="s">
        <v>526</v>
      </c>
      <c r="H144" t="str">
        <f>_xlfn.XLOOKUP($G144,RazónMuerte!$A:$A,RazónMuerte!B:B,"",0)</f>
        <v>Fractura ósea</v>
      </c>
      <c r="I144" t="str">
        <f>_xlfn.XLOOKUP($G144,RazónMuerte!$A:$A,RazónMuerte!C:C,"",0)</f>
        <v>Slab</v>
      </c>
      <c r="J144" t="str">
        <f>_xlfn.XLOOKUP($G144,RazónMuerte!$A:$A,RazónMuerte!D:D,"",0)</f>
        <v>Fatal injury</v>
      </c>
    </row>
    <row r="145" spans="1:10" x14ac:dyDescent="0.25">
      <c r="A145" t="s">
        <v>525</v>
      </c>
      <c r="B145" t="str">
        <f t="shared" si="4"/>
        <v>15</v>
      </c>
      <c r="C145" t="str">
        <f t="shared" si="5"/>
        <v>JULIO</v>
      </c>
      <c r="D145" s="20">
        <v>45488</v>
      </c>
      <c r="E145" t="s">
        <v>529</v>
      </c>
      <c r="F145" t="s">
        <v>528</v>
      </c>
      <c r="G145" t="s">
        <v>527</v>
      </c>
      <c r="H145" t="str">
        <f>_xlfn.XLOOKUP($G145,RazónMuerte!$A:$A,RazónMuerte!B:B,"",0)</f>
        <v>Otras / No especificada</v>
      </c>
      <c r="I145">
        <f>_xlfn.XLOOKUP($G145,RazónMuerte!$A:$A,RazónMuerte!C:C,"",0)</f>
        <v>0</v>
      </c>
      <c r="J145" t="str">
        <f>_xlfn.XLOOKUP($G145,RazónMuerte!$A:$A,RazónMuerte!D:D,"",0)</f>
        <v>No clasificado</v>
      </c>
    </row>
    <row r="146" spans="1:10" x14ac:dyDescent="0.25">
      <c r="A146" t="s">
        <v>530</v>
      </c>
      <c r="B146" t="str">
        <f t="shared" si="4"/>
        <v>17</v>
      </c>
      <c r="C146" t="str">
        <f t="shared" si="5"/>
        <v>JULIO</v>
      </c>
      <c r="D146" s="20">
        <v>45490</v>
      </c>
      <c r="E146" t="s">
        <v>294</v>
      </c>
      <c r="F146" t="s">
        <v>531</v>
      </c>
      <c r="G146" t="s">
        <v>532</v>
      </c>
      <c r="H146" t="str">
        <f>_xlfn.XLOOKUP($G146,RazónMuerte!$A:$A,RazónMuerte!B:B,"",0)</f>
        <v>Otras / No especificada</v>
      </c>
      <c r="I146">
        <f>_xlfn.XLOOKUP($G146,RazónMuerte!$A:$A,RazónMuerte!C:C,"",0)</f>
        <v>0</v>
      </c>
      <c r="J146" t="str">
        <f>_xlfn.XLOOKUP($G146,RazónMuerte!$A:$A,RazónMuerte!D:D,"",0)</f>
        <v>No clasificado</v>
      </c>
    </row>
    <row r="147" spans="1:10" x14ac:dyDescent="0.25">
      <c r="A147" t="s">
        <v>533</v>
      </c>
      <c r="B147" t="str">
        <f t="shared" si="4"/>
        <v>18</v>
      </c>
      <c r="C147" t="str">
        <f t="shared" si="5"/>
        <v>JULIO</v>
      </c>
      <c r="D147" s="20">
        <v>45491</v>
      </c>
      <c r="E147" t="s">
        <v>155</v>
      </c>
      <c r="F147" t="s">
        <v>534</v>
      </c>
      <c r="G147" t="s">
        <v>535</v>
      </c>
      <c r="H147" t="str">
        <f>_xlfn.XLOOKUP($G147,RazónMuerte!$A:$A,RazónMuerte!B:B,"",0)</f>
        <v>Fractura ósea</v>
      </c>
      <c r="I147" t="str">
        <f>_xlfn.XLOOKUP($G147,RazónMuerte!$A:$A,RazónMuerte!C:C,"",0)</f>
        <v>Slab</v>
      </c>
      <c r="J147" t="str">
        <f>_xlfn.XLOOKUP($G147,RazónMuerte!$A:$A,RazónMuerte!D:D,"",0)</f>
        <v>Fatal injury</v>
      </c>
    </row>
    <row r="148" spans="1:10" x14ac:dyDescent="0.25">
      <c r="A148" t="s">
        <v>584</v>
      </c>
      <c r="B148" t="str">
        <f t="shared" si="4"/>
        <v>19</v>
      </c>
      <c r="C148" t="str">
        <f t="shared" si="5"/>
        <v>JULIO</v>
      </c>
      <c r="D148" s="20">
        <v>45492</v>
      </c>
      <c r="E148" t="s">
        <v>44</v>
      </c>
      <c r="F148" t="s">
        <v>587</v>
      </c>
      <c r="G148" t="s">
        <v>588</v>
      </c>
      <c r="H148" t="str">
        <f>_xlfn.XLOOKUP($G148,RazónMuerte!$A:$A,RazónMuerte!B:B,"",0)</f>
        <v>Fractura ósea</v>
      </c>
      <c r="I148" t="str">
        <f>_xlfn.XLOOKUP($G148,RazónMuerte!$A:$A,RazónMuerte!C:C,"",0)</f>
        <v>No especificado</v>
      </c>
      <c r="J148" t="str">
        <f>_xlfn.XLOOKUP($G148,RazónMuerte!$A:$A,RazónMuerte!D:D,"",0)</f>
        <v>Fatal injury</v>
      </c>
    </row>
    <row r="149" spans="1:10" x14ac:dyDescent="0.25">
      <c r="A149" t="s">
        <v>584</v>
      </c>
      <c r="B149" t="str">
        <f t="shared" si="4"/>
        <v>19</v>
      </c>
      <c r="C149" t="str">
        <f t="shared" si="5"/>
        <v>JULIO</v>
      </c>
      <c r="D149" s="20">
        <v>45492</v>
      </c>
      <c r="E149" t="s">
        <v>93</v>
      </c>
      <c r="F149" t="s">
        <v>585</v>
      </c>
      <c r="G149" t="s">
        <v>586</v>
      </c>
      <c r="H149" t="str">
        <f>_xlfn.XLOOKUP($G149,RazónMuerte!$A:$A,RazónMuerte!B:B,"",0)</f>
        <v>Fractura ósea</v>
      </c>
      <c r="I149" t="str">
        <f>_xlfn.XLOOKUP($G149,RazónMuerte!$A:$A,RazónMuerte!C:C,"",0)</f>
        <v>Rodilla / Carpal</v>
      </c>
      <c r="J149" t="str">
        <f>_xlfn.XLOOKUP($G149,RazónMuerte!$A:$A,RazónMuerte!D:D,"",0)</f>
        <v>Fatal injury</v>
      </c>
    </row>
    <row r="150" spans="1:10" x14ac:dyDescent="0.25">
      <c r="A150" t="s">
        <v>544</v>
      </c>
      <c r="B150" t="str">
        <f t="shared" si="4"/>
        <v>20</v>
      </c>
      <c r="C150" t="str">
        <f t="shared" si="5"/>
        <v>JULIO</v>
      </c>
      <c r="D150" s="20">
        <v>45493</v>
      </c>
      <c r="E150" t="s">
        <v>96</v>
      </c>
      <c r="F150" t="s">
        <v>545</v>
      </c>
      <c r="G150" t="s">
        <v>546</v>
      </c>
      <c r="H150" t="str">
        <f>_xlfn.XLOOKUP($G150,RazónMuerte!$A:$A,RazónMuerte!B:B,"",0)</f>
        <v>Fractura ósea</v>
      </c>
      <c r="I150" t="str">
        <f>_xlfn.XLOOKUP($G150,RazónMuerte!$A:$A,RazónMuerte!C:C,"",0)</f>
        <v>Sesamoideo</v>
      </c>
      <c r="J150" t="str">
        <f>_xlfn.XLOOKUP($G150,RazónMuerte!$A:$A,RazónMuerte!D:D,"",0)</f>
        <v>Fatal injury</v>
      </c>
    </row>
    <row r="151" spans="1:10" x14ac:dyDescent="0.25">
      <c r="A151" t="s">
        <v>547</v>
      </c>
      <c r="B151" t="str">
        <f t="shared" si="4"/>
        <v>22</v>
      </c>
      <c r="C151" t="str">
        <f t="shared" si="5"/>
        <v>JULIO</v>
      </c>
      <c r="D151" s="20">
        <v>45495</v>
      </c>
      <c r="E151" t="s">
        <v>549</v>
      </c>
      <c r="F151" t="s">
        <v>550</v>
      </c>
      <c r="G151" t="s">
        <v>551</v>
      </c>
      <c r="H151" t="str">
        <f>_xlfn.XLOOKUP($G151,RazónMuerte!$A:$A,RazónMuerte!B:B,"",0)</f>
        <v>Otras / No especificada</v>
      </c>
      <c r="I151">
        <f>_xlfn.XLOOKUP($G151,RazónMuerte!$A:$A,RazónMuerte!C:C,"",0)</f>
        <v>0</v>
      </c>
      <c r="J151" t="str">
        <f>_xlfn.XLOOKUP($G151,RazónMuerte!$A:$A,RazónMuerte!D:D,"",0)</f>
        <v>No clasificado</v>
      </c>
    </row>
    <row r="152" spans="1:10" x14ac:dyDescent="0.25">
      <c r="A152" t="s">
        <v>547</v>
      </c>
      <c r="B152" t="str">
        <f t="shared" si="4"/>
        <v>22</v>
      </c>
      <c r="C152" t="str">
        <f t="shared" si="5"/>
        <v>JULIO</v>
      </c>
      <c r="D152" s="20">
        <v>45495</v>
      </c>
      <c r="E152" t="s">
        <v>5</v>
      </c>
      <c r="F152" t="s">
        <v>548</v>
      </c>
      <c r="G152" t="s">
        <v>56</v>
      </c>
      <c r="H152" t="str">
        <f>_xlfn.XLOOKUP($G152,RazónMuerte!$A:$A,RazónMuerte!B:B,"",0)</f>
        <v>Otras / No especificada</v>
      </c>
      <c r="I152">
        <f>_xlfn.XLOOKUP($G152,RazónMuerte!$A:$A,RazónMuerte!C:C,"",0)</f>
        <v>0</v>
      </c>
      <c r="J152" t="str">
        <f>_xlfn.XLOOKUP($G152,RazónMuerte!$A:$A,RazónMuerte!D:D,"",0)</f>
        <v>No clasificado</v>
      </c>
    </row>
    <row r="153" spans="1:10" x14ac:dyDescent="0.25">
      <c r="A153" t="s">
        <v>552</v>
      </c>
      <c r="B153" t="str">
        <f t="shared" si="4"/>
        <v>23</v>
      </c>
      <c r="C153" t="str">
        <f t="shared" si="5"/>
        <v>JULIO</v>
      </c>
      <c r="D153" s="20">
        <v>45496</v>
      </c>
      <c r="E153" t="s">
        <v>218</v>
      </c>
      <c r="F153" t="s">
        <v>553</v>
      </c>
      <c r="G153" t="s">
        <v>554</v>
      </c>
      <c r="H153" t="str">
        <f>_xlfn.XLOOKUP($G153,RazónMuerte!$A:$A,RazónMuerte!B:B,"",0)</f>
        <v>Fractura ósea</v>
      </c>
      <c r="I153" t="str">
        <f>_xlfn.XLOOKUP($G153,RazónMuerte!$A:$A,RazónMuerte!C:C,"",0)</f>
        <v>Rodilla / Carpal</v>
      </c>
      <c r="J153" t="str">
        <f>_xlfn.XLOOKUP($G153,RazónMuerte!$A:$A,RazónMuerte!D:D,"",0)</f>
        <v>Fatal injury</v>
      </c>
    </row>
    <row r="154" spans="1:10" x14ac:dyDescent="0.25">
      <c r="A154" t="s">
        <v>552</v>
      </c>
      <c r="B154" t="str">
        <f t="shared" si="4"/>
        <v>23</v>
      </c>
      <c r="C154" t="str">
        <f t="shared" si="5"/>
        <v>JULIO</v>
      </c>
      <c r="D154" s="20">
        <v>45496</v>
      </c>
      <c r="E154" t="s">
        <v>18</v>
      </c>
      <c r="F154" t="s">
        <v>555</v>
      </c>
      <c r="G154" t="s">
        <v>556</v>
      </c>
      <c r="H154" t="str">
        <f>_xlfn.XLOOKUP($G154,RazónMuerte!$A:$A,RazónMuerte!B:B,"",0)</f>
        <v>Fractura ósea</v>
      </c>
      <c r="I154" t="str">
        <f>_xlfn.XLOOKUP($G154,RazónMuerte!$A:$A,RazónMuerte!C:C,"",0)</f>
        <v>Sesamoideo</v>
      </c>
      <c r="J154" t="str">
        <f>_xlfn.XLOOKUP($G154,RazónMuerte!$A:$A,RazónMuerte!D:D,"",0)</f>
        <v>Fatal injury</v>
      </c>
    </row>
    <row r="155" spans="1:10" x14ac:dyDescent="0.25">
      <c r="A155" t="s">
        <v>557</v>
      </c>
      <c r="B155" t="str">
        <f t="shared" si="4"/>
        <v>24</v>
      </c>
      <c r="C155" t="str">
        <f t="shared" si="5"/>
        <v>JULIO</v>
      </c>
      <c r="D155" s="20">
        <v>45497</v>
      </c>
      <c r="E155" t="s">
        <v>558</v>
      </c>
      <c r="F155" t="s">
        <v>559</v>
      </c>
      <c r="G155" t="s">
        <v>560</v>
      </c>
      <c r="H155" t="str">
        <f>_xlfn.XLOOKUP($G155,RazónMuerte!$A:$A,RazónMuerte!B:B,"",0)</f>
        <v>Otras / No especificada</v>
      </c>
      <c r="I155">
        <f>_xlfn.XLOOKUP($G155,RazónMuerte!$A:$A,RazónMuerte!C:C,"",0)</f>
        <v>0</v>
      </c>
      <c r="J155" t="str">
        <f>_xlfn.XLOOKUP($G155,RazónMuerte!$A:$A,RazónMuerte!D:D,"",0)</f>
        <v>Fatal injury</v>
      </c>
    </row>
    <row r="156" spans="1:10" x14ac:dyDescent="0.25">
      <c r="A156" t="s">
        <v>561</v>
      </c>
      <c r="B156" t="str">
        <f t="shared" si="4"/>
        <v>26</v>
      </c>
      <c r="C156" t="str">
        <f t="shared" si="5"/>
        <v>JULIO</v>
      </c>
      <c r="D156" s="20">
        <v>45499</v>
      </c>
      <c r="E156" t="s">
        <v>562</v>
      </c>
      <c r="F156" t="s">
        <v>563</v>
      </c>
      <c r="G156" t="s">
        <v>564</v>
      </c>
      <c r="H156" t="str">
        <f>_xlfn.XLOOKUP($G156,RazónMuerte!$A:$A,RazónMuerte!B:B,"",0)</f>
        <v>Fractura ósea</v>
      </c>
      <c r="I156" t="str">
        <f>_xlfn.XLOOKUP($G156,RazónMuerte!$A:$A,RazónMuerte!C:C,"",0)</f>
        <v>Sesamoideo</v>
      </c>
      <c r="J156" t="str">
        <f>_xlfn.XLOOKUP($G156,RazónMuerte!$A:$A,RazónMuerte!D:D,"",0)</f>
        <v>Fatal injury</v>
      </c>
    </row>
    <row r="157" spans="1:10" x14ac:dyDescent="0.25">
      <c r="A157" t="s">
        <v>561</v>
      </c>
      <c r="B157" t="str">
        <f t="shared" si="4"/>
        <v>26</v>
      </c>
      <c r="C157" t="str">
        <f t="shared" si="5"/>
        <v>JULIO</v>
      </c>
      <c r="D157" s="20">
        <v>45499</v>
      </c>
      <c r="E157" t="s">
        <v>387</v>
      </c>
      <c r="F157" t="s">
        <v>565</v>
      </c>
      <c r="G157" t="s">
        <v>101</v>
      </c>
      <c r="H157" t="str">
        <f>_xlfn.XLOOKUP($G157,RazónMuerte!$A:$A,RazónMuerte!B:B,"",0)</f>
        <v>Fractura ósea</v>
      </c>
      <c r="I157" t="str">
        <f>_xlfn.XLOOKUP($G157,RazónMuerte!$A:$A,RazónMuerte!C:C,"",0)</f>
        <v>Rodilla / Carpal</v>
      </c>
      <c r="J157" t="str">
        <f>_xlfn.XLOOKUP($G157,RazónMuerte!$A:$A,RazónMuerte!D:D,"",0)</f>
        <v>Fatal injury</v>
      </c>
    </row>
    <row r="158" spans="1:10" x14ac:dyDescent="0.25">
      <c r="A158" t="s">
        <v>561</v>
      </c>
      <c r="B158" t="str">
        <f t="shared" si="4"/>
        <v>26</v>
      </c>
      <c r="C158" t="str">
        <f t="shared" si="5"/>
        <v>JULIO</v>
      </c>
      <c r="D158" s="20">
        <v>45499</v>
      </c>
      <c r="E158" t="s">
        <v>62</v>
      </c>
      <c r="F158" t="s">
        <v>567</v>
      </c>
      <c r="G158" t="s">
        <v>566</v>
      </c>
      <c r="H158" t="str">
        <f>_xlfn.XLOOKUP($G158,RazónMuerte!$A:$A,RazónMuerte!B:B,"",0)</f>
        <v>Fractura ósea</v>
      </c>
      <c r="I158" t="str">
        <f>_xlfn.XLOOKUP($G158,RazónMuerte!$A:$A,RazónMuerte!C:C,"",0)</f>
        <v>Sesamoideo</v>
      </c>
      <c r="J158" t="str">
        <f>_xlfn.XLOOKUP($G158,RazónMuerte!$A:$A,RazónMuerte!D:D,"",0)</f>
        <v>Fatal injury</v>
      </c>
    </row>
    <row r="159" spans="1:10" x14ac:dyDescent="0.25">
      <c r="A159" t="s">
        <v>568</v>
      </c>
      <c r="B159" t="str">
        <f t="shared" si="4"/>
        <v>28</v>
      </c>
      <c r="C159" t="str">
        <f t="shared" si="5"/>
        <v>JULIO</v>
      </c>
      <c r="D159" s="20">
        <v>45501</v>
      </c>
      <c r="E159" t="s">
        <v>21</v>
      </c>
      <c r="F159" t="s">
        <v>569</v>
      </c>
      <c r="G159" t="s">
        <v>570</v>
      </c>
      <c r="H159" t="str">
        <f>_xlfn.XLOOKUP($G159,RazónMuerte!$A:$A,RazónMuerte!B:B,"",0)</f>
        <v>Otras / No especificada</v>
      </c>
      <c r="I159">
        <f>_xlfn.XLOOKUP($G159,RazónMuerte!$A:$A,RazónMuerte!C:C,"",0)</f>
        <v>0</v>
      </c>
      <c r="J159" t="str">
        <f>_xlfn.XLOOKUP($G159,RazónMuerte!$A:$A,RazónMuerte!D:D,"",0)</f>
        <v>No clasificado</v>
      </c>
    </row>
    <row r="160" spans="1:10" x14ac:dyDescent="0.25">
      <c r="A160" t="s">
        <v>571</v>
      </c>
      <c r="B160" t="str">
        <f t="shared" si="4"/>
        <v>29</v>
      </c>
      <c r="C160" t="str">
        <f t="shared" si="5"/>
        <v>JULIO</v>
      </c>
      <c r="D160" s="20">
        <v>45502</v>
      </c>
      <c r="E160" t="s">
        <v>572</v>
      </c>
      <c r="F160" t="s">
        <v>573</v>
      </c>
      <c r="G160" t="s">
        <v>78</v>
      </c>
      <c r="H160" t="str">
        <f>_xlfn.XLOOKUP($G160,RazónMuerte!$A:$A,RazónMuerte!B:B,"",0)</f>
        <v>Fractura ósea</v>
      </c>
      <c r="I160" t="str">
        <f>_xlfn.XLOOKUP($G160,RazónMuerte!$A:$A,RazónMuerte!C:C,"",0)</f>
        <v>Rodilla / Carpal</v>
      </c>
      <c r="J160" t="str">
        <f>_xlfn.XLOOKUP($G160,RazónMuerte!$A:$A,RazónMuerte!D:D,"",0)</f>
        <v>Fatal injury</v>
      </c>
    </row>
    <row r="161" spans="1:10" x14ac:dyDescent="0.25">
      <c r="A161" t="s">
        <v>571</v>
      </c>
      <c r="B161" t="str">
        <f t="shared" si="4"/>
        <v>29</v>
      </c>
      <c r="C161" t="str">
        <f t="shared" si="5"/>
        <v>JULIO</v>
      </c>
      <c r="D161" s="20">
        <v>45502</v>
      </c>
      <c r="E161" t="s">
        <v>576</v>
      </c>
      <c r="F161" t="s">
        <v>575</v>
      </c>
      <c r="G161" t="s">
        <v>574</v>
      </c>
      <c r="H161" t="str">
        <f>_xlfn.XLOOKUP($G161,RazónMuerte!$A:$A,RazónMuerte!B:B,"",0)</f>
        <v>Fractura ósea</v>
      </c>
      <c r="I161" t="str">
        <f>_xlfn.XLOOKUP($G161,RazónMuerte!$A:$A,RazónMuerte!C:C,"",0)</f>
        <v>Sesamoideo</v>
      </c>
      <c r="J161" t="str">
        <f>_xlfn.XLOOKUP($G161,RazónMuerte!$A:$A,RazónMuerte!D:D,"",0)</f>
        <v>Fatal injury</v>
      </c>
    </row>
    <row r="162" spans="1:10" x14ac:dyDescent="0.25">
      <c r="A162" t="s">
        <v>571</v>
      </c>
      <c r="B162" t="str">
        <f t="shared" si="4"/>
        <v>29</v>
      </c>
      <c r="C162" t="str">
        <f t="shared" si="5"/>
        <v>JULIO</v>
      </c>
      <c r="D162" s="20">
        <v>45502</v>
      </c>
      <c r="E162" t="s">
        <v>577</v>
      </c>
      <c r="F162" t="s">
        <v>578</v>
      </c>
      <c r="G162" t="s">
        <v>579</v>
      </c>
      <c r="H162" t="str">
        <f>_xlfn.XLOOKUP($G162,RazónMuerte!$A:$A,RazónMuerte!B:B,"",0)</f>
        <v>Fractura ósea</v>
      </c>
      <c r="I162" t="str">
        <f>_xlfn.XLOOKUP($G162,RazónMuerte!$A:$A,RazónMuerte!C:C,"",0)</f>
        <v>Sesamoideo</v>
      </c>
      <c r="J162" t="str">
        <f>_xlfn.XLOOKUP($G162,RazónMuerte!$A:$A,RazónMuerte!D:D,"",0)</f>
        <v>Fatal injury</v>
      </c>
    </row>
    <row r="163" spans="1:10" x14ac:dyDescent="0.25">
      <c r="A163" t="s">
        <v>580</v>
      </c>
      <c r="B163" t="str">
        <f t="shared" si="4"/>
        <v>31</v>
      </c>
      <c r="C163" t="str">
        <f t="shared" si="5"/>
        <v>JULIO</v>
      </c>
      <c r="D163" s="20">
        <v>45504</v>
      </c>
      <c r="E163" t="s">
        <v>581</v>
      </c>
      <c r="F163" t="s">
        <v>582</v>
      </c>
      <c r="G163" t="s">
        <v>583</v>
      </c>
      <c r="H163" t="str">
        <f>_xlfn.XLOOKUP($G163,RazónMuerte!$A:$A,RazónMuerte!B:B,"",0)</f>
        <v>Otras / No especificada</v>
      </c>
      <c r="I163">
        <f>_xlfn.XLOOKUP($G163,RazónMuerte!$A:$A,RazónMuerte!C:C,"",0)</f>
        <v>0</v>
      </c>
      <c r="J163" t="str">
        <f>_xlfn.XLOOKUP($G163,RazónMuerte!$A:$A,RazónMuerte!D:D,"",0)</f>
        <v>No clasificado</v>
      </c>
    </row>
    <row r="164" spans="1:10" x14ac:dyDescent="0.25">
      <c r="A164" t="s">
        <v>580</v>
      </c>
      <c r="B164" t="str">
        <f t="shared" si="4"/>
        <v>31</v>
      </c>
      <c r="C164" t="str">
        <f t="shared" si="5"/>
        <v>JULIO</v>
      </c>
      <c r="D164" s="20">
        <v>45504</v>
      </c>
      <c r="E164" t="s">
        <v>589</v>
      </c>
      <c r="F164" t="s">
        <v>590</v>
      </c>
      <c r="G164" t="s">
        <v>591</v>
      </c>
      <c r="H164" t="str">
        <f>_xlfn.XLOOKUP($G164,RazónMuerte!$A:$A,RazónMuerte!B:B,"",0)</f>
        <v>Fractura ósea</v>
      </c>
      <c r="I164" t="str">
        <f>_xlfn.XLOOKUP($G164,RazónMuerte!$A:$A,RazónMuerte!C:C,"",0)</f>
        <v>Sesamoideo</v>
      </c>
      <c r="J164" t="str">
        <f>_xlfn.XLOOKUP($G164,RazónMuerte!$A:$A,RazónMuerte!D:D,"",0)</f>
        <v>Fatal injury</v>
      </c>
    </row>
    <row r="165" spans="1:10" x14ac:dyDescent="0.25">
      <c r="A165" t="s">
        <v>592</v>
      </c>
      <c r="B165" t="str">
        <f t="shared" si="4"/>
        <v>2</v>
      </c>
      <c r="C165" t="str">
        <f t="shared" si="5"/>
        <v>AGOSTO</v>
      </c>
      <c r="D165" s="20">
        <v>45506</v>
      </c>
      <c r="E165" t="s">
        <v>593</v>
      </c>
      <c r="F165" t="s">
        <v>594</v>
      </c>
      <c r="G165" t="s">
        <v>595</v>
      </c>
      <c r="H165" t="str">
        <f>_xlfn.XLOOKUP($G165,RazónMuerte!$A:$A,RazónMuerte!B:B,"",0)</f>
        <v>Otras / No especificada</v>
      </c>
      <c r="I165">
        <f>_xlfn.XLOOKUP($G165,RazónMuerte!$A:$A,RazónMuerte!C:C,"",0)</f>
        <v>0</v>
      </c>
      <c r="J165" t="str">
        <f>_xlfn.XLOOKUP($G165,RazónMuerte!$A:$A,RazónMuerte!D:D,"",0)</f>
        <v>No clasificado</v>
      </c>
    </row>
    <row r="166" spans="1:10" x14ac:dyDescent="0.25">
      <c r="A166" t="s">
        <v>592</v>
      </c>
      <c r="B166" t="str">
        <f t="shared" si="4"/>
        <v>2</v>
      </c>
      <c r="C166" t="str">
        <f t="shared" si="5"/>
        <v>AGOSTO</v>
      </c>
      <c r="D166" s="20">
        <v>45506</v>
      </c>
      <c r="E166" t="s">
        <v>600</v>
      </c>
      <c r="F166" t="s">
        <v>601</v>
      </c>
      <c r="G166" t="s">
        <v>523</v>
      </c>
      <c r="H166" t="str">
        <f>_xlfn.XLOOKUP($G166,RazónMuerte!$A:$A,RazónMuerte!B:B,"",0)</f>
        <v>Otras / No especificada</v>
      </c>
      <c r="I166">
        <f>_xlfn.XLOOKUP($G166,RazónMuerte!$A:$A,RazónMuerte!C:C,"",0)</f>
        <v>0</v>
      </c>
      <c r="J166" t="str">
        <f>_xlfn.XLOOKUP($G166,RazónMuerte!$A:$A,RazónMuerte!D:D,"",0)</f>
        <v>No clasificado</v>
      </c>
    </row>
    <row r="167" spans="1:10" x14ac:dyDescent="0.25">
      <c r="A167" t="s">
        <v>596</v>
      </c>
      <c r="B167" t="str">
        <f t="shared" si="4"/>
        <v>3</v>
      </c>
      <c r="C167" t="str">
        <f t="shared" si="5"/>
        <v>AGOSTO</v>
      </c>
      <c r="D167" s="20">
        <v>45507</v>
      </c>
      <c r="E167" t="s">
        <v>597</v>
      </c>
      <c r="F167" t="s">
        <v>598</v>
      </c>
      <c r="G167" t="s">
        <v>599</v>
      </c>
      <c r="H167" t="str">
        <f>_xlfn.XLOOKUP($G167,RazónMuerte!$A:$A,RazónMuerte!B:B,"",0)</f>
        <v>Fractura ósea</v>
      </c>
      <c r="I167" t="str">
        <f>_xlfn.XLOOKUP($G167,RazónMuerte!$A:$A,RazónMuerte!C:C,"",0)</f>
        <v>Sesamoideo</v>
      </c>
      <c r="J167" t="str">
        <f>_xlfn.XLOOKUP($G167,RazónMuerte!$A:$A,RazónMuerte!D:D,"",0)</f>
        <v>Fatal injury</v>
      </c>
    </row>
    <row r="168" spans="1:10" x14ac:dyDescent="0.25">
      <c r="A168" t="s">
        <v>602</v>
      </c>
      <c r="B168" t="str">
        <f t="shared" si="4"/>
        <v>8</v>
      </c>
      <c r="C168" t="str">
        <f t="shared" si="5"/>
        <v>AGOSTO</v>
      </c>
      <c r="D168" s="20">
        <v>45512</v>
      </c>
      <c r="E168" t="s">
        <v>603</v>
      </c>
      <c r="F168" t="s">
        <v>604</v>
      </c>
      <c r="G168" t="s">
        <v>605</v>
      </c>
      <c r="H168" t="str">
        <f>_xlfn.XLOOKUP($G168,RazónMuerte!$A:$A,RazónMuerte!B:B,"",0)</f>
        <v>Fractura ósea</v>
      </c>
      <c r="I168" t="str">
        <f>_xlfn.XLOOKUP($G168,RazónMuerte!$A:$A,RazónMuerte!C:C,"",0)</f>
        <v>Slab</v>
      </c>
      <c r="J168" t="str">
        <f>_xlfn.XLOOKUP($G168,RazónMuerte!$A:$A,RazónMuerte!D:D,"",0)</f>
        <v>Fatal injury</v>
      </c>
    </row>
    <row r="169" spans="1:10" x14ac:dyDescent="0.25">
      <c r="A169" t="s">
        <v>608</v>
      </c>
      <c r="B169" t="str">
        <f t="shared" si="4"/>
        <v>13</v>
      </c>
      <c r="C169" t="str">
        <f t="shared" si="5"/>
        <v>AGOSTO</v>
      </c>
      <c r="D169" s="20">
        <v>45517</v>
      </c>
      <c r="E169" t="s">
        <v>607</v>
      </c>
      <c r="F169" t="s">
        <v>606</v>
      </c>
      <c r="G169" t="s">
        <v>54</v>
      </c>
      <c r="H169" t="str">
        <f>_xlfn.XLOOKUP($G169,RazónMuerte!$A:$A,RazónMuerte!B:B,"",0)</f>
        <v>Fractura ósea</v>
      </c>
      <c r="I169" t="str">
        <f>_xlfn.XLOOKUP($G169,RazónMuerte!$A:$A,RazónMuerte!C:C,"",0)</f>
        <v>Rodilla / Carpal</v>
      </c>
      <c r="J169" t="str">
        <f>_xlfn.XLOOKUP($G169,RazónMuerte!$A:$A,RazónMuerte!D:D,"",0)</f>
        <v>Fatal injury</v>
      </c>
    </row>
    <row r="170" spans="1:10" x14ac:dyDescent="0.25">
      <c r="A170" t="s">
        <v>609</v>
      </c>
      <c r="B170" t="str">
        <f t="shared" si="4"/>
        <v>17</v>
      </c>
      <c r="C170" t="str">
        <f t="shared" si="5"/>
        <v>AGOSTO</v>
      </c>
      <c r="D170" s="20">
        <v>45521</v>
      </c>
      <c r="E170" t="s">
        <v>610</v>
      </c>
      <c r="F170" t="s">
        <v>611</v>
      </c>
      <c r="G170" t="s">
        <v>612</v>
      </c>
      <c r="H170" t="str">
        <f>_xlfn.XLOOKUP($G170,RazónMuerte!$A:$A,RazónMuerte!B:B,"",0)</f>
        <v>Fractura ósea</v>
      </c>
      <c r="I170" t="str">
        <f>_xlfn.XLOOKUP($G170,RazónMuerte!$A:$A,RazónMuerte!C:C,"",0)</f>
        <v>Rodilla / Carpal</v>
      </c>
      <c r="J170" t="str">
        <f>_xlfn.XLOOKUP($G170,RazónMuerte!$A:$A,RazónMuerte!D:D,"",0)</f>
        <v>Fatal injury</v>
      </c>
    </row>
    <row r="171" spans="1:10" x14ac:dyDescent="0.25">
      <c r="A171" t="s">
        <v>613</v>
      </c>
      <c r="B171" t="str">
        <f t="shared" si="4"/>
        <v>19</v>
      </c>
      <c r="C171" t="str">
        <f t="shared" si="5"/>
        <v>AGOSTO</v>
      </c>
      <c r="D171" s="20">
        <v>45523</v>
      </c>
      <c r="E171" t="s">
        <v>107</v>
      </c>
      <c r="F171" t="s">
        <v>614</v>
      </c>
      <c r="G171" t="s">
        <v>91</v>
      </c>
      <c r="H171" t="str">
        <f>_xlfn.XLOOKUP($G171,RazónMuerte!$A:$A,RazónMuerte!B:B,"",0)</f>
        <v>Fractura ósea</v>
      </c>
      <c r="I171" t="str">
        <f>_xlfn.XLOOKUP($G171,RazónMuerte!$A:$A,RazónMuerte!C:C,"",0)</f>
        <v>Sesamoideo</v>
      </c>
      <c r="J171" t="str">
        <f>_xlfn.XLOOKUP($G171,RazónMuerte!$A:$A,RazónMuerte!D:D,"",0)</f>
        <v>Fatal injury</v>
      </c>
    </row>
    <row r="172" spans="1:10" x14ac:dyDescent="0.25">
      <c r="A172" t="s">
        <v>613</v>
      </c>
      <c r="B172" t="str">
        <f t="shared" si="4"/>
        <v>19</v>
      </c>
      <c r="C172" t="str">
        <f t="shared" si="5"/>
        <v>AGOSTO</v>
      </c>
      <c r="D172" s="20">
        <v>45523</v>
      </c>
      <c r="E172" t="s">
        <v>618</v>
      </c>
      <c r="F172" t="s">
        <v>617</v>
      </c>
      <c r="G172" t="s">
        <v>615</v>
      </c>
      <c r="H172" t="str">
        <f>_xlfn.XLOOKUP($G172,RazónMuerte!$A:$A,RazónMuerte!B:B,"",0)</f>
        <v>Fractura ósea</v>
      </c>
      <c r="I172" t="str">
        <f>_xlfn.XLOOKUP($G172,RazónMuerte!$A:$A,RazónMuerte!C:C,"",0)</f>
        <v>No especificado</v>
      </c>
      <c r="J172" t="str">
        <f>_xlfn.XLOOKUP($G172,RazónMuerte!$A:$A,RazónMuerte!D:D,"",0)</f>
        <v>Fatal injury</v>
      </c>
    </row>
    <row r="173" spans="1:10" x14ac:dyDescent="0.25">
      <c r="A173" t="s">
        <v>613</v>
      </c>
      <c r="B173" t="str">
        <f t="shared" si="4"/>
        <v>19</v>
      </c>
      <c r="C173" t="str">
        <f t="shared" si="5"/>
        <v>AGOSTO</v>
      </c>
      <c r="D173" s="20">
        <v>45523</v>
      </c>
      <c r="E173" t="s">
        <v>81</v>
      </c>
      <c r="F173" t="s">
        <v>619</v>
      </c>
      <c r="G173" t="s">
        <v>616</v>
      </c>
      <c r="H173" t="str">
        <f>_xlfn.XLOOKUP($G173,RazónMuerte!$A:$A,RazónMuerte!B:B,"",0)</f>
        <v>Fractura ósea</v>
      </c>
      <c r="I173" t="str">
        <f>_xlfn.XLOOKUP($G173,RazónMuerte!$A:$A,RazónMuerte!C:C,"",0)</f>
        <v>No especificado</v>
      </c>
      <c r="J173" t="str">
        <f>_xlfn.XLOOKUP($G173,RazónMuerte!$A:$A,RazónMuerte!D:D,"",0)</f>
        <v>Fatal injury</v>
      </c>
    </row>
    <row r="174" spans="1:10" x14ac:dyDescent="0.25">
      <c r="A174" t="s">
        <v>613</v>
      </c>
      <c r="B174" t="str">
        <f t="shared" si="4"/>
        <v>19</v>
      </c>
      <c r="C174" t="str">
        <f t="shared" si="5"/>
        <v>AGOSTO</v>
      </c>
      <c r="D174" s="20">
        <v>45523</v>
      </c>
      <c r="E174" t="s">
        <v>74</v>
      </c>
      <c r="F174" t="s">
        <v>620</v>
      </c>
      <c r="G174" t="s">
        <v>621</v>
      </c>
      <c r="H174" t="str">
        <f>_xlfn.XLOOKUP($G174,RazónMuerte!$A:$A,RazónMuerte!B:B,"",0)</f>
        <v>Otras / No especificada</v>
      </c>
      <c r="I174">
        <f>_xlfn.XLOOKUP($G174,RazónMuerte!$A:$A,RazónMuerte!C:C,"",0)</f>
        <v>0</v>
      </c>
      <c r="J174" t="str">
        <f>_xlfn.XLOOKUP($G174,RazónMuerte!$A:$A,RazónMuerte!D:D,"",0)</f>
        <v>No clasificado</v>
      </c>
    </row>
    <row r="175" spans="1:10" x14ac:dyDescent="0.25">
      <c r="A175" t="s">
        <v>624</v>
      </c>
      <c r="B175" t="str">
        <f t="shared" si="4"/>
        <v>20</v>
      </c>
      <c r="C175" t="str">
        <f t="shared" si="5"/>
        <v>AGOSTO</v>
      </c>
      <c r="D175" s="20">
        <v>45524</v>
      </c>
      <c r="E175" t="s">
        <v>597</v>
      </c>
      <c r="F175" t="s">
        <v>623</v>
      </c>
      <c r="G175" t="s">
        <v>622</v>
      </c>
      <c r="H175" t="str">
        <f>_xlfn.XLOOKUP($G175,RazónMuerte!$A:$A,RazónMuerte!B:B,"",0)</f>
        <v>Fractura ósea</v>
      </c>
      <c r="I175" t="str">
        <f>_xlfn.XLOOKUP($G175,RazónMuerte!$A:$A,RazónMuerte!C:C,"",0)</f>
        <v>No especificado</v>
      </c>
      <c r="J175" t="str">
        <f>_xlfn.XLOOKUP($G175,RazónMuerte!$A:$A,RazónMuerte!D:D,"",0)</f>
        <v>Fatal injury</v>
      </c>
    </row>
    <row r="176" spans="1:10" x14ac:dyDescent="0.25">
      <c r="A176" t="s">
        <v>625</v>
      </c>
      <c r="B176" t="str">
        <f t="shared" si="4"/>
        <v>28</v>
      </c>
      <c r="C176" t="str">
        <f t="shared" si="5"/>
        <v>AGOSTO</v>
      </c>
      <c r="D176" s="20">
        <v>45532</v>
      </c>
      <c r="E176" t="s">
        <v>626</v>
      </c>
      <c r="F176" t="s">
        <v>627</v>
      </c>
      <c r="G176" t="s">
        <v>628</v>
      </c>
      <c r="H176" t="str">
        <f>_xlfn.XLOOKUP($G176,RazónMuerte!$A:$A,RazónMuerte!B:B,"",0)</f>
        <v>Fractura ósea</v>
      </c>
      <c r="I176" t="str">
        <f>_xlfn.XLOOKUP($G176,RazónMuerte!$A:$A,RazónMuerte!C:C,"",0)</f>
        <v>Rodilla / Carpal</v>
      </c>
      <c r="J176" t="str">
        <f>_xlfn.XLOOKUP($G176,RazónMuerte!$A:$A,RazónMuerte!D:D,"",0)</f>
        <v>Fatal injury</v>
      </c>
    </row>
    <row r="177" spans="1:10" x14ac:dyDescent="0.25">
      <c r="A177" t="s">
        <v>625</v>
      </c>
      <c r="B177" t="str">
        <f t="shared" si="4"/>
        <v>28</v>
      </c>
      <c r="C177" t="str">
        <f t="shared" si="5"/>
        <v>AGOSTO</v>
      </c>
      <c r="D177" s="20">
        <v>45532</v>
      </c>
      <c r="E177" t="s">
        <v>58</v>
      </c>
      <c r="F177" t="s">
        <v>630</v>
      </c>
      <c r="G177" t="s">
        <v>629</v>
      </c>
      <c r="H177" t="str">
        <f>_xlfn.XLOOKUP($G177,RazónMuerte!$A:$A,RazónMuerte!B:B,"",0)</f>
        <v>Enfermedad degenerativa articular</v>
      </c>
      <c r="I177">
        <f>_xlfn.XLOOKUP($G177,RazónMuerte!$A:$A,RazónMuerte!C:C,"",0)</f>
        <v>0</v>
      </c>
      <c r="J177" t="str">
        <f>_xlfn.XLOOKUP($G177,RazónMuerte!$A:$A,RazónMuerte!D:D,"",0)</f>
        <v>Fatal injury</v>
      </c>
    </row>
    <row r="178" spans="1:10" x14ac:dyDescent="0.25">
      <c r="A178" t="s">
        <v>631</v>
      </c>
      <c r="B178" t="str">
        <f t="shared" si="4"/>
        <v>31</v>
      </c>
      <c r="C178" t="str">
        <f t="shared" si="5"/>
        <v>AGOSTO</v>
      </c>
      <c r="D178" s="20">
        <v>45535</v>
      </c>
      <c r="E178" t="s">
        <v>632</v>
      </c>
      <c r="F178" t="s">
        <v>633</v>
      </c>
      <c r="G178" t="s">
        <v>634</v>
      </c>
      <c r="H178" t="str">
        <f>_xlfn.XLOOKUP($G178,RazónMuerte!$A:$A,RazónMuerte!B:B,"",0)</f>
        <v>Otras / No especificada</v>
      </c>
      <c r="I178">
        <f>_xlfn.XLOOKUP($G178,RazónMuerte!$A:$A,RazónMuerte!C:C,"",0)</f>
        <v>0</v>
      </c>
      <c r="J178" t="str">
        <f>_xlfn.XLOOKUP($G178,RazónMuerte!$A:$A,RazónMuerte!D:D,"",0)</f>
        <v>No clasificado</v>
      </c>
    </row>
    <row r="179" spans="1:10" x14ac:dyDescent="0.25">
      <c r="A179" t="s">
        <v>635</v>
      </c>
      <c r="B179" t="str">
        <f t="shared" si="4"/>
        <v>3</v>
      </c>
      <c r="C179" t="str">
        <f t="shared" si="5"/>
        <v>SEPTIEMBRE</v>
      </c>
      <c r="D179" s="20">
        <v>45538</v>
      </c>
      <c r="E179" t="s">
        <v>35</v>
      </c>
      <c r="F179" t="s">
        <v>636</v>
      </c>
      <c r="G179" t="s">
        <v>101</v>
      </c>
      <c r="H179" t="str">
        <f>_xlfn.XLOOKUP($G179,RazónMuerte!$A:$A,RazónMuerte!B:B,"",0)</f>
        <v>Fractura ósea</v>
      </c>
      <c r="I179" t="str">
        <f>_xlfn.XLOOKUP($G179,RazónMuerte!$A:$A,RazónMuerte!C:C,"",0)</f>
        <v>Rodilla / Carpal</v>
      </c>
      <c r="J179" t="str">
        <f>_xlfn.XLOOKUP($G179,RazónMuerte!$A:$A,RazónMuerte!D:D,"",0)</f>
        <v>Fatal injury</v>
      </c>
    </row>
    <row r="180" spans="1:10" x14ac:dyDescent="0.25">
      <c r="A180" t="s">
        <v>637</v>
      </c>
      <c r="B180" t="str">
        <f t="shared" si="4"/>
        <v>5</v>
      </c>
      <c r="C180" t="str">
        <f t="shared" si="5"/>
        <v>SEPTIEMBRE</v>
      </c>
      <c r="D180" s="20">
        <v>45540</v>
      </c>
      <c r="E180" t="s">
        <v>108</v>
      </c>
      <c r="F180" t="s">
        <v>638</v>
      </c>
      <c r="G180" t="s">
        <v>639</v>
      </c>
      <c r="H180" t="str">
        <f>_xlfn.XLOOKUP($G180,RazónMuerte!$A:$A,RazónMuerte!B:B,"",0)</f>
        <v>Enfermedad degenerativa articular</v>
      </c>
      <c r="I180">
        <f>_xlfn.XLOOKUP($G180,RazónMuerte!$A:$A,RazónMuerte!C:C,"",0)</f>
        <v>0</v>
      </c>
      <c r="J180" t="str">
        <f>_xlfn.XLOOKUP($G180,RazónMuerte!$A:$A,RazónMuerte!D:D,"",0)</f>
        <v>No fatal injury (chronic/medical)</v>
      </c>
    </row>
    <row r="181" spans="1:10" x14ac:dyDescent="0.25">
      <c r="A181" t="s">
        <v>637</v>
      </c>
      <c r="B181" t="str">
        <f t="shared" si="4"/>
        <v>5</v>
      </c>
      <c r="C181" t="str">
        <f t="shared" si="5"/>
        <v>SEPTIEMBRE</v>
      </c>
      <c r="D181" s="20">
        <v>45540</v>
      </c>
      <c r="E181" t="s">
        <v>640</v>
      </c>
      <c r="F181" t="s">
        <v>641</v>
      </c>
      <c r="G181" t="s">
        <v>642</v>
      </c>
      <c r="H181" t="str">
        <f>_xlfn.XLOOKUP($G181,RazónMuerte!$A:$A,RazónMuerte!B:B,"",0)</f>
        <v>Fractura ósea</v>
      </c>
      <c r="I181" t="str">
        <f>_xlfn.XLOOKUP($G181,RazónMuerte!$A:$A,RazónMuerte!C:C,"",0)</f>
        <v>No especificado</v>
      </c>
      <c r="J181" t="str">
        <f>_xlfn.XLOOKUP($G181,RazónMuerte!$A:$A,RazónMuerte!D:D,"",0)</f>
        <v>Fatal injury</v>
      </c>
    </row>
    <row r="182" spans="1:10" x14ac:dyDescent="0.25">
      <c r="A182" t="s">
        <v>646</v>
      </c>
      <c r="B182" t="str">
        <f t="shared" si="4"/>
        <v>6</v>
      </c>
      <c r="C182" t="str">
        <f t="shared" si="5"/>
        <v>SEPTIEMBRE</v>
      </c>
      <c r="D182" s="20">
        <v>45541</v>
      </c>
      <c r="E182" t="s">
        <v>645</v>
      </c>
      <c r="F182" t="s">
        <v>644</v>
      </c>
      <c r="G182" t="s">
        <v>643</v>
      </c>
      <c r="H182" t="str">
        <f>_xlfn.XLOOKUP($G182,RazónMuerte!$A:$A,RazónMuerte!B:B,"",0)</f>
        <v>Fractura ósea</v>
      </c>
      <c r="I182" t="str">
        <f>_xlfn.XLOOKUP($G182,RazónMuerte!$A:$A,RazónMuerte!C:C,"",0)</f>
        <v>Fetlock</v>
      </c>
      <c r="J182" t="str">
        <f>_xlfn.XLOOKUP($G182,RazónMuerte!$A:$A,RazónMuerte!D:D,"",0)</f>
        <v>Fatal injury</v>
      </c>
    </row>
    <row r="183" spans="1:10" x14ac:dyDescent="0.25">
      <c r="A183" t="s">
        <v>646</v>
      </c>
      <c r="B183" t="str">
        <f t="shared" si="4"/>
        <v>6</v>
      </c>
      <c r="C183" t="str">
        <f t="shared" si="5"/>
        <v>SEPTIEMBRE</v>
      </c>
      <c r="D183" s="20">
        <v>45541</v>
      </c>
      <c r="E183" t="s">
        <v>104</v>
      </c>
      <c r="F183" t="s">
        <v>647</v>
      </c>
      <c r="G183" t="s">
        <v>648</v>
      </c>
      <c r="H183" t="str">
        <f>_xlfn.XLOOKUP($G183,RazónMuerte!$A:$A,RazónMuerte!B:B,"",0)</f>
        <v>Enfermedad degenerativa articular</v>
      </c>
      <c r="I183">
        <f>_xlfn.XLOOKUP($G183,RazónMuerte!$A:$A,RazónMuerte!C:C,"",0)</f>
        <v>0</v>
      </c>
      <c r="J183" t="str">
        <f>_xlfn.XLOOKUP($G183,RazónMuerte!$A:$A,RazónMuerte!D:D,"",0)</f>
        <v>Fatal injury</v>
      </c>
    </row>
    <row r="184" spans="1:10" x14ac:dyDescent="0.25">
      <c r="A184" t="s">
        <v>649</v>
      </c>
      <c r="B184" t="str">
        <f t="shared" si="4"/>
        <v>7</v>
      </c>
      <c r="C184" t="str">
        <f t="shared" si="5"/>
        <v>SEPTIEMBRE</v>
      </c>
      <c r="D184" s="20">
        <v>45542</v>
      </c>
      <c r="E184" t="s">
        <v>6</v>
      </c>
      <c r="F184" t="s">
        <v>650</v>
      </c>
      <c r="G184" t="s">
        <v>87</v>
      </c>
      <c r="H184" t="str">
        <f>_xlfn.XLOOKUP($G184,RazónMuerte!$A:$A,RazónMuerte!B:B,"",0)</f>
        <v>Otras / No especificada</v>
      </c>
      <c r="I184">
        <f>_xlfn.XLOOKUP($G184,RazónMuerte!$A:$A,RazónMuerte!C:C,"",0)</f>
        <v>0</v>
      </c>
      <c r="J184" t="str">
        <f>_xlfn.XLOOKUP($G184,RazónMuerte!$A:$A,RazónMuerte!D:D,"",0)</f>
        <v>No clasificado</v>
      </c>
    </row>
    <row r="185" spans="1:10" x14ac:dyDescent="0.25">
      <c r="A185" t="s">
        <v>651</v>
      </c>
      <c r="B185" t="str">
        <f t="shared" si="4"/>
        <v>9</v>
      </c>
      <c r="C185" t="str">
        <f t="shared" si="5"/>
        <v>SEPTIEMBRE</v>
      </c>
      <c r="D185" s="20">
        <v>45544</v>
      </c>
      <c r="E185" t="s">
        <v>11</v>
      </c>
      <c r="F185" t="s">
        <v>652</v>
      </c>
      <c r="G185" t="s">
        <v>653</v>
      </c>
      <c r="H185" t="str">
        <f>_xlfn.XLOOKUP($G185,RazónMuerte!$A:$A,RazónMuerte!B:B,"",0)</f>
        <v>Otras / No especificada</v>
      </c>
      <c r="I185">
        <f>_xlfn.XLOOKUP($G185,RazónMuerte!$A:$A,RazónMuerte!C:C,"",0)</f>
        <v>0</v>
      </c>
      <c r="J185" t="str">
        <f>_xlfn.XLOOKUP($G185,RazónMuerte!$A:$A,RazónMuerte!D:D,"",0)</f>
        <v>No clasificado</v>
      </c>
    </row>
    <row r="186" spans="1:10" x14ac:dyDescent="0.25">
      <c r="A186" t="s">
        <v>654</v>
      </c>
      <c r="B186" t="str">
        <f t="shared" si="4"/>
        <v>10</v>
      </c>
      <c r="C186" t="str">
        <f t="shared" si="5"/>
        <v>SEPTIEMBRE</v>
      </c>
      <c r="D186" s="20">
        <v>45545</v>
      </c>
      <c r="E186" t="s">
        <v>36</v>
      </c>
      <c r="F186" t="s">
        <v>655</v>
      </c>
      <c r="G186" t="s">
        <v>656</v>
      </c>
      <c r="H186" t="str">
        <f>_xlfn.XLOOKUP($G186,RazónMuerte!$A:$A,RazónMuerte!B:B,"",0)</f>
        <v>Fractura ósea</v>
      </c>
      <c r="I186" t="str">
        <f>_xlfn.XLOOKUP($G186,RazónMuerte!$A:$A,RazónMuerte!C:C,"",0)</f>
        <v>Rodilla / Carpal</v>
      </c>
      <c r="J186" t="str">
        <f>_xlfn.XLOOKUP($G186,RazónMuerte!$A:$A,RazónMuerte!D:D,"",0)</f>
        <v>Fatal injury</v>
      </c>
    </row>
    <row r="187" spans="1:10" x14ac:dyDescent="0.25">
      <c r="A187" t="s">
        <v>654</v>
      </c>
      <c r="B187" t="str">
        <f t="shared" si="4"/>
        <v>10</v>
      </c>
      <c r="C187" t="str">
        <f t="shared" si="5"/>
        <v>SEPTIEMBRE</v>
      </c>
      <c r="D187" s="20">
        <v>45545</v>
      </c>
      <c r="E187" t="s">
        <v>659</v>
      </c>
      <c r="F187" t="s">
        <v>658</v>
      </c>
      <c r="G187" t="s">
        <v>657</v>
      </c>
      <c r="H187" t="str">
        <f>_xlfn.XLOOKUP($G187,RazónMuerte!$A:$A,RazónMuerte!B:B,"",0)</f>
        <v>Enfermedad degenerativa articular</v>
      </c>
      <c r="I187">
        <f>_xlfn.XLOOKUP($G187,RazónMuerte!$A:$A,RazónMuerte!C:C,"",0)</f>
        <v>0</v>
      </c>
      <c r="J187" t="str">
        <f>_xlfn.XLOOKUP($G187,RazónMuerte!$A:$A,RazónMuerte!D:D,"",0)</f>
        <v>No fatal injury (chronic/medical)</v>
      </c>
    </row>
    <row r="188" spans="1:10" x14ac:dyDescent="0.25">
      <c r="A188" t="s">
        <v>654</v>
      </c>
      <c r="B188" t="str">
        <f t="shared" si="4"/>
        <v>10</v>
      </c>
      <c r="C188" t="str">
        <f t="shared" si="5"/>
        <v>SEPTIEMBRE</v>
      </c>
      <c r="D188" s="20">
        <v>45545</v>
      </c>
      <c r="E188" t="s">
        <v>85</v>
      </c>
      <c r="F188" t="s">
        <v>660</v>
      </c>
      <c r="G188" t="s">
        <v>661</v>
      </c>
      <c r="H188" t="str">
        <f>_xlfn.XLOOKUP($G188,RazónMuerte!$A:$A,RazónMuerte!B:B,"",0)</f>
        <v>Fractura ósea</v>
      </c>
      <c r="I188" t="str">
        <f>_xlfn.XLOOKUP($G188,RazónMuerte!$A:$A,RazónMuerte!C:C,"",0)</f>
        <v>Rodilla / Carpal</v>
      </c>
      <c r="J188" t="str">
        <f>_xlfn.XLOOKUP($G188,RazónMuerte!$A:$A,RazónMuerte!D:D,"",0)</f>
        <v>Fatal injury</v>
      </c>
    </row>
    <row r="189" spans="1:10" x14ac:dyDescent="0.25">
      <c r="A189" t="s">
        <v>662</v>
      </c>
      <c r="B189" t="str">
        <f t="shared" si="4"/>
        <v>12</v>
      </c>
      <c r="C189" t="str">
        <f t="shared" si="5"/>
        <v>SEPTIEMBRE</v>
      </c>
      <c r="D189" s="20">
        <v>45547</v>
      </c>
      <c r="E189" t="s">
        <v>389</v>
      </c>
      <c r="F189" t="s">
        <v>663</v>
      </c>
      <c r="G189" t="s">
        <v>664</v>
      </c>
      <c r="H189" t="str">
        <f>_xlfn.XLOOKUP($G189,RazónMuerte!$A:$A,RazónMuerte!B:B,"",0)</f>
        <v>Fractura ósea</v>
      </c>
      <c r="I189" t="str">
        <f>_xlfn.XLOOKUP($G189,RazónMuerte!$A:$A,RazónMuerte!C:C,"",0)</f>
        <v>Rodilla / Carpal</v>
      </c>
      <c r="J189" t="str">
        <f>_xlfn.XLOOKUP($G189,RazónMuerte!$A:$A,RazónMuerte!D:D,"",0)</f>
        <v>Fatal injury</v>
      </c>
    </row>
    <row r="190" spans="1:10" x14ac:dyDescent="0.25">
      <c r="A190" t="s">
        <v>691</v>
      </c>
      <c r="B190" t="str">
        <f t="shared" si="4"/>
        <v>13</v>
      </c>
      <c r="C190" t="str">
        <f t="shared" si="5"/>
        <v>SEPTIEMBRE</v>
      </c>
      <c r="D190" s="20">
        <v>45548</v>
      </c>
      <c r="E190" t="s">
        <v>665</v>
      </c>
      <c r="F190" t="s">
        <v>666</v>
      </c>
      <c r="G190" t="s">
        <v>667</v>
      </c>
      <c r="H190" t="str">
        <f>_xlfn.XLOOKUP($G190,RazónMuerte!$A:$A,RazónMuerte!B:B,"",0)</f>
        <v>Enfermedad degenerativa articular</v>
      </c>
      <c r="I190">
        <f>_xlfn.XLOOKUP($G190,RazónMuerte!$A:$A,RazónMuerte!C:C,"",0)</f>
        <v>0</v>
      </c>
      <c r="J190" t="str">
        <f>_xlfn.XLOOKUP($G190,RazónMuerte!$A:$A,RazónMuerte!D:D,"",0)</f>
        <v>No fatal injury (chronic/medical)</v>
      </c>
    </row>
    <row r="191" spans="1:10" x14ac:dyDescent="0.25">
      <c r="A191" t="s">
        <v>669</v>
      </c>
      <c r="B191" t="str">
        <f t="shared" si="4"/>
        <v>17</v>
      </c>
      <c r="C191" t="str">
        <f t="shared" si="5"/>
        <v>SEPTIEMBRE</v>
      </c>
      <c r="D191" s="20">
        <v>45552</v>
      </c>
      <c r="E191" t="s">
        <v>83</v>
      </c>
      <c r="F191" t="s">
        <v>668</v>
      </c>
      <c r="G191" t="s">
        <v>78</v>
      </c>
      <c r="H191" t="str">
        <f>_xlfn.XLOOKUP($G191,RazónMuerte!$A:$A,RazónMuerte!B:B,"",0)</f>
        <v>Fractura ósea</v>
      </c>
      <c r="I191" t="str">
        <f>_xlfn.XLOOKUP($G191,RazónMuerte!$A:$A,RazónMuerte!C:C,"",0)</f>
        <v>Rodilla / Carpal</v>
      </c>
      <c r="J191" t="str">
        <f>_xlfn.XLOOKUP($G191,RazónMuerte!$A:$A,RazónMuerte!D:D,"",0)</f>
        <v>Fatal injury</v>
      </c>
    </row>
    <row r="192" spans="1:10" x14ac:dyDescent="0.25">
      <c r="A192" t="s">
        <v>669</v>
      </c>
      <c r="B192" t="str">
        <f t="shared" si="4"/>
        <v>17</v>
      </c>
      <c r="C192" t="str">
        <f t="shared" si="5"/>
        <v>SEPTIEMBRE</v>
      </c>
      <c r="D192" s="20">
        <v>45552</v>
      </c>
      <c r="E192" t="s">
        <v>62</v>
      </c>
      <c r="F192" t="s">
        <v>670</v>
      </c>
      <c r="G192" t="s">
        <v>671</v>
      </c>
      <c r="H192" t="str">
        <f>_xlfn.XLOOKUP($G192,RazónMuerte!$A:$A,RazónMuerte!B:B,"",0)</f>
        <v>Fractura ósea</v>
      </c>
      <c r="I192" t="str">
        <f>_xlfn.XLOOKUP($G192,RazónMuerte!$A:$A,RazónMuerte!C:C,"",0)</f>
        <v>Slab</v>
      </c>
      <c r="J192" t="str">
        <f>_xlfn.XLOOKUP($G192,RazónMuerte!$A:$A,RazónMuerte!D:D,"",0)</f>
        <v>Fatal injury</v>
      </c>
    </row>
    <row r="193" spans="1:10" x14ac:dyDescent="0.25">
      <c r="A193" t="s">
        <v>669</v>
      </c>
      <c r="B193" t="str">
        <f t="shared" si="4"/>
        <v>17</v>
      </c>
      <c r="C193" t="str">
        <f t="shared" si="5"/>
        <v>SEPTIEMBRE</v>
      </c>
      <c r="D193" s="20">
        <v>45552</v>
      </c>
      <c r="E193" t="s">
        <v>674</v>
      </c>
      <c r="F193" t="s">
        <v>673</v>
      </c>
      <c r="G193" t="s">
        <v>672</v>
      </c>
      <c r="H193" t="str">
        <f>_xlfn.XLOOKUP($G193,RazónMuerte!$A:$A,RazónMuerte!B:B,"",0)</f>
        <v>Enfermedad degenerativa articular</v>
      </c>
      <c r="I193">
        <f>_xlfn.XLOOKUP($G193,RazónMuerte!$A:$A,RazónMuerte!C:C,"",0)</f>
        <v>0</v>
      </c>
      <c r="J193" t="str">
        <f>_xlfn.XLOOKUP($G193,RazónMuerte!$A:$A,RazónMuerte!D:D,"",0)</f>
        <v>No fatal injury (chronic/medical)</v>
      </c>
    </row>
    <row r="194" spans="1:10" x14ac:dyDescent="0.25">
      <c r="A194" t="s">
        <v>669</v>
      </c>
      <c r="B194" t="str">
        <f t="shared" si="4"/>
        <v>17</v>
      </c>
      <c r="C194" t="str">
        <f t="shared" si="5"/>
        <v>SEPTIEMBRE</v>
      </c>
      <c r="D194" s="20">
        <v>45552</v>
      </c>
      <c r="E194" t="s">
        <v>68</v>
      </c>
      <c r="F194" t="s">
        <v>675</v>
      </c>
      <c r="G194" t="s">
        <v>677</v>
      </c>
      <c r="H194" t="str">
        <f>_xlfn.XLOOKUP($G194,RazónMuerte!$A:$A,RazónMuerte!B:B,"",0)</f>
        <v>Enfermedad degenerativa articular</v>
      </c>
      <c r="I194">
        <f>_xlfn.XLOOKUP($G194,RazónMuerte!$A:$A,RazónMuerte!C:C,"",0)</f>
        <v>0</v>
      </c>
      <c r="J194" t="str">
        <f>_xlfn.XLOOKUP($G194,RazónMuerte!$A:$A,RazónMuerte!D:D,"",0)</f>
        <v>Fatal injury</v>
      </c>
    </row>
    <row r="195" spans="1:10" x14ac:dyDescent="0.25">
      <c r="A195" t="s">
        <v>669</v>
      </c>
      <c r="B195" t="str">
        <f t="shared" ref="B195:B257" si="6">LEFT(A195,FIND("-",A195)-1)</f>
        <v>17</v>
      </c>
      <c r="C195" t="str">
        <f t="shared" ref="C195:C257" si="7">MID(A195,FIND("-",A195)+1,FIND("-",A195,FIND("-",A195)+1)-FIND("-",A195)-1)</f>
        <v>SEPTIEMBRE</v>
      </c>
      <c r="D195" s="20">
        <v>45552</v>
      </c>
      <c r="E195" t="s">
        <v>215</v>
      </c>
      <c r="F195" t="s">
        <v>679</v>
      </c>
      <c r="G195" t="s">
        <v>678</v>
      </c>
      <c r="H195" t="str">
        <f>_xlfn.XLOOKUP($G195,RazónMuerte!$A:$A,RazónMuerte!B:B,"",0)</f>
        <v>Fractura ósea</v>
      </c>
      <c r="I195" t="str">
        <f>_xlfn.XLOOKUP($G195,RazónMuerte!$A:$A,RazónMuerte!C:C,"",0)</f>
        <v>Rodilla / Carpal</v>
      </c>
      <c r="J195" t="str">
        <f>_xlfn.XLOOKUP($G195,RazónMuerte!$A:$A,RazónMuerte!D:D,"",0)</f>
        <v>Fatal injury</v>
      </c>
    </row>
    <row r="196" spans="1:10" x14ac:dyDescent="0.25">
      <c r="A196" t="s">
        <v>680</v>
      </c>
      <c r="B196" t="str">
        <f t="shared" si="6"/>
        <v>18</v>
      </c>
      <c r="C196" t="str">
        <f t="shared" si="7"/>
        <v>SEPTIEMBRE</v>
      </c>
      <c r="D196" s="20">
        <v>45553</v>
      </c>
      <c r="E196" t="s">
        <v>11</v>
      </c>
      <c r="F196" t="s">
        <v>681</v>
      </c>
      <c r="G196" t="s">
        <v>682</v>
      </c>
      <c r="H196" t="str">
        <f>_xlfn.XLOOKUP($G196,RazónMuerte!$A:$A,RazónMuerte!B:B,"",0)</f>
        <v>Otras / No especificada</v>
      </c>
      <c r="I196">
        <f>_xlfn.XLOOKUP($G196,RazónMuerte!$A:$A,RazónMuerte!C:C,"",0)</f>
        <v>0</v>
      </c>
      <c r="J196" t="str">
        <f>_xlfn.XLOOKUP($G196,RazónMuerte!$A:$A,RazónMuerte!D:D,"",0)</f>
        <v>No clasificado</v>
      </c>
    </row>
    <row r="197" spans="1:10" x14ac:dyDescent="0.25">
      <c r="A197" t="s">
        <v>684</v>
      </c>
      <c r="B197" t="str">
        <f t="shared" si="6"/>
        <v>19</v>
      </c>
      <c r="C197" t="str">
        <f t="shared" si="7"/>
        <v>SEPTIEMBRE</v>
      </c>
      <c r="D197" s="20">
        <v>45554</v>
      </c>
      <c r="E197" t="s">
        <v>42</v>
      </c>
      <c r="F197" t="s">
        <v>685</v>
      </c>
      <c r="G197" t="s">
        <v>57</v>
      </c>
      <c r="H197" t="str">
        <f>_xlfn.XLOOKUP($G197,RazónMuerte!$A:$A,RazónMuerte!B:B,"",0)</f>
        <v>Otras / No especificada</v>
      </c>
      <c r="I197">
        <f>_xlfn.XLOOKUP($G197,RazónMuerte!$A:$A,RazónMuerte!C:C,"",0)</f>
        <v>0</v>
      </c>
      <c r="J197" t="str">
        <f>_xlfn.XLOOKUP($G197,RazónMuerte!$A:$A,RazónMuerte!D:D,"",0)</f>
        <v>No clasificado</v>
      </c>
    </row>
    <row r="198" spans="1:10" x14ac:dyDescent="0.25">
      <c r="A198" t="s">
        <v>684</v>
      </c>
      <c r="B198" t="str">
        <f t="shared" si="6"/>
        <v>19</v>
      </c>
      <c r="C198" t="str">
        <f t="shared" si="7"/>
        <v>SEPTIEMBRE</v>
      </c>
      <c r="D198" s="20">
        <v>45554</v>
      </c>
      <c r="E198" t="s">
        <v>688</v>
      </c>
      <c r="F198" t="s">
        <v>687</v>
      </c>
      <c r="G198" t="s">
        <v>686</v>
      </c>
      <c r="H198" t="str">
        <f>_xlfn.XLOOKUP($G198,RazónMuerte!$A:$A,RazónMuerte!B:B,"",0)</f>
        <v>Otras / No especificada</v>
      </c>
      <c r="I198">
        <f>_xlfn.XLOOKUP($G198,RazónMuerte!$A:$A,RazónMuerte!C:C,"",0)</f>
        <v>0</v>
      </c>
      <c r="J198" t="str">
        <f>_xlfn.XLOOKUP($G198,RazónMuerte!$A:$A,RazónMuerte!D:D,"",0)</f>
        <v>No clasificado</v>
      </c>
    </row>
    <row r="199" spans="1:10" x14ac:dyDescent="0.25">
      <c r="A199" t="s">
        <v>683</v>
      </c>
      <c r="B199" t="str">
        <f t="shared" si="6"/>
        <v>20</v>
      </c>
      <c r="C199" t="str">
        <f t="shared" si="7"/>
        <v>SEPTIEMBRE</v>
      </c>
      <c r="D199" s="20">
        <v>45555</v>
      </c>
      <c r="E199" t="s">
        <v>75</v>
      </c>
      <c r="F199" t="s">
        <v>689</v>
      </c>
      <c r="G199" t="s">
        <v>690</v>
      </c>
      <c r="H199" t="str">
        <f>_xlfn.XLOOKUP($G199,RazónMuerte!$A:$A,RazónMuerte!B:B,"",0)</f>
        <v>Enfermedad degenerativa articular</v>
      </c>
      <c r="I199">
        <f>_xlfn.XLOOKUP($G199,RazónMuerte!$A:$A,RazónMuerte!C:C,"",0)</f>
        <v>0</v>
      </c>
      <c r="J199" t="str">
        <f>_xlfn.XLOOKUP($G199,RazónMuerte!$A:$A,RazónMuerte!D:D,"",0)</f>
        <v>No fatal injury (chronic/medical)</v>
      </c>
    </row>
    <row r="200" spans="1:10" x14ac:dyDescent="0.25">
      <c r="A200" t="s">
        <v>692</v>
      </c>
      <c r="B200" t="str">
        <f t="shared" si="6"/>
        <v>23</v>
      </c>
      <c r="C200" t="str">
        <f t="shared" si="7"/>
        <v>SEPTIEMBRE</v>
      </c>
      <c r="D200" s="20">
        <v>45558</v>
      </c>
      <c r="E200" t="s">
        <v>105</v>
      </c>
      <c r="F200" t="s">
        <v>693</v>
      </c>
      <c r="G200" t="s">
        <v>694</v>
      </c>
      <c r="H200" t="str">
        <f>_xlfn.XLOOKUP($G200,RazónMuerte!$A:$A,RazónMuerte!B:B,"",0)</f>
        <v>Lesión de ligamentos/tendones</v>
      </c>
      <c r="I200">
        <f>_xlfn.XLOOKUP($G200,RazónMuerte!$A:$A,RazónMuerte!C:C,"",0)</f>
        <v>0</v>
      </c>
      <c r="J200" t="str">
        <f>_xlfn.XLOOKUP($G200,RazónMuerte!$A:$A,RazónMuerte!D:D,"",0)</f>
        <v>No clasificado</v>
      </c>
    </row>
    <row r="201" spans="1:10" x14ac:dyDescent="0.25">
      <c r="A201" t="s">
        <v>692</v>
      </c>
      <c r="B201" t="str">
        <f t="shared" si="6"/>
        <v>23</v>
      </c>
      <c r="C201" t="str">
        <f t="shared" si="7"/>
        <v>SEPTIEMBRE</v>
      </c>
      <c r="D201" s="20">
        <v>45558</v>
      </c>
      <c r="E201" t="s">
        <v>697</v>
      </c>
      <c r="F201" t="s">
        <v>696</v>
      </c>
      <c r="G201" t="s">
        <v>695</v>
      </c>
      <c r="H201" t="str">
        <f>_xlfn.XLOOKUP($G201,RazónMuerte!$A:$A,RazónMuerte!B:B,"",0)</f>
        <v>Fractura ósea</v>
      </c>
      <c r="I201" t="str">
        <f>_xlfn.XLOOKUP($G201,RazónMuerte!$A:$A,RazónMuerte!C:C,"",0)</f>
        <v>Slab</v>
      </c>
      <c r="J201" t="str">
        <f>_xlfn.XLOOKUP($G201,RazónMuerte!$A:$A,RazónMuerte!D:D,"",0)</f>
        <v>Fatal injury</v>
      </c>
    </row>
    <row r="202" spans="1:10" x14ac:dyDescent="0.25">
      <c r="A202" t="s">
        <v>719</v>
      </c>
      <c r="B202" t="str">
        <f t="shared" si="6"/>
        <v>27</v>
      </c>
      <c r="C202" t="str">
        <f t="shared" si="7"/>
        <v>SEPTIEMBRE</v>
      </c>
      <c r="D202" s="20">
        <v>45562</v>
      </c>
      <c r="E202" t="s">
        <v>17</v>
      </c>
      <c r="F202" t="s">
        <v>720</v>
      </c>
      <c r="G202" t="s">
        <v>721</v>
      </c>
      <c r="H202" t="str">
        <f>_xlfn.XLOOKUP($G202,RazónMuerte!$A:$A,RazónMuerte!B:B,"",0)</f>
        <v>Fractura ósea</v>
      </c>
      <c r="I202" t="str">
        <f>_xlfn.XLOOKUP($G202,RazónMuerte!$A:$A,RazónMuerte!C:C,"",0)</f>
        <v>No especificado</v>
      </c>
      <c r="J202" t="str">
        <f>_xlfn.XLOOKUP($G202,RazónMuerte!$A:$A,RazónMuerte!D:D,"",0)</f>
        <v>Fatal injury</v>
      </c>
    </row>
    <row r="203" spans="1:10" x14ac:dyDescent="0.25">
      <c r="A203" t="s">
        <v>719</v>
      </c>
      <c r="B203" t="str">
        <f t="shared" si="6"/>
        <v>27</v>
      </c>
      <c r="C203" t="str">
        <f t="shared" si="7"/>
        <v>SEPTIEMBRE</v>
      </c>
      <c r="D203" s="20">
        <v>45562</v>
      </c>
      <c r="E203" t="s">
        <v>722</v>
      </c>
      <c r="F203" t="s">
        <v>723</v>
      </c>
      <c r="G203" t="s">
        <v>724</v>
      </c>
      <c r="H203" t="str">
        <f>_xlfn.XLOOKUP($G203,RazónMuerte!$A:$A,RazónMuerte!B:B,"",0)</f>
        <v>Otras / No especificada</v>
      </c>
      <c r="I203">
        <f>_xlfn.XLOOKUP($G203,RazónMuerte!$A:$A,RazónMuerte!C:C,"",0)</f>
        <v>0</v>
      </c>
      <c r="J203" t="str">
        <f>_xlfn.XLOOKUP($G203,RazónMuerte!$A:$A,RazónMuerte!D:D,"",0)</f>
        <v>No clasificado</v>
      </c>
    </row>
    <row r="204" spans="1:10" x14ac:dyDescent="0.25">
      <c r="A204" t="s">
        <v>698</v>
      </c>
      <c r="B204" t="str">
        <f t="shared" si="6"/>
        <v>30</v>
      </c>
      <c r="C204" t="str">
        <f t="shared" si="7"/>
        <v>SEPTIEMBRE</v>
      </c>
      <c r="D204" s="20">
        <v>45565</v>
      </c>
      <c r="E204" t="s">
        <v>7</v>
      </c>
      <c r="F204" t="s">
        <v>699</v>
      </c>
      <c r="G204" t="s">
        <v>700</v>
      </c>
      <c r="H204" t="str">
        <f>_xlfn.XLOOKUP($G204,RazónMuerte!$A:$A,RazónMuerte!B:B,"",0)</f>
        <v>Otras / No especificada</v>
      </c>
      <c r="I204">
        <f>_xlfn.XLOOKUP($G204,RazónMuerte!$A:$A,RazónMuerte!C:C,"",0)</f>
        <v>0</v>
      </c>
      <c r="J204" t="str">
        <f>_xlfn.XLOOKUP($G204,RazónMuerte!$A:$A,RazónMuerte!D:D,"",0)</f>
        <v>Fatal injury</v>
      </c>
    </row>
    <row r="205" spans="1:10" x14ac:dyDescent="0.25">
      <c r="A205" t="s">
        <v>701</v>
      </c>
      <c r="B205" t="str">
        <f t="shared" si="6"/>
        <v>1</v>
      </c>
      <c r="C205" t="str">
        <f t="shared" si="7"/>
        <v>OCTUBRE</v>
      </c>
      <c r="D205" s="20">
        <v>45566</v>
      </c>
      <c r="E205" t="s">
        <v>294</v>
      </c>
      <c r="F205" t="s">
        <v>702</v>
      </c>
      <c r="G205" t="s">
        <v>703</v>
      </c>
      <c r="H205" t="str">
        <f>_xlfn.XLOOKUP($G205,RazónMuerte!$A:$A,RazónMuerte!B:B,"",0)</f>
        <v>Otras / No especificada</v>
      </c>
      <c r="I205">
        <f>_xlfn.XLOOKUP($G205,RazónMuerte!$A:$A,RazónMuerte!C:C,"",0)</f>
        <v>0</v>
      </c>
      <c r="J205" t="str">
        <f>_xlfn.XLOOKUP($G205,RazónMuerte!$A:$A,RazónMuerte!D:D,"",0)</f>
        <v>No clasificado</v>
      </c>
    </row>
    <row r="206" spans="1:10" x14ac:dyDescent="0.25">
      <c r="A206" t="s">
        <v>725</v>
      </c>
      <c r="B206" t="str">
        <f t="shared" si="6"/>
        <v>2</v>
      </c>
      <c r="C206" t="str">
        <f t="shared" si="7"/>
        <v>OCTUBRE</v>
      </c>
      <c r="D206" s="20">
        <v>45567</v>
      </c>
      <c r="E206" t="s">
        <v>64</v>
      </c>
      <c r="F206" t="s">
        <v>726</v>
      </c>
      <c r="G206" t="s">
        <v>727</v>
      </c>
      <c r="H206" t="str">
        <f>_xlfn.XLOOKUP($G206,RazónMuerte!$A:$A,RazónMuerte!B:B,"",0)</f>
        <v>Fractura ósea</v>
      </c>
      <c r="I206" t="str">
        <f>_xlfn.XLOOKUP($G206,RazónMuerte!$A:$A,RazónMuerte!C:C,"",0)</f>
        <v>Caña / Cannon bone</v>
      </c>
      <c r="J206" t="str">
        <f>_xlfn.XLOOKUP($G206,RazónMuerte!$A:$A,RazónMuerte!D:D,"",0)</f>
        <v>Fatal injury</v>
      </c>
    </row>
    <row r="207" spans="1:10" x14ac:dyDescent="0.25">
      <c r="A207" t="s">
        <v>704</v>
      </c>
      <c r="B207" t="str">
        <f t="shared" si="6"/>
        <v>3</v>
      </c>
      <c r="C207" t="str">
        <f t="shared" si="7"/>
        <v>OCTUBRE</v>
      </c>
      <c r="D207" s="20">
        <v>45568</v>
      </c>
      <c r="E207" t="s">
        <v>111</v>
      </c>
      <c r="F207" t="s">
        <v>705</v>
      </c>
      <c r="G207" t="s">
        <v>706</v>
      </c>
      <c r="H207" t="str">
        <f>_xlfn.XLOOKUP($G207,RazónMuerte!$A:$A,RazónMuerte!B:B,"",0)</f>
        <v>Otras / No especificada</v>
      </c>
      <c r="I207">
        <f>_xlfn.XLOOKUP($G207,RazónMuerte!$A:$A,RazónMuerte!C:C,"",0)</f>
        <v>0</v>
      </c>
      <c r="J207" t="str">
        <f>_xlfn.XLOOKUP($G207,RazónMuerte!$A:$A,RazónMuerte!D:D,"",0)</f>
        <v>No clasificado</v>
      </c>
    </row>
    <row r="208" spans="1:10" x14ac:dyDescent="0.25">
      <c r="A208" t="s">
        <v>707</v>
      </c>
      <c r="B208" t="str">
        <f t="shared" si="6"/>
        <v>5</v>
      </c>
      <c r="C208" t="str">
        <f t="shared" si="7"/>
        <v>OCTUBRE</v>
      </c>
      <c r="D208" s="20">
        <v>45570</v>
      </c>
      <c r="E208" t="s">
        <v>28</v>
      </c>
      <c r="F208" t="s">
        <v>708</v>
      </c>
      <c r="G208" t="s">
        <v>695</v>
      </c>
      <c r="H208" t="str">
        <f>_xlfn.XLOOKUP($G208,RazónMuerte!$A:$A,RazónMuerte!B:B,"",0)</f>
        <v>Fractura ósea</v>
      </c>
      <c r="I208" t="str">
        <f>_xlfn.XLOOKUP($G208,RazónMuerte!$A:$A,RazónMuerte!C:C,"",0)</f>
        <v>Slab</v>
      </c>
      <c r="J208" t="str">
        <f>_xlfn.XLOOKUP($G208,RazónMuerte!$A:$A,RazónMuerte!D:D,"",0)</f>
        <v>Fatal injury</v>
      </c>
    </row>
    <row r="209" spans="1:10" x14ac:dyDescent="0.25">
      <c r="A209" t="s">
        <v>709</v>
      </c>
      <c r="B209" t="str">
        <f t="shared" si="6"/>
        <v>8</v>
      </c>
      <c r="C209" t="str">
        <f t="shared" si="7"/>
        <v>OCTUBRE</v>
      </c>
      <c r="D209" s="20">
        <v>45573</v>
      </c>
      <c r="E209" t="s">
        <v>423</v>
      </c>
      <c r="F209" t="s">
        <v>710</v>
      </c>
      <c r="G209" t="s">
        <v>711</v>
      </c>
      <c r="H209" t="str">
        <f>_xlfn.XLOOKUP($G209,RazónMuerte!$A:$A,RazónMuerte!B:B,"",0)</f>
        <v>Enfermedad degenerativa articular</v>
      </c>
      <c r="I209">
        <f>_xlfn.XLOOKUP($G209,RazónMuerte!$A:$A,RazónMuerte!C:C,"",0)</f>
        <v>0</v>
      </c>
      <c r="J209" t="str">
        <f>_xlfn.XLOOKUP($G209,RazónMuerte!$A:$A,RazónMuerte!D:D,"",0)</f>
        <v>No fatal injury (chronic/medical)</v>
      </c>
    </row>
    <row r="210" spans="1:10" x14ac:dyDescent="0.25">
      <c r="A210" t="s">
        <v>709</v>
      </c>
      <c r="B210" t="str">
        <f t="shared" si="6"/>
        <v>8</v>
      </c>
      <c r="C210" t="str">
        <f t="shared" si="7"/>
        <v>OCTUBRE</v>
      </c>
      <c r="D210" s="20">
        <v>45573</v>
      </c>
      <c r="E210" t="s">
        <v>712</v>
      </c>
      <c r="F210" t="s">
        <v>713</v>
      </c>
      <c r="G210" t="s">
        <v>714</v>
      </c>
      <c r="H210" t="str">
        <f>_xlfn.XLOOKUP($G210,RazónMuerte!$A:$A,RazónMuerte!B:B,"",0)</f>
        <v>Fractura ósea</v>
      </c>
      <c r="I210" t="str">
        <f>_xlfn.XLOOKUP($G210,RazónMuerte!$A:$A,RazónMuerte!C:C,"",0)</f>
        <v>Caña / Cannon bone</v>
      </c>
      <c r="J210" t="str">
        <f>_xlfn.XLOOKUP($G210,RazónMuerte!$A:$A,RazónMuerte!D:D,"",0)</f>
        <v>Fatal injury</v>
      </c>
    </row>
    <row r="211" spans="1:10" x14ac:dyDescent="0.25">
      <c r="A211" t="s">
        <v>715</v>
      </c>
      <c r="B211" t="str">
        <f t="shared" si="6"/>
        <v>10</v>
      </c>
      <c r="C211" t="str">
        <f t="shared" si="7"/>
        <v>OCTUBRE</v>
      </c>
      <c r="D211" s="20">
        <v>45575</v>
      </c>
      <c r="E211" t="s">
        <v>389</v>
      </c>
      <c r="F211" t="s">
        <v>716</v>
      </c>
      <c r="G211" t="s">
        <v>718</v>
      </c>
      <c r="H211" t="str">
        <f>_xlfn.XLOOKUP($G211,RazónMuerte!$A:$A,RazónMuerte!B:B,"",0)</f>
        <v>Fractura ósea</v>
      </c>
      <c r="I211" t="str">
        <f>_xlfn.XLOOKUP($G211,RazónMuerte!$A:$A,RazónMuerte!C:C,"",0)</f>
        <v>Slab</v>
      </c>
      <c r="J211" t="str">
        <f>_xlfn.XLOOKUP($G211,RazónMuerte!$A:$A,RazónMuerte!D:D,"",0)</f>
        <v>Fatal injury</v>
      </c>
    </row>
    <row r="212" spans="1:10" x14ac:dyDescent="0.25">
      <c r="A212" t="s">
        <v>728</v>
      </c>
      <c r="B212" t="str">
        <f t="shared" si="6"/>
        <v>21</v>
      </c>
      <c r="C212" t="str">
        <f t="shared" si="7"/>
        <v>OCTUBRE</v>
      </c>
      <c r="D212" s="20">
        <v>45586</v>
      </c>
      <c r="E212" t="s">
        <v>729</v>
      </c>
      <c r="F212" t="s">
        <v>730</v>
      </c>
      <c r="G212" t="s">
        <v>275</v>
      </c>
      <c r="H212" t="str">
        <f>_xlfn.XLOOKUP($G212,RazónMuerte!$A:$A,RazónMuerte!B:B,"",0)</f>
        <v>Fractura ósea</v>
      </c>
      <c r="I212" t="str">
        <f>_xlfn.XLOOKUP($G212,RazónMuerte!$A:$A,RazónMuerte!C:C,"",0)</f>
        <v>Caña / Cannon bone</v>
      </c>
      <c r="J212" t="str">
        <f>_xlfn.XLOOKUP($G212,RazónMuerte!$A:$A,RazónMuerte!D:D,"",0)</f>
        <v>Fatal injury</v>
      </c>
    </row>
    <row r="213" spans="1:10" x14ac:dyDescent="0.25">
      <c r="A213" t="s">
        <v>732</v>
      </c>
      <c r="B213" t="str">
        <f t="shared" si="6"/>
        <v>22</v>
      </c>
      <c r="C213" t="str">
        <f t="shared" si="7"/>
        <v>OCTUBRE</v>
      </c>
      <c r="D213" s="20">
        <v>45587</v>
      </c>
      <c r="E213" t="s">
        <v>44</v>
      </c>
      <c r="F213" t="s">
        <v>733</v>
      </c>
      <c r="G213" t="s">
        <v>734</v>
      </c>
      <c r="H213" t="str">
        <f>_xlfn.XLOOKUP($G213,RazónMuerte!$A:$A,RazónMuerte!B:B,"",0)</f>
        <v>Enfermedad degenerativa articular</v>
      </c>
      <c r="I213">
        <f>_xlfn.XLOOKUP($G213,RazónMuerte!$A:$A,RazónMuerte!C:C,"",0)</f>
        <v>0</v>
      </c>
      <c r="J213" t="str">
        <f>_xlfn.XLOOKUP($G213,RazónMuerte!$A:$A,RazónMuerte!D:D,"",0)</f>
        <v>Fatal injury</v>
      </c>
    </row>
    <row r="214" spans="1:10" x14ac:dyDescent="0.25">
      <c r="A214" t="s">
        <v>735</v>
      </c>
      <c r="B214" t="str">
        <f t="shared" si="6"/>
        <v>23</v>
      </c>
      <c r="C214" t="str">
        <f t="shared" si="7"/>
        <v>OCTUBRE</v>
      </c>
      <c r="D214" s="20">
        <v>45588</v>
      </c>
      <c r="E214" t="s">
        <v>48</v>
      </c>
      <c r="F214" t="s">
        <v>736</v>
      </c>
      <c r="G214" t="s">
        <v>737</v>
      </c>
      <c r="H214" t="str">
        <f>_xlfn.XLOOKUP($G214,RazónMuerte!$A:$A,RazónMuerte!B:B,"",0)</f>
        <v>Otras / No especificada</v>
      </c>
      <c r="I214">
        <f>_xlfn.XLOOKUP($G214,RazónMuerte!$A:$A,RazónMuerte!C:C,"",0)</f>
        <v>0</v>
      </c>
      <c r="J214" t="str">
        <f>_xlfn.XLOOKUP($G214,RazónMuerte!$A:$A,RazónMuerte!D:D,"",0)</f>
        <v>No clasificado</v>
      </c>
    </row>
    <row r="215" spans="1:10" x14ac:dyDescent="0.25">
      <c r="A215" t="s">
        <v>738</v>
      </c>
      <c r="B215" t="str">
        <f t="shared" si="6"/>
        <v>25</v>
      </c>
      <c r="C215" t="str">
        <f t="shared" si="7"/>
        <v>OCTUBRE</v>
      </c>
      <c r="D215" s="20">
        <v>45590</v>
      </c>
      <c r="E215" t="s">
        <v>632</v>
      </c>
      <c r="F215" t="s">
        <v>739</v>
      </c>
      <c r="G215" t="s">
        <v>740</v>
      </c>
      <c r="H215" t="str">
        <f>_xlfn.XLOOKUP($G215,RazónMuerte!$A:$A,RazónMuerte!B:B,"",0)</f>
        <v>Fractura ósea</v>
      </c>
      <c r="I215" t="str">
        <f>_xlfn.XLOOKUP($G215,RazónMuerte!$A:$A,RazónMuerte!C:C,"",0)</f>
        <v>Slab</v>
      </c>
      <c r="J215" t="str">
        <f>_xlfn.XLOOKUP($G215,RazónMuerte!$A:$A,RazónMuerte!D:D,"",0)</f>
        <v>Fatal injury</v>
      </c>
    </row>
    <row r="216" spans="1:10" x14ac:dyDescent="0.25">
      <c r="A216" t="s">
        <v>741</v>
      </c>
      <c r="B216" t="str">
        <f t="shared" si="6"/>
        <v>28</v>
      </c>
      <c r="C216" t="str">
        <f t="shared" si="7"/>
        <v>OCTUBRE</v>
      </c>
      <c r="D216" s="20">
        <v>45593</v>
      </c>
      <c r="E216" t="s">
        <v>85</v>
      </c>
      <c r="F216" t="s">
        <v>742</v>
      </c>
      <c r="G216" t="s">
        <v>743</v>
      </c>
      <c r="H216" t="str">
        <f>_xlfn.XLOOKUP($G216,RazónMuerte!$A:$A,RazónMuerte!B:B,"",0)</f>
        <v>Otras / No especificada</v>
      </c>
      <c r="I216">
        <f>_xlfn.XLOOKUP($G216,RazónMuerte!$A:$A,RazónMuerte!C:C,"",0)</f>
        <v>0</v>
      </c>
      <c r="J216" t="str">
        <f>_xlfn.XLOOKUP($G216,RazónMuerte!$A:$A,RazónMuerte!D:D,"",0)</f>
        <v>No clasificado</v>
      </c>
    </row>
    <row r="217" spans="1:10" x14ac:dyDescent="0.25">
      <c r="A217" t="s">
        <v>744</v>
      </c>
      <c r="B217" t="str">
        <f t="shared" si="6"/>
        <v>4</v>
      </c>
      <c r="C217" t="str">
        <f t="shared" si="7"/>
        <v>NOVIEMBRE</v>
      </c>
      <c r="D217" s="20">
        <v>45600</v>
      </c>
      <c r="E217" t="s">
        <v>745</v>
      </c>
      <c r="F217" t="s">
        <v>746</v>
      </c>
      <c r="G217" t="s">
        <v>748</v>
      </c>
      <c r="H217" t="str">
        <f>_xlfn.XLOOKUP($G217,RazónMuerte!$A:$A,RazónMuerte!B:B,"",0)</f>
        <v>Fractura ósea</v>
      </c>
      <c r="I217" t="str">
        <f>_xlfn.XLOOKUP($G217,RazónMuerte!$A:$A,RazónMuerte!C:C,"",0)</f>
        <v>Fetlock</v>
      </c>
      <c r="J217" t="str">
        <f>_xlfn.XLOOKUP($G217,RazónMuerte!$A:$A,RazónMuerte!D:D,"",0)</f>
        <v>Fatal injury</v>
      </c>
    </row>
    <row r="218" spans="1:10" x14ac:dyDescent="0.25">
      <c r="A218" t="s">
        <v>744</v>
      </c>
      <c r="B218" t="str">
        <f t="shared" si="6"/>
        <v>4</v>
      </c>
      <c r="C218" t="str">
        <f t="shared" si="7"/>
        <v>NOVIEMBRE</v>
      </c>
      <c r="D218" s="20">
        <v>45600</v>
      </c>
      <c r="E218" t="s">
        <v>750</v>
      </c>
      <c r="F218" t="s">
        <v>749</v>
      </c>
      <c r="G218" t="s">
        <v>747</v>
      </c>
      <c r="H218" t="str">
        <f>_xlfn.XLOOKUP($G218,RazónMuerte!$A:$A,RazónMuerte!B:B,"",0)</f>
        <v>Otras / No especificada</v>
      </c>
      <c r="I218">
        <f>_xlfn.XLOOKUP($G218,RazónMuerte!$A:$A,RazónMuerte!C:C,"",0)</f>
        <v>0</v>
      </c>
      <c r="J218" t="str">
        <f>_xlfn.XLOOKUP($G218,RazónMuerte!$A:$A,RazónMuerte!D:D,"",0)</f>
        <v>Fatal injury</v>
      </c>
    </row>
    <row r="219" spans="1:10" x14ac:dyDescent="0.25">
      <c r="A219" t="s">
        <v>744</v>
      </c>
      <c r="B219" t="str">
        <f t="shared" si="6"/>
        <v>4</v>
      </c>
      <c r="C219" t="str">
        <f t="shared" si="7"/>
        <v>NOVIEMBRE</v>
      </c>
      <c r="D219" s="20">
        <v>45600</v>
      </c>
      <c r="E219" t="s">
        <v>187</v>
      </c>
      <c r="F219" t="s">
        <v>751</v>
      </c>
      <c r="G219" t="s">
        <v>752</v>
      </c>
      <c r="H219" t="str">
        <f>_xlfn.XLOOKUP($G219,RazónMuerte!$A:$A,RazónMuerte!B:B,"",0)</f>
        <v>Enfermedad degenerativa articular</v>
      </c>
      <c r="I219">
        <f>_xlfn.XLOOKUP($G219,RazónMuerte!$A:$A,RazónMuerte!C:C,"",0)</f>
        <v>0</v>
      </c>
      <c r="J219" t="str">
        <f>_xlfn.XLOOKUP($G219,RazónMuerte!$A:$A,RazónMuerte!D:D,"",0)</f>
        <v>Fatal injury</v>
      </c>
    </row>
    <row r="220" spans="1:10" x14ac:dyDescent="0.25">
      <c r="A220" t="s">
        <v>753</v>
      </c>
      <c r="B220" t="str">
        <f t="shared" si="6"/>
        <v>5</v>
      </c>
      <c r="C220" t="str">
        <f t="shared" si="7"/>
        <v>NOVIEMBRE</v>
      </c>
      <c r="D220" s="20">
        <v>45601</v>
      </c>
      <c r="E220" t="s">
        <v>607</v>
      </c>
      <c r="F220" t="s">
        <v>754</v>
      </c>
      <c r="G220" t="s">
        <v>755</v>
      </c>
      <c r="H220" t="str">
        <f>_xlfn.XLOOKUP($G220,RazónMuerte!$A:$A,RazónMuerte!B:B,"",0)</f>
        <v>Fractura ósea</v>
      </c>
      <c r="I220" t="str">
        <f>_xlfn.XLOOKUP($G220,RazónMuerte!$A:$A,RazónMuerte!C:C,"",0)</f>
        <v>Rodilla / Carpal</v>
      </c>
      <c r="J220" t="str">
        <f>_xlfn.XLOOKUP($G220,RazónMuerte!$A:$A,RazónMuerte!D:D,"",0)</f>
        <v>Fatal injury</v>
      </c>
    </row>
    <row r="221" spans="1:10" x14ac:dyDescent="0.25">
      <c r="A221" t="s">
        <v>762</v>
      </c>
      <c r="B221" t="str">
        <f t="shared" si="6"/>
        <v>9</v>
      </c>
      <c r="C221" t="str">
        <f t="shared" si="7"/>
        <v>NOVIEMBRE</v>
      </c>
      <c r="D221" s="20">
        <v>45605</v>
      </c>
      <c r="E221" t="s">
        <v>45</v>
      </c>
      <c r="F221" t="s">
        <v>763</v>
      </c>
      <c r="G221" t="s">
        <v>766</v>
      </c>
      <c r="H221" t="str">
        <f>_xlfn.XLOOKUP($G221,RazónMuerte!$A:$A,RazónMuerte!B:B,"",0)</f>
        <v>Otras / No especificada</v>
      </c>
      <c r="I221">
        <f>_xlfn.XLOOKUP($G221,RazónMuerte!$A:$A,RazónMuerte!C:C,"",0)</f>
        <v>0</v>
      </c>
      <c r="J221" t="str">
        <f>_xlfn.XLOOKUP($G221,RazónMuerte!$A:$A,RazónMuerte!D:D,"",0)</f>
        <v>No clasificado</v>
      </c>
    </row>
    <row r="222" spans="1:10" x14ac:dyDescent="0.25">
      <c r="A222" t="s">
        <v>764</v>
      </c>
      <c r="B222" t="str">
        <f t="shared" si="6"/>
        <v>10</v>
      </c>
      <c r="C222" t="str">
        <f t="shared" si="7"/>
        <v>NOVIEMBRE</v>
      </c>
      <c r="D222" s="20">
        <v>45606</v>
      </c>
      <c r="E222" t="s">
        <v>11</v>
      </c>
      <c r="F222" t="s">
        <v>765</v>
      </c>
      <c r="G222" t="s">
        <v>767</v>
      </c>
      <c r="H222" t="str">
        <f>_xlfn.XLOOKUP($G222,RazónMuerte!$A:$A,RazónMuerte!B:B,"",0)</f>
        <v>Otras / No especificada</v>
      </c>
      <c r="I222">
        <f>_xlfn.XLOOKUP($G222,RazónMuerte!$A:$A,RazónMuerte!C:C,"",0)</f>
        <v>0</v>
      </c>
      <c r="J222" t="str">
        <f>_xlfn.XLOOKUP($G222,RazónMuerte!$A:$A,RazónMuerte!D:D,"",0)</f>
        <v>No clasificado</v>
      </c>
    </row>
    <row r="223" spans="1:10" x14ac:dyDescent="0.25">
      <c r="A223" t="s">
        <v>756</v>
      </c>
      <c r="B223" t="str">
        <f t="shared" si="6"/>
        <v>11</v>
      </c>
      <c r="C223" t="str">
        <f t="shared" si="7"/>
        <v>NOVIEMBRE</v>
      </c>
      <c r="D223" s="20">
        <v>45607</v>
      </c>
      <c r="E223" t="s">
        <v>66</v>
      </c>
      <c r="F223" t="s">
        <v>760</v>
      </c>
      <c r="G223" t="s">
        <v>761</v>
      </c>
      <c r="H223" t="str">
        <f>_xlfn.XLOOKUP($G223,RazónMuerte!$A:$A,RazónMuerte!B:B,"",0)</f>
        <v>Otras / No especificada</v>
      </c>
      <c r="I223">
        <f>_xlfn.XLOOKUP($G223,RazónMuerte!$A:$A,RazónMuerte!C:C,"",0)</f>
        <v>0</v>
      </c>
      <c r="J223" t="str">
        <f>_xlfn.XLOOKUP($G223,RazónMuerte!$A:$A,RazónMuerte!D:D,"",0)</f>
        <v>No clasificado</v>
      </c>
    </row>
    <row r="224" spans="1:10" x14ac:dyDescent="0.25">
      <c r="A224" t="s">
        <v>756</v>
      </c>
      <c r="B224" t="str">
        <f t="shared" si="6"/>
        <v>11</v>
      </c>
      <c r="C224" t="str">
        <f t="shared" si="7"/>
        <v>NOVIEMBRE</v>
      </c>
      <c r="D224" s="20">
        <v>45607</v>
      </c>
      <c r="E224" t="s">
        <v>757</v>
      </c>
      <c r="F224" t="s">
        <v>758</v>
      </c>
      <c r="G224" t="s">
        <v>759</v>
      </c>
      <c r="H224" t="str">
        <f>_xlfn.XLOOKUP($G224,RazónMuerte!$A:$A,RazónMuerte!B:B,"",0)</f>
        <v>Enfermedad degenerativa articular</v>
      </c>
      <c r="I224">
        <f>_xlfn.XLOOKUP($G224,RazónMuerte!$A:$A,RazónMuerte!C:C,"",0)</f>
        <v>0</v>
      </c>
      <c r="J224" t="str">
        <f>_xlfn.XLOOKUP($G224,RazónMuerte!$A:$A,RazónMuerte!D:D,"",0)</f>
        <v>Fatal injury</v>
      </c>
    </row>
    <row r="225" spans="1:10" x14ac:dyDescent="0.25">
      <c r="A225" t="s">
        <v>756</v>
      </c>
      <c r="B225" t="str">
        <f t="shared" si="6"/>
        <v>11</v>
      </c>
      <c r="C225" t="str">
        <f t="shared" si="7"/>
        <v>NOVIEMBRE</v>
      </c>
      <c r="D225" s="20">
        <v>45607</v>
      </c>
      <c r="E225" t="s">
        <v>769</v>
      </c>
      <c r="F225" t="s">
        <v>770</v>
      </c>
      <c r="G225" t="s">
        <v>771</v>
      </c>
      <c r="H225" t="str">
        <f>_xlfn.XLOOKUP($G225,RazónMuerte!$A:$A,RazónMuerte!B:B,"",0)</f>
        <v>Fractura ósea</v>
      </c>
      <c r="I225" t="str">
        <f>_xlfn.XLOOKUP($G225,RazónMuerte!$A:$A,RazónMuerte!C:C,"",0)</f>
        <v>Rodilla / Carpal</v>
      </c>
      <c r="J225" t="str">
        <f>_xlfn.XLOOKUP($G225,RazónMuerte!$A:$A,RazónMuerte!D:D,"",0)</f>
        <v>Fatal injury</v>
      </c>
    </row>
    <row r="226" spans="1:10" x14ac:dyDescent="0.25">
      <c r="A226" t="s">
        <v>768</v>
      </c>
      <c r="B226" t="str">
        <f t="shared" si="6"/>
        <v>12</v>
      </c>
      <c r="C226" t="str">
        <f t="shared" si="7"/>
        <v>NOVIEMBRE</v>
      </c>
      <c r="D226" s="20">
        <v>45608</v>
      </c>
      <c r="E226" t="s">
        <v>7</v>
      </c>
      <c r="F226" t="s">
        <v>772</v>
      </c>
      <c r="G226" t="s">
        <v>773</v>
      </c>
      <c r="H226" t="str">
        <f>_xlfn.XLOOKUP($G226,RazónMuerte!$A:$A,RazónMuerte!B:B,"",0)</f>
        <v>Fractura ósea</v>
      </c>
      <c r="I226" t="str">
        <f>_xlfn.XLOOKUP($G226,RazónMuerte!$A:$A,RazónMuerte!C:C,"",0)</f>
        <v>Slab</v>
      </c>
      <c r="J226" t="str">
        <f>_xlfn.XLOOKUP($G226,RazónMuerte!$A:$A,RazónMuerte!D:D,"",0)</f>
        <v>Fatal injury</v>
      </c>
    </row>
    <row r="227" spans="1:10" x14ac:dyDescent="0.25">
      <c r="A227" t="s">
        <v>774</v>
      </c>
      <c r="B227" t="str">
        <f t="shared" si="6"/>
        <v>16</v>
      </c>
      <c r="C227" t="str">
        <f t="shared" si="7"/>
        <v>NOVIEMBRE</v>
      </c>
      <c r="D227" s="20">
        <v>45612</v>
      </c>
      <c r="E227" t="s">
        <v>92</v>
      </c>
      <c r="F227" t="s">
        <v>775</v>
      </c>
      <c r="G227" t="s">
        <v>776</v>
      </c>
      <c r="H227" t="str">
        <f>_xlfn.XLOOKUP($G227,RazónMuerte!$A:$A,RazónMuerte!B:B,"",0)</f>
        <v>Fractura ósea</v>
      </c>
      <c r="I227" t="str">
        <f>_xlfn.XLOOKUP($G227,RazónMuerte!$A:$A,RazónMuerte!C:C,"",0)</f>
        <v>No especificado</v>
      </c>
      <c r="J227" t="str">
        <f>_xlfn.XLOOKUP($G227,RazónMuerte!$A:$A,RazónMuerte!D:D,"",0)</f>
        <v>Fatal injury</v>
      </c>
    </row>
    <row r="228" spans="1:10" x14ac:dyDescent="0.25">
      <c r="A228" t="s">
        <v>774</v>
      </c>
      <c r="B228" t="str">
        <f t="shared" si="6"/>
        <v>16</v>
      </c>
      <c r="C228" t="str">
        <f t="shared" si="7"/>
        <v>NOVIEMBRE</v>
      </c>
      <c r="D228" s="20">
        <v>45612</v>
      </c>
      <c r="E228" t="s">
        <v>74</v>
      </c>
      <c r="F228" t="s">
        <v>777</v>
      </c>
      <c r="G228" t="s">
        <v>78</v>
      </c>
      <c r="H228" t="str">
        <f>_xlfn.XLOOKUP($G228,RazónMuerte!$A:$A,RazónMuerte!B:B,"",0)</f>
        <v>Fractura ósea</v>
      </c>
      <c r="I228" t="str">
        <f>_xlfn.XLOOKUP($G228,RazónMuerte!$A:$A,RazónMuerte!C:C,"",0)</f>
        <v>Rodilla / Carpal</v>
      </c>
      <c r="J228" t="str">
        <f>_xlfn.XLOOKUP($G228,RazónMuerte!$A:$A,RazónMuerte!D:D,"",0)</f>
        <v>Fatal injury</v>
      </c>
    </row>
    <row r="229" spans="1:10" x14ac:dyDescent="0.25">
      <c r="A229" t="s">
        <v>774</v>
      </c>
      <c r="B229" t="str">
        <f t="shared" si="6"/>
        <v>16</v>
      </c>
      <c r="C229" t="str">
        <f t="shared" si="7"/>
        <v>NOVIEMBRE</v>
      </c>
      <c r="D229" s="20">
        <v>45612</v>
      </c>
      <c r="E229" t="s">
        <v>778</v>
      </c>
      <c r="F229" t="s">
        <v>779</v>
      </c>
      <c r="G229" t="s">
        <v>780</v>
      </c>
      <c r="H229" t="str">
        <f>_xlfn.XLOOKUP($G229,RazónMuerte!$A:$A,RazónMuerte!B:B,"",0)</f>
        <v>Otras / No especificada</v>
      </c>
      <c r="I229">
        <f>_xlfn.XLOOKUP($G229,RazónMuerte!$A:$A,RazónMuerte!C:C,"",0)</f>
        <v>0</v>
      </c>
      <c r="J229" t="str">
        <f>_xlfn.XLOOKUP($G229,RazónMuerte!$A:$A,RazónMuerte!D:D,"",0)</f>
        <v>No fatal injury (chronic/medical)</v>
      </c>
    </row>
    <row r="230" spans="1:10" x14ac:dyDescent="0.25">
      <c r="A230" t="s">
        <v>783</v>
      </c>
      <c r="B230" t="str">
        <f t="shared" si="6"/>
        <v>18</v>
      </c>
      <c r="C230" t="str">
        <f t="shared" si="7"/>
        <v>NOVIEMBRE</v>
      </c>
      <c r="D230" s="20">
        <v>45614</v>
      </c>
      <c r="E230" t="s">
        <v>318</v>
      </c>
      <c r="F230" t="s">
        <v>782</v>
      </c>
      <c r="G230" t="s">
        <v>781</v>
      </c>
      <c r="H230" t="str">
        <f>_xlfn.XLOOKUP($G230,RazónMuerte!$A:$A,RazónMuerte!B:B,"",0)</f>
        <v>Lesión de ligamentos/tendones</v>
      </c>
      <c r="I230">
        <f>_xlfn.XLOOKUP($G230,RazónMuerte!$A:$A,RazónMuerte!C:C,"",0)</f>
        <v>0</v>
      </c>
      <c r="J230" t="str">
        <f>_xlfn.XLOOKUP($G230,RazónMuerte!$A:$A,RazónMuerte!D:D,"",0)</f>
        <v>No fatal injury (chronic/medical)</v>
      </c>
    </row>
    <row r="231" spans="1:10" x14ac:dyDescent="0.25">
      <c r="A231" t="s">
        <v>794</v>
      </c>
      <c r="B231" t="str">
        <f t="shared" si="6"/>
        <v>2</v>
      </c>
      <c r="C231" t="str">
        <f t="shared" si="7"/>
        <v>DICIEMBRE</v>
      </c>
      <c r="D231" s="20">
        <v>45628</v>
      </c>
      <c r="E231" t="s">
        <v>31</v>
      </c>
      <c r="F231" t="s">
        <v>795</v>
      </c>
      <c r="G231" t="s">
        <v>796</v>
      </c>
      <c r="H231" t="str">
        <f>_xlfn.XLOOKUP($G231,RazónMuerte!$A:$A,RazónMuerte!B:B,"",0)</f>
        <v>Fractura ósea</v>
      </c>
      <c r="I231" t="str">
        <f>_xlfn.XLOOKUP($G231,RazónMuerte!$A:$A,RazónMuerte!C:C,"",0)</f>
        <v>Rodilla / Carpal</v>
      </c>
      <c r="J231" t="str">
        <f>_xlfn.XLOOKUP($G231,RazónMuerte!$A:$A,RazónMuerte!D:D,"",0)</f>
        <v>Fatal injury</v>
      </c>
    </row>
    <row r="232" spans="1:10" x14ac:dyDescent="0.25">
      <c r="A232" t="s">
        <v>797</v>
      </c>
      <c r="B232" t="str">
        <f t="shared" si="6"/>
        <v>3</v>
      </c>
      <c r="C232" t="str">
        <f t="shared" si="7"/>
        <v>DICIEMBRE</v>
      </c>
      <c r="D232" s="20">
        <v>45629</v>
      </c>
      <c r="E232" t="s">
        <v>15</v>
      </c>
      <c r="F232" t="s">
        <v>798</v>
      </c>
      <c r="G232" t="s">
        <v>799</v>
      </c>
      <c r="H232" t="str">
        <f>_xlfn.XLOOKUP($G232,RazónMuerte!$A:$A,RazónMuerte!B:B,"",0)</f>
        <v>Fractura ósea</v>
      </c>
      <c r="I232" t="str">
        <f>_xlfn.XLOOKUP($G232,RazónMuerte!$A:$A,RazónMuerte!C:C,"",0)</f>
        <v>Splint</v>
      </c>
      <c r="J232" t="str">
        <f>_xlfn.XLOOKUP($G232,RazónMuerte!$A:$A,RazónMuerte!D:D,"",0)</f>
        <v>Fatal injury</v>
      </c>
    </row>
    <row r="233" spans="1:10" x14ac:dyDescent="0.25">
      <c r="A233" t="s">
        <v>802</v>
      </c>
      <c r="B233" t="str">
        <f t="shared" si="6"/>
        <v>7</v>
      </c>
      <c r="C233" t="str">
        <f t="shared" si="7"/>
        <v>DICIEMBRE</v>
      </c>
      <c r="D233" s="20">
        <v>45633</v>
      </c>
      <c r="E233" t="s">
        <v>45</v>
      </c>
      <c r="F233" t="s">
        <v>801</v>
      </c>
      <c r="G233" t="s">
        <v>800</v>
      </c>
      <c r="H233" t="str">
        <f>_xlfn.XLOOKUP($G233,RazónMuerte!$A:$A,RazónMuerte!B:B,"",0)</f>
        <v>Fractura ósea</v>
      </c>
      <c r="I233" t="str">
        <f>_xlfn.XLOOKUP($G233,RazónMuerte!$A:$A,RazónMuerte!C:C,"",0)</f>
        <v>No especificado</v>
      </c>
      <c r="J233" t="str">
        <f>_xlfn.XLOOKUP($G233,RazónMuerte!$A:$A,RazónMuerte!D:D,"",0)</f>
        <v>Fatal injury</v>
      </c>
    </row>
    <row r="234" spans="1:10" x14ac:dyDescent="0.25">
      <c r="A234" t="s">
        <v>803</v>
      </c>
      <c r="B234" t="str">
        <f t="shared" si="6"/>
        <v>8</v>
      </c>
      <c r="C234" t="str">
        <f t="shared" si="7"/>
        <v>DICIEMBRE</v>
      </c>
      <c r="D234" s="20">
        <v>45634</v>
      </c>
      <c r="E234" t="s">
        <v>43</v>
      </c>
      <c r="F234" t="s">
        <v>804</v>
      </c>
      <c r="G234" t="s">
        <v>54</v>
      </c>
      <c r="H234" t="str">
        <f>_xlfn.XLOOKUP($G234,RazónMuerte!$A:$A,RazónMuerte!B:B,"",0)</f>
        <v>Fractura ósea</v>
      </c>
      <c r="I234" t="str">
        <f>_xlfn.XLOOKUP($G234,RazónMuerte!$A:$A,RazónMuerte!C:C,"",0)</f>
        <v>Rodilla / Carpal</v>
      </c>
      <c r="J234" t="str">
        <f>_xlfn.XLOOKUP($G234,RazónMuerte!$A:$A,RazónMuerte!D:D,"",0)</f>
        <v>Fatal injury</v>
      </c>
    </row>
    <row r="235" spans="1:10" x14ac:dyDescent="0.25">
      <c r="A235" t="s">
        <v>807</v>
      </c>
      <c r="B235" t="str">
        <f t="shared" si="6"/>
        <v>11</v>
      </c>
      <c r="C235" t="str">
        <f t="shared" si="7"/>
        <v>DICIEMBRE</v>
      </c>
      <c r="D235" s="20">
        <v>45637</v>
      </c>
      <c r="E235" t="s">
        <v>43</v>
      </c>
      <c r="F235" t="s">
        <v>808</v>
      </c>
      <c r="G235" t="s">
        <v>809</v>
      </c>
      <c r="H235" t="str">
        <f>_xlfn.XLOOKUP($G235,RazónMuerte!$A:$A,RazónMuerte!B:B,"",0)</f>
        <v>Fractura ósea</v>
      </c>
      <c r="I235" t="str">
        <f>_xlfn.XLOOKUP($G235,RazónMuerte!$A:$A,RazónMuerte!C:C,"",0)</f>
        <v>Caña / Cannon bone</v>
      </c>
      <c r="J235" t="str">
        <f>_xlfn.XLOOKUP($G235,RazónMuerte!$A:$A,RazónMuerte!D:D,"",0)</f>
        <v>Fatal injury</v>
      </c>
    </row>
    <row r="236" spans="1:10" x14ac:dyDescent="0.25">
      <c r="A236" t="s">
        <v>807</v>
      </c>
      <c r="B236" t="str">
        <f t="shared" si="6"/>
        <v>11</v>
      </c>
      <c r="C236" t="str">
        <f t="shared" si="7"/>
        <v>DICIEMBRE</v>
      </c>
      <c r="D236" s="20">
        <v>45637</v>
      </c>
      <c r="E236" t="s">
        <v>812</v>
      </c>
      <c r="F236" t="s">
        <v>811</v>
      </c>
      <c r="G236" t="s">
        <v>810</v>
      </c>
      <c r="H236" t="str">
        <f>_xlfn.XLOOKUP($G236,RazónMuerte!$A:$A,RazónMuerte!B:B,"",0)</f>
        <v>Fractura ósea</v>
      </c>
      <c r="I236" t="str">
        <f>_xlfn.XLOOKUP($G236,RazónMuerte!$A:$A,RazónMuerte!C:C,"",0)</f>
        <v>No especificado</v>
      </c>
      <c r="J236" t="str">
        <f>_xlfn.XLOOKUP($G236,RazónMuerte!$A:$A,RazónMuerte!D:D,"",0)</f>
        <v>Fatal injury</v>
      </c>
    </row>
    <row r="237" spans="1:10" x14ac:dyDescent="0.25">
      <c r="A237" t="s">
        <v>807</v>
      </c>
      <c r="B237" t="str">
        <f t="shared" si="6"/>
        <v>11</v>
      </c>
      <c r="C237" t="str">
        <f t="shared" si="7"/>
        <v>DICIEMBRE</v>
      </c>
      <c r="D237" s="20">
        <v>45637</v>
      </c>
      <c r="E237" t="s">
        <v>52</v>
      </c>
      <c r="F237" t="s">
        <v>813</v>
      </c>
      <c r="G237" t="s">
        <v>87</v>
      </c>
      <c r="H237" t="str">
        <f>_xlfn.XLOOKUP($G237,RazónMuerte!$A:$A,RazónMuerte!B:B,"",0)</f>
        <v>Otras / No especificada</v>
      </c>
      <c r="I237">
        <f>_xlfn.XLOOKUP($G237,RazónMuerte!$A:$A,RazónMuerte!C:C,"",0)</f>
        <v>0</v>
      </c>
      <c r="J237" t="str">
        <f>_xlfn.XLOOKUP($G237,RazónMuerte!$A:$A,RazónMuerte!D:D,"",0)</f>
        <v>No clasificado</v>
      </c>
    </row>
    <row r="238" spans="1:10" x14ac:dyDescent="0.25">
      <c r="A238" t="s">
        <v>816</v>
      </c>
      <c r="B238" t="str">
        <f t="shared" si="6"/>
        <v>13</v>
      </c>
      <c r="C238" t="str">
        <f t="shared" si="7"/>
        <v>DICIEMBRE</v>
      </c>
      <c r="D238" s="20">
        <v>45639</v>
      </c>
      <c r="E238" t="s">
        <v>815</v>
      </c>
      <c r="F238" t="s">
        <v>814</v>
      </c>
      <c r="G238" t="s">
        <v>91</v>
      </c>
      <c r="H238" t="str">
        <f>_xlfn.XLOOKUP($G238,RazónMuerte!$A:$A,RazónMuerte!B:B,"",0)</f>
        <v>Fractura ósea</v>
      </c>
      <c r="I238" t="str">
        <f>_xlfn.XLOOKUP($G238,RazónMuerte!$A:$A,RazónMuerte!C:C,"",0)</f>
        <v>Sesamoideo</v>
      </c>
      <c r="J238" t="str">
        <f>_xlfn.XLOOKUP($G238,RazónMuerte!$A:$A,RazónMuerte!D:D,"",0)</f>
        <v>Fatal injury</v>
      </c>
    </row>
    <row r="239" spans="1:10" x14ac:dyDescent="0.25">
      <c r="A239" t="s">
        <v>817</v>
      </c>
      <c r="B239" t="str">
        <f t="shared" si="6"/>
        <v>14</v>
      </c>
      <c r="C239" t="str">
        <f t="shared" si="7"/>
        <v>DICIEMBRE</v>
      </c>
      <c r="D239" s="20">
        <v>45640</v>
      </c>
      <c r="E239" t="s">
        <v>389</v>
      </c>
      <c r="F239" t="s">
        <v>818</v>
      </c>
      <c r="G239" t="s">
        <v>819</v>
      </c>
      <c r="H239" t="str">
        <f>_xlfn.XLOOKUP($G239,RazónMuerte!$A:$A,RazónMuerte!B:B,"",0)</f>
        <v>Lesión de ligamentos/tendones</v>
      </c>
      <c r="I239">
        <f>_xlfn.XLOOKUP($G239,RazónMuerte!$A:$A,RazónMuerte!C:C,"",0)</f>
        <v>0</v>
      </c>
      <c r="J239" t="str">
        <f>_xlfn.XLOOKUP($G239,RazónMuerte!$A:$A,RazónMuerte!D:D,"",0)</f>
        <v>No fatal injury (chronic/medical)</v>
      </c>
    </row>
    <row r="240" spans="1:10" x14ac:dyDescent="0.25">
      <c r="A240" t="s">
        <v>821</v>
      </c>
      <c r="B240" t="str">
        <f t="shared" si="6"/>
        <v>16</v>
      </c>
      <c r="C240" t="str">
        <f t="shared" si="7"/>
        <v>DICIEMBRE</v>
      </c>
      <c r="D240" s="20">
        <v>45642</v>
      </c>
      <c r="E240" t="s">
        <v>85</v>
      </c>
      <c r="F240" t="s">
        <v>820</v>
      </c>
      <c r="G240" t="s">
        <v>228</v>
      </c>
      <c r="H240" t="str">
        <f>_xlfn.XLOOKUP($G240,RazónMuerte!$A:$A,RazónMuerte!B:B,"",0)</f>
        <v>Enfermedad degenerativa articular</v>
      </c>
      <c r="I240">
        <f>_xlfn.XLOOKUP($G240,RazónMuerte!$A:$A,RazónMuerte!C:C,"",0)</f>
        <v>0</v>
      </c>
      <c r="J240" t="str">
        <f>_xlfn.XLOOKUP($G240,RazónMuerte!$A:$A,RazónMuerte!D:D,"",0)</f>
        <v>Fatal injury</v>
      </c>
    </row>
    <row r="241" spans="1:10" x14ac:dyDescent="0.25">
      <c r="A241" t="s">
        <v>822</v>
      </c>
      <c r="B241" t="str">
        <f t="shared" si="6"/>
        <v>20</v>
      </c>
      <c r="C241" t="str">
        <f t="shared" si="7"/>
        <v>DICIEMBRE</v>
      </c>
      <c r="D241" s="20">
        <v>45646</v>
      </c>
      <c r="E241" t="s">
        <v>98</v>
      </c>
      <c r="F241" t="s">
        <v>823</v>
      </c>
      <c r="G241" t="s">
        <v>653</v>
      </c>
      <c r="H241" t="str">
        <f>_xlfn.XLOOKUP($G241,RazónMuerte!$A:$A,RazónMuerte!B:B,"",0)</f>
        <v>Otras / No especificada</v>
      </c>
      <c r="I241">
        <f>_xlfn.XLOOKUP($G241,RazónMuerte!$A:$A,RazónMuerte!C:C,"",0)</f>
        <v>0</v>
      </c>
      <c r="J241" t="str">
        <f>_xlfn.XLOOKUP($G241,RazónMuerte!$A:$A,RazónMuerte!D:D,"",0)</f>
        <v>No clasificado</v>
      </c>
    </row>
    <row r="242" spans="1:10" x14ac:dyDescent="0.25">
      <c r="A242" t="s">
        <v>826</v>
      </c>
      <c r="B242" t="str">
        <f t="shared" si="6"/>
        <v>21</v>
      </c>
      <c r="C242" t="str">
        <f t="shared" si="7"/>
        <v>DICIEMBRE</v>
      </c>
      <c r="D242" s="20">
        <v>45647</v>
      </c>
      <c r="E242" t="s">
        <v>66</v>
      </c>
      <c r="F242" t="s">
        <v>825</v>
      </c>
      <c r="G242" t="s">
        <v>824</v>
      </c>
      <c r="H242" t="str">
        <f>_xlfn.XLOOKUP($G242,RazónMuerte!$A:$A,RazónMuerte!B:B,"",0)</f>
        <v>Otras / No especificada</v>
      </c>
      <c r="I242">
        <f>_xlfn.XLOOKUP($G242,RazónMuerte!$A:$A,RazónMuerte!C:C,"",0)</f>
        <v>0</v>
      </c>
      <c r="J242" t="str">
        <f>_xlfn.XLOOKUP($G242,RazónMuerte!$A:$A,RazónMuerte!D:D,"",0)</f>
        <v>Fatal injury</v>
      </c>
    </row>
    <row r="243" spans="1:10" x14ac:dyDescent="0.25">
      <c r="A243" t="s">
        <v>827</v>
      </c>
      <c r="B243" t="str">
        <f t="shared" si="6"/>
        <v>23</v>
      </c>
      <c r="C243" t="str">
        <f t="shared" si="7"/>
        <v>DICIEMBRE</v>
      </c>
      <c r="D243" s="20">
        <v>45649</v>
      </c>
      <c r="E243" t="s">
        <v>589</v>
      </c>
      <c r="F243" t="s">
        <v>828</v>
      </c>
      <c r="G243" t="s">
        <v>829</v>
      </c>
      <c r="H243" t="str">
        <f>_xlfn.XLOOKUP($G243,RazónMuerte!$A:$A,RazónMuerte!B:B,"",0)</f>
        <v>Lesión de ligamentos/tendones</v>
      </c>
      <c r="I243">
        <f>_xlfn.XLOOKUP($G243,RazónMuerte!$A:$A,RazónMuerte!C:C,"",0)</f>
        <v>0</v>
      </c>
      <c r="J243" t="str">
        <f>_xlfn.XLOOKUP($G243,RazónMuerte!$A:$A,RazónMuerte!D:D,"",0)</f>
        <v>No fatal injury (chronic/medical)</v>
      </c>
    </row>
    <row r="244" spans="1:10" x14ac:dyDescent="0.25">
      <c r="A244" t="s">
        <v>827</v>
      </c>
      <c r="B244" t="str">
        <f t="shared" si="6"/>
        <v>23</v>
      </c>
      <c r="C244" t="str">
        <f t="shared" si="7"/>
        <v>DICIEMBRE</v>
      </c>
      <c r="D244" s="20">
        <v>45649</v>
      </c>
      <c r="E244" t="s">
        <v>597</v>
      </c>
      <c r="F244" t="s">
        <v>831</v>
      </c>
      <c r="G244" t="s">
        <v>830</v>
      </c>
      <c r="H244" t="str">
        <f>_xlfn.XLOOKUP($G244,RazónMuerte!$A:$A,RazónMuerte!B:B,"",0)</f>
        <v>Fractura ósea</v>
      </c>
      <c r="I244" t="str">
        <f>_xlfn.XLOOKUP($G244,RazónMuerte!$A:$A,RazónMuerte!C:C,"",0)</f>
        <v>No especificado</v>
      </c>
      <c r="J244" t="str">
        <f>_xlfn.XLOOKUP($G244,RazónMuerte!$A:$A,RazónMuerte!D:D,"",0)</f>
        <v>Fatal injury</v>
      </c>
    </row>
    <row r="245" spans="1:10" x14ac:dyDescent="0.25">
      <c r="A245" t="s">
        <v>827</v>
      </c>
      <c r="B245" t="str">
        <f t="shared" si="6"/>
        <v>23</v>
      </c>
      <c r="C245" t="str">
        <f t="shared" si="7"/>
        <v>DICIEMBRE</v>
      </c>
      <c r="D245" s="20">
        <v>45649</v>
      </c>
      <c r="E245" t="s">
        <v>832</v>
      </c>
      <c r="F245" t="s">
        <v>833</v>
      </c>
      <c r="G245" t="s">
        <v>834</v>
      </c>
      <c r="H245" t="str">
        <f>_xlfn.XLOOKUP($G245,RazónMuerte!$A:$A,RazónMuerte!B:B,"",0)</f>
        <v>Fractura ósea</v>
      </c>
      <c r="I245" t="str">
        <f>_xlfn.XLOOKUP($G245,RazónMuerte!$A:$A,RazónMuerte!C:C,"",0)</f>
        <v>Caña / Cannon bone</v>
      </c>
      <c r="J245" t="str">
        <f>_xlfn.XLOOKUP($G245,RazónMuerte!$A:$A,RazónMuerte!D:D,"",0)</f>
        <v>Fatal injury</v>
      </c>
    </row>
    <row r="246" spans="1:10" x14ac:dyDescent="0.25">
      <c r="A246" t="s">
        <v>838</v>
      </c>
      <c r="B246" t="str">
        <f t="shared" si="6"/>
        <v>27</v>
      </c>
      <c r="C246" t="str">
        <f t="shared" si="7"/>
        <v>DICIEMBRE</v>
      </c>
      <c r="D246" s="20">
        <v>45653</v>
      </c>
      <c r="E246" t="s">
        <v>837</v>
      </c>
      <c r="F246" t="s">
        <v>836</v>
      </c>
      <c r="G246" t="s">
        <v>835</v>
      </c>
      <c r="H246" t="str">
        <f>_xlfn.XLOOKUP($G246,RazónMuerte!$A:$A,RazónMuerte!B:B,"",0)</f>
        <v>Fractura ósea</v>
      </c>
      <c r="I246" t="str">
        <f>_xlfn.XLOOKUP($G246,RazónMuerte!$A:$A,RazónMuerte!C:C,"",0)</f>
        <v>No especificado</v>
      </c>
      <c r="J246" t="str">
        <f>_xlfn.XLOOKUP($G246,RazónMuerte!$A:$A,RazónMuerte!D:D,"",0)</f>
        <v>Fatal injury</v>
      </c>
    </row>
    <row r="247" spans="1:10" x14ac:dyDescent="0.25">
      <c r="A247" t="s">
        <v>839</v>
      </c>
      <c r="B247" t="str">
        <f t="shared" si="6"/>
        <v>28</v>
      </c>
      <c r="C247" t="str">
        <f t="shared" si="7"/>
        <v>DICIEMBRE</v>
      </c>
      <c r="D247" s="20">
        <v>45654</v>
      </c>
      <c r="E247" t="s">
        <v>840</v>
      </c>
      <c r="F247" t="s">
        <v>841</v>
      </c>
      <c r="G247" t="s">
        <v>842</v>
      </c>
      <c r="H247" t="str">
        <f>_xlfn.XLOOKUP($G247,RazónMuerte!$A:$A,RazónMuerte!B:B,"",0)</f>
        <v>Fractura ósea</v>
      </c>
      <c r="I247" t="str">
        <f>_xlfn.XLOOKUP($G247,RazónMuerte!$A:$A,RazónMuerte!C:C,"",0)</f>
        <v>Rodilla / Carpal</v>
      </c>
      <c r="J247" t="str">
        <f>_xlfn.XLOOKUP($G247,RazónMuerte!$A:$A,RazónMuerte!D:D,"",0)</f>
        <v>Fatal injury</v>
      </c>
    </row>
    <row r="248" spans="1:10" x14ac:dyDescent="0.25">
      <c r="A248" t="s">
        <v>844</v>
      </c>
      <c r="B248" t="str">
        <f t="shared" si="6"/>
        <v>30</v>
      </c>
      <c r="C248" t="str">
        <f t="shared" si="7"/>
        <v>DICIEMBRE</v>
      </c>
      <c r="D248" s="20">
        <v>45656</v>
      </c>
      <c r="E248" t="s">
        <v>812</v>
      </c>
      <c r="F248" t="s">
        <v>843</v>
      </c>
      <c r="G248" t="s">
        <v>54</v>
      </c>
      <c r="H248" t="str">
        <f>_xlfn.XLOOKUP($G248,RazónMuerte!$A:$A,RazónMuerte!B:B,"",0)</f>
        <v>Fractura ósea</v>
      </c>
      <c r="I248" t="str">
        <f>_xlfn.XLOOKUP($G248,RazónMuerte!$A:$A,RazónMuerte!C:C,"",0)</f>
        <v>Rodilla / Carpal</v>
      </c>
      <c r="J248" t="str">
        <f>_xlfn.XLOOKUP($G248,RazónMuerte!$A:$A,RazónMuerte!D:D,"",0)</f>
        <v>Fatal injury</v>
      </c>
    </row>
    <row r="249" spans="1:10" x14ac:dyDescent="0.25">
      <c r="A249" t="s">
        <v>844</v>
      </c>
      <c r="B249" t="str">
        <f t="shared" si="6"/>
        <v>30</v>
      </c>
      <c r="C249" t="str">
        <f t="shared" si="7"/>
        <v>DICIEMBRE</v>
      </c>
      <c r="D249" s="20">
        <v>45656</v>
      </c>
      <c r="E249" t="s">
        <v>105</v>
      </c>
      <c r="F249" t="s">
        <v>845</v>
      </c>
      <c r="G249" t="s">
        <v>846</v>
      </c>
      <c r="H249" t="str">
        <f>_xlfn.XLOOKUP($G249,RazónMuerte!$A:$A,RazónMuerte!B:B,"",0)</f>
        <v>Fractura ósea</v>
      </c>
      <c r="I249" t="str">
        <f>_xlfn.XLOOKUP($G249,RazónMuerte!$A:$A,RazónMuerte!C:C,"",0)</f>
        <v>Sesamoideo</v>
      </c>
      <c r="J249" t="str">
        <f>_xlfn.XLOOKUP($G249,RazónMuerte!$A:$A,RazónMuerte!D:D,"",0)</f>
        <v>Fatal injury</v>
      </c>
    </row>
    <row r="250" spans="1:10" x14ac:dyDescent="0.25">
      <c r="A250" t="s">
        <v>849</v>
      </c>
      <c r="B250" t="str">
        <f t="shared" si="6"/>
        <v>31</v>
      </c>
      <c r="C250" t="str">
        <f t="shared" si="7"/>
        <v>DICIEMBRE</v>
      </c>
      <c r="D250" s="20">
        <v>45657</v>
      </c>
      <c r="E250" t="s">
        <v>10</v>
      </c>
      <c r="F250" t="s">
        <v>848</v>
      </c>
      <c r="G250" t="s">
        <v>847</v>
      </c>
      <c r="H250" t="str">
        <f>_xlfn.XLOOKUP($G250,RazónMuerte!$A:$A,RazónMuerte!B:B,"",0)</f>
        <v>Fractura ósea</v>
      </c>
      <c r="I250" t="str">
        <f>_xlfn.XLOOKUP($G250,RazónMuerte!$A:$A,RazónMuerte!C:C,"",0)</f>
        <v>No especificado</v>
      </c>
      <c r="J250" t="str">
        <f>_xlfn.XLOOKUP($G250,RazónMuerte!$A:$A,RazónMuerte!D:D,"",0)</f>
        <v>Fatal injury</v>
      </c>
    </row>
    <row r="251" spans="1:10" x14ac:dyDescent="0.25">
      <c r="A251" t="s">
        <v>785</v>
      </c>
      <c r="B251" t="str">
        <f t="shared" si="6"/>
        <v>9</v>
      </c>
      <c r="C251" t="str">
        <f t="shared" si="7"/>
        <v>ENERO</v>
      </c>
      <c r="D251" s="20">
        <v>45666</v>
      </c>
      <c r="E251" t="s">
        <v>787</v>
      </c>
      <c r="F251" t="s">
        <v>786</v>
      </c>
      <c r="G251" t="s">
        <v>84</v>
      </c>
      <c r="H251" t="str">
        <f>_xlfn.XLOOKUP($G251,RazónMuerte!$A:$A,RazónMuerte!B:B,"",0)</f>
        <v>Fractura ósea</v>
      </c>
      <c r="I251" t="str">
        <f>_xlfn.XLOOKUP($G251,RazónMuerte!$A:$A,RazónMuerte!C:C,"",0)</f>
        <v>Rodilla / Carpal</v>
      </c>
      <c r="J251" t="str">
        <f>_xlfn.XLOOKUP($G251,RazónMuerte!$A:$A,RazónMuerte!D:D,"",0)</f>
        <v>Fatal injury</v>
      </c>
    </row>
    <row r="252" spans="1:10" x14ac:dyDescent="0.25">
      <c r="A252" t="s">
        <v>788</v>
      </c>
      <c r="B252" t="str">
        <f t="shared" si="6"/>
        <v>14</v>
      </c>
      <c r="C252" t="str">
        <f t="shared" si="7"/>
        <v>ENERO</v>
      </c>
      <c r="D252" s="20">
        <v>45671</v>
      </c>
      <c r="E252" t="s">
        <v>789</v>
      </c>
      <c r="F252" t="s">
        <v>790</v>
      </c>
      <c r="G252" t="s">
        <v>791</v>
      </c>
      <c r="H252" t="str">
        <f>_xlfn.XLOOKUP($G252,RazónMuerte!$A:$A,RazónMuerte!B:B,"",0)</f>
        <v>Fractura ósea</v>
      </c>
      <c r="I252" t="str">
        <f>_xlfn.XLOOKUP($G252,RazónMuerte!$A:$A,RazónMuerte!C:C,"",0)</f>
        <v>Condylar</v>
      </c>
      <c r="J252" t="str">
        <f>_xlfn.XLOOKUP($G252,RazónMuerte!$A:$A,RazónMuerte!D:D,"",0)</f>
        <v>Fatal injury</v>
      </c>
    </row>
    <row r="253" spans="1:10" x14ac:dyDescent="0.25">
      <c r="A253" t="s">
        <v>792</v>
      </c>
      <c r="B253" t="str">
        <f t="shared" si="6"/>
        <v>21</v>
      </c>
      <c r="C253" t="str">
        <f t="shared" si="7"/>
        <v>ENERO</v>
      </c>
      <c r="D253" s="20">
        <v>45678</v>
      </c>
      <c r="E253" t="s">
        <v>16</v>
      </c>
      <c r="F253" t="s">
        <v>793</v>
      </c>
      <c r="G253" t="s">
        <v>171</v>
      </c>
      <c r="H253" t="str">
        <f>_xlfn.XLOOKUP($G253,RazónMuerte!$A:$A,RazónMuerte!B:B,"",0)</f>
        <v>Enfermedad degenerativa articular</v>
      </c>
      <c r="I253">
        <f>_xlfn.XLOOKUP($G253,RazónMuerte!$A:$A,RazónMuerte!C:C,"",0)</f>
        <v>0</v>
      </c>
      <c r="J253" t="str">
        <f>_xlfn.XLOOKUP($G253,RazónMuerte!$A:$A,RazónMuerte!D:D,"",0)</f>
        <v>No fatal injury (chronic/medical)</v>
      </c>
    </row>
    <row r="254" spans="1:10" x14ac:dyDescent="0.25">
      <c r="A254" t="s">
        <v>850</v>
      </c>
      <c r="B254" t="str">
        <f t="shared" si="6"/>
        <v>24</v>
      </c>
      <c r="C254" t="str">
        <f t="shared" si="7"/>
        <v>ENERO</v>
      </c>
      <c r="D254" s="20">
        <v>45681</v>
      </c>
      <c r="E254" t="s">
        <v>5</v>
      </c>
      <c r="F254" t="s">
        <v>851</v>
      </c>
      <c r="G254" t="s">
        <v>852</v>
      </c>
      <c r="H254" t="str">
        <f>_xlfn.XLOOKUP($G254,RazónMuerte!$A:$A,RazónMuerte!B:B,"",0)</f>
        <v>Fractura ósea</v>
      </c>
      <c r="I254" t="str">
        <f>_xlfn.XLOOKUP($G254,RazónMuerte!$A:$A,RazónMuerte!C:C,"",0)</f>
        <v>No especificado</v>
      </c>
      <c r="J254" t="str">
        <f>_xlfn.XLOOKUP($G254,RazónMuerte!$A:$A,RazónMuerte!D:D,"",0)</f>
        <v>Fatal injury</v>
      </c>
    </row>
    <row r="255" spans="1:10" x14ac:dyDescent="0.25">
      <c r="A255" t="s">
        <v>853</v>
      </c>
      <c r="B255" t="str">
        <f t="shared" si="6"/>
        <v>26</v>
      </c>
      <c r="C255" t="str">
        <f t="shared" si="7"/>
        <v>ENERO</v>
      </c>
      <c r="D255" s="20">
        <v>45683</v>
      </c>
      <c r="E255" t="s">
        <v>854</v>
      </c>
      <c r="F255" t="s">
        <v>855</v>
      </c>
      <c r="G255" t="s">
        <v>856</v>
      </c>
      <c r="H255" t="str">
        <f>_xlfn.XLOOKUP($G255,RazónMuerte!$A:$A,RazónMuerte!B:B,"",0)</f>
        <v>Otras / No especificada</v>
      </c>
      <c r="I255">
        <f>_xlfn.XLOOKUP($G255,RazónMuerte!$A:$A,RazónMuerte!C:C,"",0)</f>
        <v>0</v>
      </c>
      <c r="J255" t="str">
        <f>_xlfn.XLOOKUP($G255,RazónMuerte!$A:$A,RazónMuerte!D:D,"",0)</f>
        <v>Fatal injury</v>
      </c>
    </row>
    <row r="256" spans="1:10" x14ac:dyDescent="0.25">
      <c r="A256" t="s">
        <v>857</v>
      </c>
      <c r="B256" t="str">
        <f t="shared" si="6"/>
        <v>27</v>
      </c>
      <c r="C256" t="str">
        <f t="shared" si="7"/>
        <v>ENERO</v>
      </c>
      <c r="D256" s="20">
        <v>45684</v>
      </c>
      <c r="E256" t="s">
        <v>92</v>
      </c>
      <c r="F256" t="s">
        <v>858</v>
      </c>
      <c r="G256" t="s">
        <v>859</v>
      </c>
      <c r="H256" t="str">
        <f>_xlfn.XLOOKUP($G256,RazónMuerte!$A:$A,RazónMuerte!B:B,"",0)</f>
        <v>Fractura ósea</v>
      </c>
      <c r="I256" t="str">
        <f>_xlfn.XLOOKUP($G256,RazónMuerte!$A:$A,RazónMuerte!C:C,"",0)</f>
        <v>Rodilla / Carpal</v>
      </c>
      <c r="J256" t="str">
        <f>_xlfn.XLOOKUP($G256,RazónMuerte!$A:$A,RazónMuerte!D:D,"",0)</f>
        <v>Fatal injury</v>
      </c>
    </row>
    <row r="257" spans="1:10" x14ac:dyDescent="0.25">
      <c r="A257" t="s">
        <v>860</v>
      </c>
      <c r="B257" t="str">
        <f t="shared" si="6"/>
        <v>28</v>
      </c>
      <c r="C257" t="str">
        <f t="shared" si="7"/>
        <v>ENERO</v>
      </c>
      <c r="D257" s="20">
        <v>45685</v>
      </c>
      <c r="E257" t="s">
        <v>861</v>
      </c>
      <c r="F257" t="s">
        <v>862</v>
      </c>
      <c r="G257" t="s">
        <v>863</v>
      </c>
      <c r="H257" t="str">
        <f>_xlfn.XLOOKUP($G257,RazónMuerte!$A:$A,RazónMuerte!B:B,"",0)</f>
        <v>Fractura ósea</v>
      </c>
      <c r="I257" t="str">
        <f>_xlfn.XLOOKUP($G257,RazónMuerte!$A:$A,RazónMuerte!C:C,"",0)</f>
        <v>Rodilla / Carpal</v>
      </c>
      <c r="J257" t="str">
        <f>_xlfn.XLOOKUP($G257,RazónMuerte!$A:$A,RazónMuerte!D:D,"",0)</f>
        <v>Fatal injury</v>
      </c>
    </row>
    <row r="258" spans="1:10" x14ac:dyDescent="0.25">
      <c r="A258" t="s">
        <v>864</v>
      </c>
      <c r="B258" t="str">
        <f t="shared" ref="B258:B321" si="8">LEFT(A258,FIND("-",A258)-1)</f>
        <v>31</v>
      </c>
      <c r="C258" t="str">
        <f t="shared" ref="C258:C321" si="9">MID(A258,FIND("-",A258)+1,FIND("-",A258,FIND("-",A258)+1)-FIND("-",A258)-1)</f>
        <v>ENERO</v>
      </c>
      <c r="D258" s="20">
        <v>45688</v>
      </c>
      <c r="E258" t="s">
        <v>17</v>
      </c>
      <c r="F258" t="s">
        <v>865</v>
      </c>
      <c r="G258" t="s">
        <v>866</v>
      </c>
      <c r="H258" t="str">
        <f>_xlfn.XLOOKUP($G258,RazónMuerte!$A:$A,RazónMuerte!B:B,"",0)</f>
        <v>Fractura ósea</v>
      </c>
      <c r="I258" t="str">
        <f>_xlfn.XLOOKUP($G258,RazónMuerte!$A:$A,RazónMuerte!C:C,"",0)</f>
        <v>Sesamoideo</v>
      </c>
      <c r="J258" t="str">
        <f>_xlfn.XLOOKUP($G258,RazónMuerte!$A:$A,RazónMuerte!D:D,"",0)</f>
        <v>Fatal injury</v>
      </c>
    </row>
    <row r="259" spans="1:10" x14ac:dyDescent="0.25">
      <c r="A259" t="s">
        <v>867</v>
      </c>
      <c r="B259" t="str">
        <f t="shared" si="8"/>
        <v>4</v>
      </c>
      <c r="C259" t="str">
        <f t="shared" si="9"/>
        <v>FEBRERO</v>
      </c>
      <c r="D259" s="20">
        <v>45692</v>
      </c>
      <c r="E259" t="s">
        <v>868</v>
      </c>
      <c r="F259" t="s">
        <v>869</v>
      </c>
      <c r="G259" t="s">
        <v>870</v>
      </c>
      <c r="H259" t="str">
        <f>_xlfn.XLOOKUP($G259,RazónMuerte!$A:$A,RazónMuerte!B:B,"",0)</f>
        <v>Fractura ósea</v>
      </c>
      <c r="I259" t="str">
        <f>_xlfn.XLOOKUP($G259,RazónMuerte!$A:$A,RazónMuerte!C:C,"",0)</f>
        <v>No especificado</v>
      </c>
      <c r="J259" t="str">
        <f>_xlfn.XLOOKUP($G259,RazónMuerte!$A:$A,RazónMuerte!D:D,"",0)</f>
        <v>Fatal injury</v>
      </c>
    </row>
    <row r="260" spans="1:10" x14ac:dyDescent="0.25">
      <c r="A260" t="s">
        <v>867</v>
      </c>
      <c r="B260" t="str">
        <f t="shared" si="8"/>
        <v>4</v>
      </c>
      <c r="C260" t="str">
        <f t="shared" si="9"/>
        <v>FEBRERO</v>
      </c>
      <c r="D260" s="20">
        <v>45692</v>
      </c>
      <c r="E260" t="s">
        <v>871</v>
      </c>
      <c r="F260" t="s">
        <v>872</v>
      </c>
      <c r="G260" t="s">
        <v>101</v>
      </c>
      <c r="H260" t="str">
        <f>_xlfn.XLOOKUP($G260,RazónMuerte!$A:$A,RazónMuerte!B:B,"",0)</f>
        <v>Fractura ósea</v>
      </c>
      <c r="I260" t="str">
        <f>_xlfn.XLOOKUP($G260,RazónMuerte!$A:$A,RazónMuerte!C:C,"",0)</f>
        <v>Rodilla / Carpal</v>
      </c>
      <c r="J260" t="str">
        <f>_xlfn.XLOOKUP($G260,RazónMuerte!$A:$A,RazónMuerte!D:D,"",0)</f>
        <v>Fatal injury</v>
      </c>
    </row>
    <row r="261" spans="1:10" x14ac:dyDescent="0.25">
      <c r="A261" t="s">
        <v>873</v>
      </c>
      <c r="B261" t="str">
        <f t="shared" si="8"/>
        <v>10</v>
      </c>
      <c r="C261" t="str">
        <f t="shared" si="9"/>
        <v>FEBRERO</v>
      </c>
      <c r="D261" s="20">
        <v>45698</v>
      </c>
      <c r="E261" t="s">
        <v>589</v>
      </c>
      <c r="F261" t="s">
        <v>874</v>
      </c>
      <c r="G261" t="s">
        <v>657</v>
      </c>
      <c r="H261" t="str">
        <f>_xlfn.XLOOKUP($G261,RazónMuerte!$A:$A,RazónMuerte!B:B,"",0)</f>
        <v>Enfermedad degenerativa articular</v>
      </c>
      <c r="I261">
        <f>_xlfn.XLOOKUP($G261,RazónMuerte!$A:$A,RazónMuerte!C:C,"",0)</f>
        <v>0</v>
      </c>
      <c r="J261" t="str">
        <f>_xlfn.XLOOKUP($G261,RazónMuerte!$A:$A,RazónMuerte!D:D,"",0)</f>
        <v>No fatal injury (chronic/medical)</v>
      </c>
    </row>
    <row r="262" spans="1:10" x14ac:dyDescent="0.25">
      <c r="A262" t="s">
        <v>875</v>
      </c>
      <c r="B262" t="str">
        <f t="shared" si="8"/>
        <v>11</v>
      </c>
      <c r="C262" t="str">
        <f t="shared" si="9"/>
        <v>FEBRERO</v>
      </c>
      <c r="D262" s="20">
        <v>45699</v>
      </c>
      <c r="E262" t="s">
        <v>876</v>
      </c>
      <c r="F262" t="s">
        <v>877</v>
      </c>
      <c r="G262" t="s">
        <v>878</v>
      </c>
      <c r="H262" t="str">
        <f>_xlfn.XLOOKUP($G262,RazónMuerte!$A:$A,RazónMuerte!B:B,"",0)</f>
        <v>Otras / No especificada</v>
      </c>
      <c r="I262">
        <f>_xlfn.XLOOKUP($G262,RazónMuerte!$A:$A,RazónMuerte!C:C,"",0)</f>
        <v>0</v>
      </c>
      <c r="J262" t="str">
        <f>_xlfn.XLOOKUP($G262,RazónMuerte!$A:$A,RazónMuerte!D:D,"",0)</f>
        <v>No clasificado</v>
      </c>
    </row>
    <row r="263" spans="1:10" x14ac:dyDescent="0.25">
      <c r="A263" t="s">
        <v>875</v>
      </c>
      <c r="B263" t="str">
        <f t="shared" si="8"/>
        <v>11</v>
      </c>
      <c r="C263" t="str">
        <f t="shared" si="9"/>
        <v>FEBRERO</v>
      </c>
      <c r="D263" s="20">
        <v>45699</v>
      </c>
      <c r="E263" t="s">
        <v>349</v>
      </c>
      <c r="F263" t="s">
        <v>881</v>
      </c>
      <c r="G263" t="s">
        <v>882</v>
      </c>
      <c r="H263" t="str">
        <f>_xlfn.XLOOKUP($G263,RazónMuerte!$A:$A,RazónMuerte!B:B,"",0)</f>
        <v>Fractura ósea</v>
      </c>
      <c r="I263" t="str">
        <f>_xlfn.XLOOKUP($G263,RazónMuerte!$A:$A,RazónMuerte!C:C,"",0)</f>
        <v>No especificado</v>
      </c>
      <c r="J263" t="str">
        <f>_xlfn.XLOOKUP($G263,RazónMuerte!$A:$A,RazónMuerte!D:D,"",0)</f>
        <v>Fatal injury</v>
      </c>
    </row>
    <row r="264" spans="1:10" x14ac:dyDescent="0.25">
      <c r="A264" t="s">
        <v>875</v>
      </c>
      <c r="B264" t="str">
        <f t="shared" si="8"/>
        <v>11</v>
      </c>
      <c r="C264" t="str">
        <f t="shared" si="9"/>
        <v>FEBRERO</v>
      </c>
      <c r="D264" s="20">
        <v>45699</v>
      </c>
      <c r="E264" t="s">
        <v>22</v>
      </c>
      <c r="F264" t="s">
        <v>879</v>
      </c>
      <c r="G264" t="s">
        <v>880</v>
      </c>
      <c r="H264" t="str">
        <f>_xlfn.XLOOKUP($G264,RazónMuerte!$A:$A,RazónMuerte!B:B,"",0)</f>
        <v>Fractura ósea</v>
      </c>
      <c r="I264" t="str">
        <f>_xlfn.XLOOKUP($G264,RazónMuerte!$A:$A,RazónMuerte!C:C,"",0)</f>
        <v>No especificado</v>
      </c>
      <c r="J264" t="str">
        <f>_xlfn.XLOOKUP($G264,RazónMuerte!$A:$A,RazónMuerte!D:D,"",0)</f>
        <v>Fatal injury</v>
      </c>
    </row>
    <row r="265" spans="1:10" x14ac:dyDescent="0.25">
      <c r="A265" t="s">
        <v>883</v>
      </c>
      <c r="B265" t="str">
        <f t="shared" si="8"/>
        <v>13</v>
      </c>
      <c r="C265" t="str">
        <f t="shared" si="9"/>
        <v>FEBRERO</v>
      </c>
      <c r="D265" s="20">
        <v>45701</v>
      </c>
      <c r="E265" t="s">
        <v>11</v>
      </c>
      <c r="F265" t="s">
        <v>884</v>
      </c>
      <c r="G265" t="s">
        <v>885</v>
      </c>
      <c r="H265" t="str">
        <f>_xlfn.XLOOKUP($G265,RazónMuerte!$A:$A,RazónMuerte!B:B,"",0)</f>
        <v>Otras / No especificada</v>
      </c>
      <c r="I265">
        <f>_xlfn.XLOOKUP($G265,RazónMuerte!$A:$A,RazónMuerte!C:C,"",0)</f>
        <v>0</v>
      </c>
      <c r="J265" t="str">
        <f>_xlfn.XLOOKUP($G265,RazónMuerte!$A:$A,RazónMuerte!D:D,"",0)</f>
        <v>No clasificado</v>
      </c>
    </row>
    <row r="266" spans="1:10" x14ac:dyDescent="0.25">
      <c r="A266" t="s">
        <v>886</v>
      </c>
      <c r="B266" t="str">
        <f t="shared" si="8"/>
        <v>15</v>
      </c>
      <c r="C266" t="str">
        <f t="shared" si="9"/>
        <v>FEBRERO</v>
      </c>
      <c r="D266" s="20">
        <v>45703</v>
      </c>
      <c r="E266" t="s">
        <v>887</v>
      </c>
      <c r="F266" t="s">
        <v>888</v>
      </c>
      <c r="G266" t="s">
        <v>889</v>
      </c>
      <c r="H266" t="str">
        <f>_xlfn.XLOOKUP($G266,RazónMuerte!$A:$A,RazónMuerte!B:B,"",0)</f>
        <v>Otras / No especificada</v>
      </c>
      <c r="I266">
        <f>_xlfn.XLOOKUP($G266,RazónMuerte!$A:$A,RazónMuerte!C:C,"",0)</f>
        <v>0</v>
      </c>
      <c r="J266" t="str">
        <f>_xlfn.XLOOKUP($G266,RazónMuerte!$A:$A,RazónMuerte!D:D,"",0)</f>
        <v>No clasificado</v>
      </c>
    </row>
    <row r="267" spans="1:10" x14ac:dyDescent="0.25">
      <c r="A267" t="s">
        <v>890</v>
      </c>
      <c r="B267" t="str">
        <f t="shared" si="8"/>
        <v>17</v>
      </c>
      <c r="C267" t="str">
        <f t="shared" si="9"/>
        <v>FEBRERO</v>
      </c>
      <c r="D267" s="20">
        <v>45705</v>
      </c>
      <c r="E267" t="s">
        <v>31</v>
      </c>
      <c r="F267" t="s">
        <v>891</v>
      </c>
      <c r="G267" t="s">
        <v>893</v>
      </c>
      <c r="H267" t="str">
        <f>_xlfn.XLOOKUP($G267,RazónMuerte!$A:$A,RazónMuerte!B:B,"",0)</f>
        <v>Fractura ósea</v>
      </c>
      <c r="I267" t="str">
        <f>_xlfn.XLOOKUP($G267,RazónMuerte!$A:$A,RazónMuerte!C:C,"",0)</f>
        <v>No especificado</v>
      </c>
      <c r="J267" t="str">
        <f>_xlfn.XLOOKUP($G267,RazónMuerte!$A:$A,RazónMuerte!D:D,"",0)</f>
        <v>Fatal injury</v>
      </c>
    </row>
    <row r="268" spans="1:10" x14ac:dyDescent="0.25">
      <c r="A268" t="s">
        <v>890</v>
      </c>
      <c r="B268" t="str">
        <f t="shared" si="8"/>
        <v>17</v>
      </c>
      <c r="C268" t="str">
        <f t="shared" si="9"/>
        <v>FEBRERO</v>
      </c>
      <c r="D268" s="20">
        <v>45705</v>
      </c>
      <c r="E268" t="s">
        <v>895</v>
      </c>
      <c r="F268" t="s">
        <v>894</v>
      </c>
      <c r="G268" t="s">
        <v>892</v>
      </c>
      <c r="H268" t="str">
        <f>_xlfn.XLOOKUP($G268,RazónMuerte!$A:$A,RazónMuerte!B:B,"",0)</f>
        <v>Fractura ósea</v>
      </c>
      <c r="I268" t="str">
        <f>_xlfn.XLOOKUP($G268,RazónMuerte!$A:$A,RazónMuerte!C:C,"",0)</f>
        <v>No especificado</v>
      </c>
      <c r="J268" t="str">
        <f>_xlfn.XLOOKUP($G268,RazónMuerte!$A:$A,RazónMuerte!D:D,"",0)</f>
        <v>Fatal injury</v>
      </c>
    </row>
    <row r="269" spans="1:10" x14ac:dyDescent="0.25">
      <c r="A269" t="s">
        <v>896</v>
      </c>
      <c r="B269" t="str">
        <f t="shared" si="8"/>
        <v>18</v>
      </c>
      <c r="C269" t="str">
        <f t="shared" si="9"/>
        <v>FEBRERO</v>
      </c>
      <c r="D269" s="20">
        <v>45706</v>
      </c>
      <c r="E269" t="s">
        <v>73</v>
      </c>
      <c r="F269" t="s">
        <v>897</v>
      </c>
      <c r="G269" t="s">
        <v>898</v>
      </c>
      <c r="H269" t="str">
        <f>_xlfn.XLOOKUP($G269,RazónMuerte!$A:$A,RazónMuerte!B:B,"",0)</f>
        <v>Fractura ósea</v>
      </c>
      <c r="I269" t="str">
        <f>_xlfn.XLOOKUP($G269,RazónMuerte!$A:$A,RazónMuerte!C:C,"",0)</f>
        <v>No especificado</v>
      </c>
      <c r="J269" t="str">
        <f>_xlfn.XLOOKUP($G269,RazónMuerte!$A:$A,RazónMuerte!D:D,"",0)</f>
        <v>Fatal injury</v>
      </c>
    </row>
    <row r="270" spans="1:10" x14ac:dyDescent="0.25">
      <c r="A270" t="s">
        <v>896</v>
      </c>
      <c r="B270" t="str">
        <f t="shared" si="8"/>
        <v>18</v>
      </c>
      <c r="C270" t="str">
        <f t="shared" si="9"/>
        <v>FEBRERO</v>
      </c>
      <c r="D270" s="20">
        <v>45706</v>
      </c>
      <c r="E270" t="s">
        <v>55</v>
      </c>
      <c r="F270" t="s">
        <v>900</v>
      </c>
      <c r="G270" t="s">
        <v>899</v>
      </c>
      <c r="H270" t="str">
        <f>_xlfn.XLOOKUP($G270,RazónMuerte!$A:$A,RazónMuerte!B:B,"",0)</f>
        <v>Otras / No especificada</v>
      </c>
      <c r="I270">
        <f>_xlfn.XLOOKUP($G270,RazónMuerte!$A:$A,RazónMuerte!C:C,"",0)</f>
        <v>0</v>
      </c>
      <c r="J270" t="str">
        <f>_xlfn.XLOOKUP($G270,RazónMuerte!$A:$A,RazónMuerte!D:D,"",0)</f>
        <v>Fatal injury</v>
      </c>
    </row>
    <row r="271" spans="1:10" x14ac:dyDescent="0.25">
      <c r="A271" t="s">
        <v>896</v>
      </c>
      <c r="B271" t="str">
        <f t="shared" si="8"/>
        <v>18</v>
      </c>
      <c r="C271" t="str">
        <f t="shared" si="9"/>
        <v>FEBRERO</v>
      </c>
      <c r="D271" s="20">
        <v>45706</v>
      </c>
      <c r="E271" t="s">
        <v>107</v>
      </c>
      <c r="F271" t="s">
        <v>901</v>
      </c>
      <c r="G271" t="s">
        <v>902</v>
      </c>
      <c r="H271" t="str">
        <f>_xlfn.XLOOKUP($G271,RazónMuerte!$A:$A,RazónMuerte!B:B,"",0)</f>
        <v>Fractura ósea</v>
      </c>
      <c r="I271" t="str">
        <f>_xlfn.XLOOKUP($G271,RazónMuerte!$A:$A,RazónMuerte!C:C,"",0)</f>
        <v>Rodilla / Carpal</v>
      </c>
      <c r="J271" t="str">
        <f>_xlfn.XLOOKUP($G271,RazónMuerte!$A:$A,RazónMuerte!D:D,"",0)</f>
        <v>Fatal injury</v>
      </c>
    </row>
    <row r="272" spans="1:10" x14ac:dyDescent="0.25">
      <c r="A272" t="s">
        <v>903</v>
      </c>
      <c r="B272" t="str">
        <f t="shared" si="8"/>
        <v>20</v>
      </c>
      <c r="C272" t="str">
        <f t="shared" si="9"/>
        <v>FEBRERO</v>
      </c>
      <c r="D272" s="20">
        <v>45708</v>
      </c>
      <c r="E272" t="s">
        <v>904</v>
      </c>
      <c r="F272" t="s">
        <v>905</v>
      </c>
      <c r="G272" t="s">
        <v>906</v>
      </c>
      <c r="H272" t="str">
        <f>_xlfn.XLOOKUP($G272,RazónMuerte!$A:$A,RazónMuerte!B:B,"",0)</f>
        <v>Enfermedad degenerativa articular</v>
      </c>
      <c r="I272">
        <f>_xlfn.XLOOKUP($G272,RazónMuerte!$A:$A,RazónMuerte!C:C,"",0)</f>
        <v>0</v>
      </c>
      <c r="J272" t="str">
        <f>_xlfn.XLOOKUP($G272,RazónMuerte!$A:$A,RazónMuerte!D:D,"",0)</f>
        <v>Fatal injury</v>
      </c>
    </row>
    <row r="273" spans="1:10" x14ac:dyDescent="0.25">
      <c r="A273" t="s">
        <v>909</v>
      </c>
      <c r="B273" t="str">
        <f t="shared" si="8"/>
        <v>21</v>
      </c>
      <c r="C273" t="str">
        <f t="shared" si="9"/>
        <v>FEBRERO</v>
      </c>
      <c r="D273" s="20">
        <v>45709</v>
      </c>
      <c r="E273" t="s">
        <v>812</v>
      </c>
      <c r="F273" t="s">
        <v>908</v>
      </c>
      <c r="G273" t="s">
        <v>907</v>
      </c>
      <c r="H273" t="str">
        <f>_xlfn.XLOOKUP($G273,RazónMuerte!$A:$A,RazónMuerte!B:B,"",0)</f>
        <v>Fractura ósea</v>
      </c>
      <c r="I273" t="str">
        <f>_xlfn.XLOOKUP($G273,RazónMuerte!$A:$A,RazónMuerte!C:C,"",0)</f>
        <v>Slab</v>
      </c>
      <c r="J273" t="str">
        <f>_xlfn.XLOOKUP($G273,RazónMuerte!$A:$A,RazónMuerte!D:D,"",0)</f>
        <v>Fatal injury</v>
      </c>
    </row>
    <row r="274" spans="1:10" x14ac:dyDescent="0.25">
      <c r="A274" t="s">
        <v>910</v>
      </c>
      <c r="B274" t="str">
        <f t="shared" si="8"/>
        <v>25</v>
      </c>
      <c r="C274" t="str">
        <f t="shared" si="9"/>
        <v>FEBRERO</v>
      </c>
      <c r="D274" s="20">
        <v>45713</v>
      </c>
      <c r="E274" t="s">
        <v>74</v>
      </c>
      <c r="F274" t="s">
        <v>911</v>
      </c>
      <c r="G274" t="s">
        <v>912</v>
      </c>
      <c r="H274" t="str">
        <f>_xlfn.XLOOKUP($G274,RazónMuerte!$A:$A,RazónMuerte!B:B,"",0)</f>
        <v>Fractura ósea</v>
      </c>
      <c r="I274" t="str">
        <f>_xlfn.XLOOKUP($G274,RazónMuerte!$A:$A,RazónMuerte!C:C,"",0)</f>
        <v>No especificado</v>
      </c>
      <c r="J274" t="str">
        <f>_xlfn.XLOOKUP($G274,RazónMuerte!$A:$A,RazónMuerte!D:D,"",0)</f>
        <v>Fatal injury</v>
      </c>
    </row>
    <row r="275" spans="1:10" x14ac:dyDescent="0.25">
      <c r="A275" t="s">
        <v>910</v>
      </c>
      <c r="B275" t="str">
        <f t="shared" si="8"/>
        <v>25</v>
      </c>
      <c r="C275" t="str">
        <f t="shared" si="9"/>
        <v>FEBRERO</v>
      </c>
      <c r="D275" s="20">
        <v>45713</v>
      </c>
      <c r="E275" t="s">
        <v>11</v>
      </c>
      <c r="F275" t="s">
        <v>925</v>
      </c>
      <c r="G275" t="s">
        <v>913</v>
      </c>
      <c r="H275" t="str">
        <f>_xlfn.XLOOKUP($G275,RazónMuerte!$A:$A,RazónMuerte!B:B,"",0)</f>
        <v>Fractura ósea</v>
      </c>
      <c r="I275" t="str">
        <f>_xlfn.XLOOKUP($G275,RazónMuerte!$A:$A,RazónMuerte!C:C,"",0)</f>
        <v>Sesamoideo</v>
      </c>
      <c r="J275" t="str">
        <f>_xlfn.XLOOKUP($G275,RazónMuerte!$A:$A,RazónMuerte!D:D,"",0)</f>
        <v>Fatal injury</v>
      </c>
    </row>
    <row r="276" spans="1:10" x14ac:dyDescent="0.25">
      <c r="A276" t="s">
        <v>914</v>
      </c>
      <c r="B276" t="str">
        <f t="shared" si="8"/>
        <v>1</v>
      </c>
      <c r="C276" t="str">
        <f t="shared" si="9"/>
        <v>MARZO</v>
      </c>
      <c r="D276" s="20">
        <v>45717</v>
      </c>
      <c r="E276" t="s">
        <v>11</v>
      </c>
      <c r="F276" t="s">
        <v>915</v>
      </c>
      <c r="G276" t="s">
        <v>916</v>
      </c>
      <c r="H276" t="str">
        <f>_xlfn.XLOOKUP($G276,RazónMuerte!$A:$A,RazónMuerte!B:B,"",0)</f>
        <v>Fractura ósea</v>
      </c>
      <c r="I276" t="str">
        <f>_xlfn.XLOOKUP($G276,RazónMuerte!$A:$A,RazónMuerte!C:C,"",0)</f>
        <v>Sesamoideo</v>
      </c>
      <c r="J276" t="str">
        <f>_xlfn.XLOOKUP($G276,RazónMuerte!$A:$A,RazónMuerte!D:D,"",0)</f>
        <v>Fatal injury</v>
      </c>
    </row>
    <row r="277" spans="1:10" x14ac:dyDescent="0.25">
      <c r="A277" t="s">
        <v>914</v>
      </c>
      <c r="B277" t="str">
        <f t="shared" si="8"/>
        <v>1</v>
      </c>
      <c r="C277" t="str">
        <f t="shared" si="9"/>
        <v>MARZO</v>
      </c>
      <c r="D277" s="20">
        <v>45717</v>
      </c>
      <c r="E277" t="s">
        <v>99</v>
      </c>
      <c r="F277" t="s">
        <v>918</v>
      </c>
      <c r="G277" t="s">
        <v>917</v>
      </c>
      <c r="H277" t="str">
        <f>_xlfn.XLOOKUP($G277,RazónMuerte!$A:$A,RazónMuerte!B:B,"",0)</f>
        <v>Fractura ósea</v>
      </c>
      <c r="I277" t="str">
        <f>_xlfn.XLOOKUP($G277,RazónMuerte!$A:$A,RazónMuerte!C:C,"",0)</f>
        <v>Rodilla / Carpal</v>
      </c>
      <c r="J277" t="str">
        <f>_xlfn.XLOOKUP($G277,RazónMuerte!$A:$A,RazónMuerte!D:D,"",0)</f>
        <v>Fatal injury</v>
      </c>
    </row>
    <row r="278" spans="1:10" x14ac:dyDescent="0.25">
      <c r="A278" t="s">
        <v>919</v>
      </c>
      <c r="B278" t="str">
        <f t="shared" si="8"/>
        <v>3</v>
      </c>
      <c r="C278" t="str">
        <f t="shared" si="9"/>
        <v>MARZO</v>
      </c>
      <c r="D278" s="20">
        <v>45719</v>
      </c>
      <c r="E278" t="s">
        <v>349</v>
      </c>
      <c r="F278" t="s">
        <v>920</v>
      </c>
      <c r="G278" t="s">
        <v>921</v>
      </c>
      <c r="H278" t="str">
        <f>_xlfn.XLOOKUP($G278,RazónMuerte!$A:$A,RazónMuerte!B:B,"",0)</f>
        <v>Otras / No especificada</v>
      </c>
      <c r="I278">
        <f>_xlfn.XLOOKUP($G278,RazónMuerte!$A:$A,RazónMuerte!C:C,"",0)</f>
        <v>0</v>
      </c>
      <c r="J278" t="str">
        <f>_xlfn.XLOOKUP($G278,RazónMuerte!$A:$A,RazónMuerte!D:D,"",0)</f>
        <v>No fatal injury (chronic/medical)</v>
      </c>
    </row>
    <row r="279" spans="1:10" x14ac:dyDescent="0.25">
      <c r="A279" t="s">
        <v>919</v>
      </c>
      <c r="B279" t="str">
        <f t="shared" si="8"/>
        <v>3</v>
      </c>
      <c r="C279" t="str">
        <f t="shared" si="9"/>
        <v>MARZO</v>
      </c>
      <c r="D279" s="20">
        <v>45719</v>
      </c>
      <c r="E279" t="s">
        <v>924</v>
      </c>
      <c r="F279" t="s">
        <v>923</v>
      </c>
      <c r="G279" t="s">
        <v>922</v>
      </c>
      <c r="H279" t="str">
        <f>_xlfn.XLOOKUP($G279,RazónMuerte!$A:$A,RazónMuerte!B:B,"",0)</f>
        <v>Fractura ósea</v>
      </c>
      <c r="I279" t="str">
        <f>_xlfn.XLOOKUP($G279,RazónMuerte!$A:$A,RazónMuerte!C:C,"",0)</f>
        <v>No especificado</v>
      </c>
      <c r="J279" t="str">
        <f>_xlfn.XLOOKUP($G279,RazónMuerte!$A:$A,RazónMuerte!D:D,"",0)</f>
        <v>Fatal injury</v>
      </c>
    </row>
    <row r="280" spans="1:10" x14ac:dyDescent="0.25">
      <c r="A280" t="s">
        <v>926</v>
      </c>
      <c r="B280" t="str">
        <f t="shared" si="8"/>
        <v>5</v>
      </c>
      <c r="C280" t="str">
        <f t="shared" si="9"/>
        <v>MARZO</v>
      </c>
      <c r="D280" s="20">
        <v>45721</v>
      </c>
      <c r="E280" t="s">
        <v>840</v>
      </c>
      <c r="F280" t="s">
        <v>927</v>
      </c>
      <c r="G280" t="s">
        <v>928</v>
      </c>
      <c r="H280" t="str">
        <f>_xlfn.XLOOKUP($G280,RazónMuerte!$A:$A,RazónMuerte!B:B,"",0)</f>
        <v>Otras / No especificada</v>
      </c>
      <c r="I280">
        <f>_xlfn.XLOOKUP($G280,RazónMuerte!$A:$A,RazónMuerte!C:C,"",0)</f>
        <v>0</v>
      </c>
      <c r="J280" t="str">
        <f>_xlfn.XLOOKUP($G280,RazónMuerte!$A:$A,RazónMuerte!D:D,"",0)</f>
        <v>No clasificado</v>
      </c>
    </row>
    <row r="281" spans="1:10" x14ac:dyDescent="0.25">
      <c r="A281" t="s">
        <v>929</v>
      </c>
      <c r="B281" t="str">
        <f t="shared" si="8"/>
        <v>6</v>
      </c>
      <c r="C281" t="str">
        <f t="shared" si="9"/>
        <v>MARZO</v>
      </c>
      <c r="D281" s="20">
        <v>45722</v>
      </c>
      <c r="E281" t="s">
        <v>973</v>
      </c>
      <c r="F281" t="s">
        <v>930</v>
      </c>
      <c r="G281" t="s">
        <v>931</v>
      </c>
      <c r="H281" t="str">
        <f>_xlfn.XLOOKUP($G281,RazónMuerte!$A:$A,RazónMuerte!B:B,"",0)</f>
        <v>Otras / No especificada</v>
      </c>
      <c r="I281">
        <f>_xlfn.XLOOKUP($G281,RazónMuerte!$A:$A,RazónMuerte!C:C,"",0)</f>
        <v>0</v>
      </c>
      <c r="J281" t="str">
        <f>_xlfn.XLOOKUP($G281,RazónMuerte!$A:$A,RazónMuerte!D:D,"",0)</f>
        <v>No clasificado</v>
      </c>
    </row>
    <row r="282" spans="1:10" x14ac:dyDescent="0.25">
      <c r="A282" t="s">
        <v>933</v>
      </c>
      <c r="B282" t="str">
        <f t="shared" si="8"/>
        <v>7</v>
      </c>
      <c r="C282" t="str">
        <f t="shared" si="9"/>
        <v>MARZO</v>
      </c>
      <c r="D282" s="20">
        <v>45723</v>
      </c>
      <c r="E282" t="s">
        <v>35</v>
      </c>
      <c r="F282" t="s">
        <v>932</v>
      </c>
      <c r="G282" t="s">
        <v>810</v>
      </c>
      <c r="H282" t="str">
        <f>_xlfn.XLOOKUP($G282,RazónMuerte!$A:$A,RazónMuerte!B:B,"",0)</f>
        <v>Fractura ósea</v>
      </c>
      <c r="I282" t="str">
        <f>_xlfn.XLOOKUP($G282,RazónMuerte!$A:$A,RazónMuerte!C:C,"",0)</f>
        <v>No especificado</v>
      </c>
      <c r="J282" t="str">
        <f>_xlfn.XLOOKUP($G282,RazónMuerte!$A:$A,RazónMuerte!D:D,"",0)</f>
        <v>Fatal injury</v>
      </c>
    </row>
    <row r="283" spans="1:10" x14ac:dyDescent="0.25">
      <c r="A283" t="s">
        <v>934</v>
      </c>
      <c r="B283" t="str">
        <f t="shared" si="8"/>
        <v>10</v>
      </c>
      <c r="C283" t="str">
        <f t="shared" si="9"/>
        <v>MARZO</v>
      </c>
      <c r="D283" s="20">
        <v>45726</v>
      </c>
      <c r="E283" t="s">
        <v>294</v>
      </c>
      <c r="F283" t="s">
        <v>935</v>
      </c>
      <c r="G283" t="s">
        <v>936</v>
      </c>
      <c r="H283" t="str">
        <f>_xlfn.XLOOKUP($G283,RazónMuerte!$A:$A,RazónMuerte!B:B,"",0)</f>
        <v>Enfermedad degenerativa articular</v>
      </c>
      <c r="I283">
        <f>_xlfn.XLOOKUP($G283,RazónMuerte!$A:$A,RazónMuerte!C:C,"",0)</f>
        <v>0</v>
      </c>
      <c r="J283" t="str">
        <f>_xlfn.XLOOKUP($G283,RazónMuerte!$A:$A,RazónMuerte!D:D,"",0)</f>
        <v>No fatal injury (chronic/medical)</v>
      </c>
    </row>
    <row r="284" spans="1:10" x14ac:dyDescent="0.25">
      <c r="A284" t="s">
        <v>934</v>
      </c>
      <c r="B284" t="str">
        <f t="shared" si="8"/>
        <v>10</v>
      </c>
      <c r="C284" t="str">
        <f t="shared" si="9"/>
        <v>MARZO</v>
      </c>
      <c r="D284" s="20">
        <v>45726</v>
      </c>
      <c r="E284" t="s">
        <v>974</v>
      </c>
      <c r="F284" t="s">
        <v>938</v>
      </c>
      <c r="G284" t="s">
        <v>937</v>
      </c>
      <c r="H284" t="str">
        <f>_xlfn.XLOOKUP($G284,RazónMuerte!$A:$A,RazónMuerte!B:B,"",0)</f>
        <v>Fractura ósea</v>
      </c>
      <c r="I284" t="str">
        <f>_xlfn.XLOOKUP($G284,RazónMuerte!$A:$A,RazónMuerte!C:C,"",0)</f>
        <v>Slab</v>
      </c>
      <c r="J284" t="str">
        <f>_xlfn.XLOOKUP($G284,RazónMuerte!$A:$A,RazónMuerte!D:D,"",0)</f>
        <v>Fatal injury</v>
      </c>
    </row>
    <row r="285" spans="1:10" x14ac:dyDescent="0.25">
      <c r="A285" t="s">
        <v>934</v>
      </c>
      <c r="B285" t="str">
        <f t="shared" si="8"/>
        <v>10</v>
      </c>
      <c r="C285" t="str">
        <f t="shared" si="9"/>
        <v>MARZO</v>
      </c>
      <c r="D285" s="20">
        <v>45726</v>
      </c>
      <c r="E285" t="s">
        <v>96</v>
      </c>
      <c r="F285" t="s">
        <v>939</v>
      </c>
      <c r="G285" t="s">
        <v>940</v>
      </c>
      <c r="H285" t="str">
        <f>_xlfn.XLOOKUP($G285,RazónMuerte!$A:$A,RazónMuerte!B:B,"",0)</f>
        <v>Otras / No especificada</v>
      </c>
      <c r="I285">
        <f>_xlfn.XLOOKUP($G285,RazónMuerte!$A:$A,RazónMuerte!C:C,"",0)</f>
        <v>0</v>
      </c>
      <c r="J285" t="str">
        <f>_xlfn.XLOOKUP($G285,RazónMuerte!$A:$A,RazónMuerte!D:D,"",0)</f>
        <v>No fatal injury (chronic/medical)</v>
      </c>
    </row>
    <row r="286" spans="1:10" x14ac:dyDescent="0.25">
      <c r="A286" t="s">
        <v>941</v>
      </c>
      <c r="B286" t="str">
        <f t="shared" si="8"/>
        <v>12</v>
      </c>
      <c r="C286" t="str">
        <f t="shared" si="9"/>
        <v>MARZO</v>
      </c>
      <c r="D286" s="20">
        <v>45728</v>
      </c>
      <c r="E286" t="s">
        <v>69</v>
      </c>
      <c r="F286" t="s">
        <v>942</v>
      </c>
      <c r="G286" t="s">
        <v>944</v>
      </c>
      <c r="H286" t="str">
        <f>_xlfn.XLOOKUP($G286,RazónMuerte!$A:$A,RazónMuerte!B:B,"",0)</f>
        <v>Otras / No especificada</v>
      </c>
      <c r="I286">
        <f>_xlfn.XLOOKUP($G286,RazónMuerte!$A:$A,RazónMuerte!C:C,"",0)</f>
        <v>0</v>
      </c>
      <c r="J286" t="str">
        <f>_xlfn.XLOOKUP($G286,RazónMuerte!$A:$A,RazónMuerte!D:D,"",0)</f>
        <v>No clasificado</v>
      </c>
    </row>
    <row r="287" spans="1:10" x14ac:dyDescent="0.25">
      <c r="A287" t="s">
        <v>975</v>
      </c>
      <c r="B287" t="str">
        <f t="shared" si="8"/>
        <v>14</v>
      </c>
      <c r="C287" t="str">
        <f t="shared" si="9"/>
        <v>MARZO</v>
      </c>
      <c r="D287" s="20">
        <v>45730</v>
      </c>
      <c r="E287" t="s">
        <v>31</v>
      </c>
      <c r="F287" t="s">
        <v>976</v>
      </c>
      <c r="G287" t="s">
        <v>977</v>
      </c>
      <c r="H287" t="str">
        <f>_xlfn.XLOOKUP($G287,RazónMuerte!$A:$A,RazónMuerte!B:B,"",0)</f>
        <v>Otras / No especificada</v>
      </c>
      <c r="I287">
        <f>_xlfn.XLOOKUP($G287,RazónMuerte!$A:$A,RazónMuerte!C:C,"",0)</f>
        <v>0</v>
      </c>
      <c r="J287" t="str">
        <f>_xlfn.XLOOKUP($G287,RazónMuerte!$A:$A,RazónMuerte!D:D,"",0)</f>
        <v>No clasificado</v>
      </c>
    </row>
    <row r="288" spans="1:10" x14ac:dyDescent="0.25">
      <c r="A288" t="s">
        <v>945</v>
      </c>
      <c r="B288" t="str">
        <f t="shared" si="8"/>
        <v>15</v>
      </c>
      <c r="C288" t="str">
        <f t="shared" si="9"/>
        <v>MARZO</v>
      </c>
      <c r="D288" s="20">
        <v>45731</v>
      </c>
      <c r="E288" t="s">
        <v>124</v>
      </c>
      <c r="F288" t="s">
        <v>946</v>
      </c>
      <c r="G288" t="s">
        <v>947</v>
      </c>
      <c r="H288" t="str">
        <f>_xlfn.XLOOKUP($G288,RazónMuerte!$A:$A,RazónMuerte!B:B,"",0)</f>
        <v>Fractura ósea</v>
      </c>
      <c r="I288" t="str">
        <f>_xlfn.XLOOKUP($G288,RazónMuerte!$A:$A,RazónMuerte!C:C,"",0)</f>
        <v>No especificado</v>
      </c>
      <c r="J288" t="str">
        <f>_xlfn.XLOOKUP($G288,RazónMuerte!$A:$A,RazónMuerte!D:D,"",0)</f>
        <v>Fatal injury</v>
      </c>
    </row>
    <row r="289" spans="1:10" x14ac:dyDescent="0.25">
      <c r="A289" t="s">
        <v>948</v>
      </c>
      <c r="B289" t="str">
        <f t="shared" si="8"/>
        <v>17</v>
      </c>
      <c r="C289" t="str">
        <f t="shared" si="9"/>
        <v>MARZO</v>
      </c>
      <c r="D289" s="20">
        <v>45733</v>
      </c>
      <c r="E289" t="s">
        <v>949</v>
      </c>
      <c r="F289" t="s">
        <v>950</v>
      </c>
      <c r="G289" t="s">
        <v>951</v>
      </c>
      <c r="H289" t="str">
        <f>_xlfn.XLOOKUP($G289,RazónMuerte!$A:$A,RazónMuerte!B:B,"",0)</f>
        <v>Fractura ósea</v>
      </c>
      <c r="I289" t="str">
        <f>_xlfn.XLOOKUP($G289,RazónMuerte!$A:$A,RazónMuerte!C:C,"",0)</f>
        <v>Rodilla / Carpal</v>
      </c>
      <c r="J289" t="str">
        <f>_xlfn.XLOOKUP($G289,RazónMuerte!$A:$A,RazónMuerte!D:D,"",0)</f>
        <v>Fatal injury</v>
      </c>
    </row>
    <row r="290" spans="1:10" x14ac:dyDescent="0.25">
      <c r="A290" t="s">
        <v>952</v>
      </c>
      <c r="B290" t="str">
        <f t="shared" si="8"/>
        <v>18</v>
      </c>
      <c r="C290" t="str">
        <f t="shared" si="9"/>
        <v>MARZO</v>
      </c>
      <c r="D290" s="20">
        <v>45734</v>
      </c>
      <c r="E290" t="s">
        <v>389</v>
      </c>
      <c r="F290" t="s">
        <v>953</v>
      </c>
      <c r="G290" t="s">
        <v>954</v>
      </c>
      <c r="H290" t="str">
        <f>_xlfn.XLOOKUP($G290,RazónMuerte!$A:$A,RazónMuerte!B:B,"",0)</f>
        <v>Fractura ósea</v>
      </c>
      <c r="I290" t="str">
        <f>_xlfn.XLOOKUP($G290,RazónMuerte!$A:$A,RazónMuerte!C:C,"",0)</f>
        <v>Splint</v>
      </c>
      <c r="J290" t="str">
        <f>_xlfn.XLOOKUP($G290,RazónMuerte!$A:$A,RazónMuerte!D:D,"",0)</f>
        <v>Fatal injury</v>
      </c>
    </row>
    <row r="291" spans="1:10" x14ac:dyDescent="0.25">
      <c r="A291" t="s">
        <v>955</v>
      </c>
      <c r="B291" t="str">
        <f t="shared" si="8"/>
        <v>22</v>
      </c>
      <c r="C291" t="str">
        <f t="shared" si="9"/>
        <v>MARZO</v>
      </c>
      <c r="D291" s="20">
        <v>45738</v>
      </c>
      <c r="E291" t="s">
        <v>35</v>
      </c>
      <c r="F291" t="s">
        <v>956</v>
      </c>
      <c r="G291" t="s">
        <v>957</v>
      </c>
      <c r="H291" t="str">
        <f>_xlfn.XLOOKUP($G291,RazónMuerte!$A:$A,RazónMuerte!B:B,"",0)</f>
        <v>Otras / No especificada</v>
      </c>
      <c r="I291">
        <f>_xlfn.XLOOKUP($G291,RazónMuerte!$A:$A,RazónMuerte!C:C,"",0)</f>
        <v>0</v>
      </c>
      <c r="J291" t="str">
        <f>_xlfn.XLOOKUP($G291,RazónMuerte!$A:$A,RazónMuerte!D:D,"",0)</f>
        <v>No clasificado</v>
      </c>
    </row>
    <row r="292" spans="1:10" x14ac:dyDescent="0.25">
      <c r="A292" t="s">
        <v>961</v>
      </c>
      <c r="B292" t="str">
        <f t="shared" si="8"/>
        <v>28</v>
      </c>
      <c r="C292" t="str">
        <f t="shared" si="9"/>
        <v>MARZO</v>
      </c>
      <c r="D292" s="20">
        <v>45744</v>
      </c>
      <c r="E292" t="s">
        <v>960</v>
      </c>
      <c r="F292" t="s">
        <v>959</v>
      </c>
      <c r="G292" t="s">
        <v>958</v>
      </c>
      <c r="H292" t="str">
        <f>_xlfn.XLOOKUP($G292,RazónMuerte!$A:$A,RazónMuerte!B:B,"",0)</f>
        <v>Fractura ósea</v>
      </c>
      <c r="I292" t="str">
        <f>_xlfn.XLOOKUP($G292,RazónMuerte!$A:$A,RazónMuerte!C:C,"",0)</f>
        <v>Slab</v>
      </c>
      <c r="J292" t="str">
        <f>_xlfn.XLOOKUP($G292,RazónMuerte!$A:$A,RazónMuerte!D:D,"",0)</f>
        <v>Fatal injury</v>
      </c>
    </row>
    <row r="293" spans="1:10" x14ac:dyDescent="0.25">
      <c r="A293" t="s">
        <v>962</v>
      </c>
      <c r="B293" t="str">
        <f t="shared" si="8"/>
        <v>7</v>
      </c>
      <c r="C293" t="str">
        <f t="shared" si="9"/>
        <v>ABRIL</v>
      </c>
      <c r="D293" s="20">
        <v>45754</v>
      </c>
      <c r="E293" t="s">
        <v>9</v>
      </c>
      <c r="F293" t="s">
        <v>972</v>
      </c>
      <c r="G293" t="s">
        <v>661</v>
      </c>
      <c r="H293" t="str">
        <f>_xlfn.XLOOKUP($G293,RazónMuerte!$A:$A,RazónMuerte!B:B,"",0)</f>
        <v>Fractura ósea</v>
      </c>
      <c r="I293" t="str">
        <f>_xlfn.XLOOKUP($G293,RazónMuerte!$A:$A,RazónMuerte!C:C,"",0)</f>
        <v>Rodilla / Carpal</v>
      </c>
      <c r="J293" t="str">
        <f>_xlfn.XLOOKUP($G293,RazónMuerte!$A:$A,RazónMuerte!D:D,"",0)</f>
        <v>Fatal injury</v>
      </c>
    </row>
    <row r="294" spans="1:10" x14ac:dyDescent="0.25">
      <c r="A294" t="s">
        <v>963</v>
      </c>
      <c r="B294" t="str">
        <f t="shared" si="8"/>
        <v>8</v>
      </c>
      <c r="C294" t="str">
        <f t="shared" si="9"/>
        <v>ABRIL</v>
      </c>
      <c r="D294" s="20">
        <v>45755</v>
      </c>
      <c r="E294" t="s">
        <v>964</v>
      </c>
      <c r="F294" t="s">
        <v>965</v>
      </c>
      <c r="G294" t="s">
        <v>966</v>
      </c>
      <c r="H294" t="str">
        <f>_xlfn.XLOOKUP($G294,RazónMuerte!$A:$A,RazónMuerte!B:B,"",0)</f>
        <v>Fractura ósea</v>
      </c>
      <c r="I294" t="str">
        <f>_xlfn.XLOOKUP($G294,RazónMuerte!$A:$A,RazónMuerte!C:C,"",0)</f>
        <v>No especificado</v>
      </c>
      <c r="J294" t="str">
        <f>_xlfn.XLOOKUP($G294,RazónMuerte!$A:$A,RazónMuerte!D:D,"",0)</f>
        <v>Fatal injury</v>
      </c>
    </row>
    <row r="295" spans="1:10" x14ac:dyDescent="0.25">
      <c r="A295" t="s">
        <v>963</v>
      </c>
      <c r="B295" t="str">
        <f t="shared" si="8"/>
        <v>8</v>
      </c>
      <c r="C295" t="str">
        <f t="shared" si="9"/>
        <v>ABRIL</v>
      </c>
      <c r="D295" s="20">
        <v>45755</v>
      </c>
      <c r="E295" t="s">
        <v>31</v>
      </c>
      <c r="F295" t="s">
        <v>971</v>
      </c>
      <c r="G295" t="s">
        <v>967</v>
      </c>
      <c r="H295" t="str">
        <f>_xlfn.XLOOKUP($G295,RazónMuerte!$A:$A,RazónMuerte!B:B,"",0)</f>
        <v>Fractura ósea</v>
      </c>
      <c r="I295" t="str">
        <f>_xlfn.XLOOKUP($G295,RazónMuerte!$A:$A,RazónMuerte!C:C,"",0)</f>
        <v>No especificado</v>
      </c>
      <c r="J295" t="str">
        <f>_xlfn.XLOOKUP($G295,RazónMuerte!$A:$A,RazónMuerte!D:D,"",0)</f>
        <v>Fatal injury</v>
      </c>
    </row>
    <row r="296" spans="1:10" x14ac:dyDescent="0.25">
      <c r="A296" t="s">
        <v>963</v>
      </c>
      <c r="B296" t="str">
        <f t="shared" si="8"/>
        <v>8</v>
      </c>
      <c r="C296" t="str">
        <f t="shared" si="9"/>
        <v>ABRIL</v>
      </c>
      <c r="D296" s="20">
        <v>45755</v>
      </c>
      <c r="E296" t="s">
        <v>969</v>
      </c>
      <c r="F296" t="s">
        <v>970</v>
      </c>
      <c r="G296" t="s">
        <v>968</v>
      </c>
      <c r="H296" t="str">
        <f>_xlfn.XLOOKUP($G296,RazónMuerte!$A:$A,RazónMuerte!B:B,"",0)</f>
        <v>Fractura ósea</v>
      </c>
      <c r="I296" t="str">
        <f>_xlfn.XLOOKUP($G296,RazónMuerte!$A:$A,RazónMuerte!C:C,"",0)</f>
        <v>Slab</v>
      </c>
      <c r="J296" t="str">
        <f>_xlfn.XLOOKUP($G296,RazónMuerte!$A:$A,RazónMuerte!D:D,"",0)</f>
        <v>Fatal injury</v>
      </c>
    </row>
    <row r="297" spans="1:10" x14ac:dyDescent="0.25">
      <c r="A297" t="s">
        <v>978</v>
      </c>
      <c r="B297" t="str">
        <f t="shared" si="8"/>
        <v>22</v>
      </c>
      <c r="C297" t="str">
        <f t="shared" si="9"/>
        <v>ABRIL</v>
      </c>
      <c r="D297" s="20">
        <v>45769</v>
      </c>
      <c r="E297" t="s">
        <v>108</v>
      </c>
      <c r="F297" t="s">
        <v>979</v>
      </c>
      <c r="G297" t="s">
        <v>980</v>
      </c>
      <c r="H297" t="str">
        <f>_xlfn.XLOOKUP($G297,RazónMuerte!$A:$A,RazónMuerte!B:B,"",0)</f>
        <v>Otras / No especificada</v>
      </c>
      <c r="I297">
        <f>_xlfn.XLOOKUP($G297,RazónMuerte!$A:$A,RazónMuerte!C:C,"",0)</f>
        <v>0</v>
      </c>
      <c r="J297" t="str">
        <f>_xlfn.XLOOKUP($G297,RazónMuerte!$A:$A,RazónMuerte!D:D,"",0)</f>
        <v>No clasificado</v>
      </c>
    </row>
    <row r="298" spans="1:10" x14ac:dyDescent="0.25">
      <c r="A298" t="s">
        <v>983</v>
      </c>
      <c r="B298" t="str">
        <f t="shared" si="8"/>
        <v>25</v>
      </c>
      <c r="C298" t="str">
        <f t="shared" si="9"/>
        <v>ABRIL</v>
      </c>
      <c r="D298" s="20">
        <v>45772</v>
      </c>
      <c r="E298" t="s">
        <v>102</v>
      </c>
      <c r="F298" t="s">
        <v>982</v>
      </c>
      <c r="G298" t="s">
        <v>981</v>
      </c>
      <c r="H298" t="str">
        <f>_xlfn.XLOOKUP($G298,RazónMuerte!$A:$A,RazónMuerte!B:B,"",0)</f>
        <v>Otras / No especificada</v>
      </c>
      <c r="I298">
        <f>_xlfn.XLOOKUP($G298,RazónMuerte!$A:$A,RazónMuerte!C:C,"",0)</f>
        <v>0</v>
      </c>
      <c r="J298" t="str">
        <f>_xlfn.XLOOKUP($G298,RazónMuerte!$A:$A,RazónMuerte!D:D,"",0)</f>
        <v>No clasificado</v>
      </c>
    </row>
    <row r="299" spans="1:10" x14ac:dyDescent="0.25">
      <c r="A299" t="s">
        <v>984</v>
      </c>
      <c r="B299" t="str">
        <f t="shared" si="8"/>
        <v>30</v>
      </c>
      <c r="C299" t="str">
        <f t="shared" si="9"/>
        <v>ABRIL</v>
      </c>
      <c r="D299" s="20">
        <v>45777</v>
      </c>
      <c r="E299" t="s">
        <v>987</v>
      </c>
      <c r="F299" t="s">
        <v>988</v>
      </c>
      <c r="G299" t="s">
        <v>989</v>
      </c>
      <c r="H299" t="str">
        <f>_xlfn.XLOOKUP($G299,RazónMuerte!$A:$A,RazónMuerte!B:B,"",0)</f>
        <v>Otras / No especificada</v>
      </c>
      <c r="I299">
        <f>_xlfn.XLOOKUP($G299,RazónMuerte!$A:$A,RazónMuerte!C:C,"",0)</f>
        <v>0</v>
      </c>
      <c r="J299" t="str">
        <f>_xlfn.XLOOKUP($G299,RazónMuerte!$A:$A,RazónMuerte!D:D,"",0)</f>
        <v>No clasificado</v>
      </c>
    </row>
    <row r="300" spans="1:10" x14ac:dyDescent="0.25">
      <c r="A300" t="s">
        <v>984</v>
      </c>
      <c r="B300" t="str">
        <f t="shared" si="8"/>
        <v>30</v>
      </c>
      <c r="C300" t="str">
        <f t="shared" si="9"/>
        <v>ABRIL</v>
      </c>
      <c r="D300" s="20">
        <v>45777</v>
      </c>
      <c r="E300" t="s">
        <v>67</v>
      </c>
      <c r="F300" t="s">
        <v>985</v>
      </c>
      <c r="G300" t="s">
        <v>986</v>
      </c>
      <c r="H300" t="str">
        <f>_xlfn.XLOOKUP($G300,RazónMuerte!$A:$A,RazónMuerte!B:B,"",0)</f>
        <v>Otras / No especificada</v>
      </c>
      <c r="I300">
        <f>_xlfn.XLOOKUP($G300,RazónMuerte!$A:$A,RazónMuerte!C:C,"",0)</f>
        <v>0</v>
      </c>
      <c r="J300" t="str">
        <f>_xlfn.XLOOKUP($G300,RazónMuerte!$A:$A,RazónMuerte!D:D,"",0)</f>
        <v>No clasificado</v>
      </c>
    </row>
    <row r="301" spans="1:10" x14ac:dyDescent="0.25">
      <c r="A301" t="s">
        <v>990</v>
      </c>
      <c r="B301" t="str">
        <f t="shared" si="8"/>
        <v>3</v>
      </c>
      <c r="C301" t="str">
        <f t="shared" si="9"/>
        <v>MAYO</v>
      </c>
      <c r="D301" s="20">
        <v>45780</v>
      </c>
      <c r="E301" t="s">
        <v>991</v>
      </c>
      <c r="F301" t="s">
        <v>992</v>
      </c>
      <c r="G301" t="s">
        <v>966</v>
      </c>
      <c r="H301" t="str">
        <f>_xlfn.XLOOKUP($G301,RazónMuerte!$A:$A,RazónMuerte!B:B,"",0)</f>
        <v>Fractura ósea</v>
      </c>
      <c r="I301" t="str">
        <f>_xlfn.XLOOKUP($G301,RazónMuerte!$A:$A,RazónMuerte!C:C,"",0)</f>
        <v>No especificado</v>
      </c>
      <c r="J301" t="str">
        <f>_xlfn.XLOOKUP($G301,RazónMuerte!$A:$A,RazónMuerte!D:D,"",0)</f>
        <v>Fatal injury</v>
      </c>
    </row>
    <row r="302" spans="1:10" x14ac:dyDescent="0.25">
      <c r="A302" t="s">
        <v>995</v>
      </c>
      <c r="B302" t="str">
        <f t="shared" si="8"/>
        <v>9</v>
      </c>
      <c r="C302" t="str">
        <f t="shared" si="9"/>
        <v>MAYO</v>
      </c>
      <c r="D302" s="20">
        <v>45786</v>
      </c>
      <c r="E302" t="s">
        <v>99</v>
      </c>
      <c r="F302" t="s">
        <v>994</v>
      </c>
      <c r="G302" t="s">
        <v>993</v>
      </c>
      <c r="H302" t="str">
        <f>_xlfn.XLOOKUP($G302,RazónMuerte!$A:$A,RazónMuerte!B:B,"",0)</f>
        <v>Otras / No especificada</v>
      </c>
      <c r="I302">
        <f>_xlfn.XLOOKUP($G302,RazónMuerte!$A:$A,RazónMuerte!C:C,"",0)</f>
        <v>0</v>
      </c>
      <c r="J302" t="str">
        <f>_xlfn.XLOOKUP($G302,RazónMuerte!$A:$A,RazónMuerte!D:D,"",0)</f>
        <v>No clasificado</v>
      </c>
    </row>
    <row r="303" spans="1:10" x14ac:dyDescent="0.25">
      <c r="A303" t="s">
        <v>996</v>
      </c>
      <c r="B303" t="str">
        <f t="shared" si="8"/>
        <v>12</v>
      </c>
      <c r="C303" t="str">
        <f t="shared" si="9"/>
        <v>MAYO</v>
      </c>
      <c r="D303" s="20">
        <v>45789</v>
      </c>
      <c r="E303" t="s">
        <v>349</v>
      </c>
      <c r="F303" t="s">
        <v>997</v>
      </c>
      <c r="G303" t="s">
        <v>998</v>
      </c>
      <c r="H303" t="str">
        <f>_xlfn.XLOOKUP($G303,RazónMuerte!$A:$A,RazónMuerte!B:B,"",0)</f>
        <v>Fractura ósea</v>
      </c>
      <c r="I303" t="str">
        <f>_xlfn.XLOOKUP($G303,RazónMuerte!$A:$A,RazónMuerte!C:C,"",0)</f>
        <v>Caña / Cannon bone</v>
      </c>
      <c r="J303" t="str">
        <f>_xlfn.XLOOKUP($G303,RazónMuerte!$A:$A,RazónMuerte!D:D,"",0)</f>
        <v>Fatal injury</v>
      </c>
    </row>
    <row r="304" spans="1:10" x14ac:dyDescent="0.25">
      <c r="A304" t="s">
        <v>1001</v>
      </c>
      <c r="B304" t="str">
        <f t="shared" si="8"/>
        <v>13</v>
      </c>
      <c r="C304" t="str">
        <f t="shared" si="9"/>
        <v>MAYO</v>
      </c>
      <c r="D304" s="20">
        <v>45790</v>
      </c>
      <c r="E304" t="s">
        <v>21</v>
      </c>
      <c r="F304" t="s">
        <v>1000</v>
      </c>
      <c r="G304" t="s">
        <v>999</v>
      </c>
      <c r="H304" t="str">
        <f>_xlfn.XLOOKUP($G304,RazónMuerte!$A:$A,RazónMuerte!B:B,"",0)</f>
        <v>Otras / No especificada</v>
      </c>
      <c r="I304">
        <f>_xlfn.XLOOKUP($G304,RazónMuerte!$A:$A,RazónMuerte!C:C,"",0)</f>
        <v>0</v>
      </c>
      <c r="J304" t="str">
        <f>_xlfn.XLOOKUP($G304,RazónMuerte!$A:$A,RazónMuerte!D:D,"",0)</f>
        <v>Fatal injury</v>
      </c>
    </row>
    <row r="305" spans="1:10" x14ac:dyDescent="0.25">
      <c r="A305" t="s">
        <v>1002</v>
      </c>
      <c r="B305" t="str">
        <f t="shared" si="8"/>
        <v>14</v>
      </c>
      <c r="C305" t="str">
        <f t="shared" si="9"/>
        <v>MAYO</v>
      </c>
      <c r="D305" s="20">
        <v>45791</v>
      </c>
      <c r="E305" t="s">
        <v>1003</v>
      </c>
      <c r="F305" t="s">
        <v>1004</v>
      </c>
      <c r="G305" t="s">
        <v>1005</v>
      </c>
      <c r="H305" t="str">
        <f>_xlfn.XLOOKUP($G305,RazónMuerte!$A:$A,RazónMuerte!B:B,"",0)</f>
        <v>Fractura ósea</v>
      </c>
      <c r="I305" t="str">
        <f>_xlfn.XLOOKUP($G305,RazónMuerte!$A:$A,RazónMuerte!C:C,"",0)</f>
        <v>No especificado</v>
      </c>
      <c r="J305" t="str">
        <f>_xlfn.XLOOKUP($G305,RazónMuerte!$A:$A,RazónMuerte!D:D,"",0)</f>
        <v>Fatal injury</v>
      </c>
    </row>
    <row r="306" spans="1:10" x14ac:dyDescent="0.25">
      <c r="A306" t="s">
        <v>1009</v>
      </c>
      <c r="B306" t="str">
        <f t="shared" si="8"/>
        <v>16</v>
      </c>
      <c r="C306" t="str">
        <f t="shared" si="9"/>
        <v>MAYO</v>
      </c>
      <c r="D306" s="20">
        <v>45793</v>
      </c>
      <c r="E306" t="s">
        <v>1008</v>
      </c>
      <c r="F306" t="s">
        <v>1007</v>
      </c>
      <c r="G306" t="s">
        <v>1006</v>
      </c>
      <c r="H306" t="str">
        <f>_xlfn.XLOOKUP($G306,RazónMuerte!$A:$A,RazónMuerte!B:B,"",0)</f>
        <v>Fractura ósea</v>
      </c>
      <c r="I306" t="str">
        <f>_xlfn.XLOOKUP($G306,RazónMuerte!$A:$A,RazónMuerte!C:C,"",0)</f>
        <v>Rodilla / Carpal</v>
      </c>
      <c r="J306" t="str">
        <f>_xlfn.XLOOKUP($G306,RazónMuerte!$A:$A,RazónMuerte!D:D,"",0)</f>
        <v>Fatal injury</v>
      </c>
    </row>
    <row r="307" spans="1:10" x14ac:dyDescent="0.25">
      <c r="A307" t="s">
        <v>1009</v>
      </c>
      <c r="B307" t="str">
        <f t="shared" si="8"/>
        <v>16</v>
      </c>
      <c r="C307" t="str">
        <f t="shared" si="9"/>
        <v>MAYO</v>
      </c>
      <c r="D307" s="20">
        <v>45793</v>
      </c>
      <c r="E307" t="s">
        <v>10</v>
      </c>
      <c r="F307" t="s">
        <v>1010</v>
      </c>
      <c r="G307" t="s">
        <v>1011</v>
      </c>
      <c r="H307" t="str">
        <f>_xlfn.XLOOKUP($G307,RazónMuerte!$A:$A,RazónMuerte!B:B,"",0)</f>
        <v>Fractura ósea</v>
      </c>
      <c r="I307" t="str">
        <f>_xlfn.XLOOKUP($G307,RazónMuerte!$A:$A,RazónMuerte!C:C,"",0)</f>
        <v>Slab</v>
      </c>
      <c r="J307" t="str">
        <f>_xlfn.XLOOKUP($G307,RazónMuerte!$A:$A,RazónMuerte!D:D,"",0)</f>
        <v>Fatal injury</v>
      </c>
    </row>
    <row r="308" spans="1:10" x14ac:dyDescent="0.25">
      <c r="A308" t="s">
        <v>1012</v>
      </c>
      <c r="B308" t="str">
        <f t="shared" si="8"/>
        <v>19</v>
      </c>
      <c r="C308" t="str">
        <f t="shared" si="9"/>
        <v>MAYO</v>
      </c>
      <c r="D308" s="20">
        <v>45796</v>
      </c>
      <c r="E308" t="s">
        <v>645</v>
      </c>
      <c r="F308" t="s">
        <v>1013</v>
      </c>
      <c r="G308" t="s">
        <v>1014</v>
      </c>
      <c r="H308" t="str">
        <f>_xlfn.XLOOKUP($G308,RazónMuerte!$A:$A,RazónMuerte!B:B,"",0)</f>
        <v>Otras / No especificada</v>
      </c>
      <c r="I308">
        <f>_xlfn.XLOOKUP($G308,RazónMuerte!$A:$A,RazónMuerte!C:C,"",0)</f>
        <v>0</v>
      </c>
      <c r="J308" t="str">
        <f>_xlfn.XLOOKUP($G308,RazónMuerte!$A:$A,RazónMuerte!D:D,"",0)</f>
        <v>No clasificado</v>
      </c>
    </row>
    <row r="309" spans="1:10" x14ac:dyDescent="0.25">
      <c r="A309" t="s">
        <v>1017</v>
      </c>
      <c r="B309" t="str">
        <f t="shared" si="8"/>
        <v>23</v>
      </c>
      <c r="C309" t="str">
        <f t="shared" si="9"/>
        <v>MAYO</v>
      </c>
      <c r="D309" s="20">
        <v>45800</v>
      </c>
      <c r="E309" t="s">
        <v>85</v>
      </c>
      <c r="F309" t="s">
        <v>1016</v>
      </c>
      <c r="G309" t="s">
        <v>1015</v>
      </c>
      <c r="H309" t="str">
        <f>_xlfn.XLOOKUP($G309,RazónMuerte!$A:$A,RazónMuerte!B:B,"",0)</f>
        <v>Lesión de ligamentos/tendones</v>
      </c>
      <c r="I309">
        <f>_xlfn.XLOOKUP($G309,RazónMuerte!$A:$A,RazónMuerte!C:C,"",0)</f>
        <v>0</v>
      </c>
      <c r="J309" t="str">
        <f>_xlfn.XLOOKUP($G309,RazónMuerte!$A:$A,RazónMuerte!D:D,"",0)</f>
        <v>No clasificado</v>
      </c>
    </row>
    <row r="310" spans="1:10" x14ac:dyDescent="0.25">
      <c r="A310" t="s">
        <v>1018</v>
      </c>
      <c r="B310" t="str">
        <f t="shared" si="8"/>
        <v>24</v>
      </c>
      <c r="C310" t="str">
        <f t="shared" si="9"/>
        <v>MAYO</v>
      </c>
      <c r="D310" s="20">
        <v>45801</v>
      </c>
      <c r="E310" t="s">
        <v>812</v>
      </c>
      <c r="F310" t="s">
        <v>1019</v>
      </c>
      <c r="G310" t="s">
        <v>1020</v>
      </c>
      <c r="H310" t="str">
        <f>_xlfn.XLOOKUP($G310,RazónMuerte!$A:$A,RazónMuerte!B:B,"",0)</f>
        <v>Fractura ósea</v>
      </c>
      <c r="I310" t="str">
        <f>_xlfn.XLOOKUP($G310,RazónMuerte!$A:$A,RazónMuerte!C:C,"",0)</f>
        <v>Sesamoideo</v>
      </c>
      <c r="J310" t="str">
        <f>_xlfn.XLOOKUP($G310,RazónMuerte!$A:$A,RazónMuerte!D:D,"",0)</f>
        <v>Fatal injury</v>
      </c>
    </row>
    <row r="311" spans="1:10" x14ac:dyDescent="0.25">
      <c r="A311" t="s">
        <v>1021</v>
      </c>
      <c r="B311" t="str">
        <f t="shared" si="8"/>
        <v>26</v>
      </c>
      <c r="C311" t="str">
        <f t="shared" si="9"/>
        <v>MAYO</v>
      </c>
      <c r="D311" s="20">
        <v>45803</v>
      </c>
      <c r="E311" t="s">
        <v>28</v>
      </c>
      <c r="F311" t="s">
        <v>1022</v>
      </c>
      <c r="G311" t="s">
        <v>1023</v>
      </c>
      <c r="H311" t="str">
        <f>_xlfn.XLOOKUP($G311,RazónMuerte!$A:$A,RazónMuerte!B:B,"",0)</f>
        <v>Enfermedad degenerativa articular</v>
      </c>
      <c r="I311">
        <f>_xlfn.XLOOKUP($G311,RazónMuerte!$A:$A,RazónMuerte!C:C,"",0)</f>
        <v>0</v>
      </c>
      <c r="J311" t="str">
        <f>_xlfn.XLOOKUP($G311,RazónMuerte!$A:$A,RazónMuerte!D:D,"",0)</f>
        <v>Fatal injury</v>
      </c>
    </row>
    <row r="312" spans="1:10" x14ac:dyDescent="0.25">
      <c r="A312" t="s">
        <v>1021</v>
      </c>
      <c r="B312" t="str">
        <f t="shared" si="8"/>
        <v>26</v>
      </c>
      <c r="C312" t="str">
        <f t="shared" si="9"/>
        <v>MAYO</v>
      </c>
      <c r="D312" s="20">
        <v>45803</v>
      </c>
      <c r="E312" t="s">
        <v>31</v>
      </c>
      <c r="F312" t="s">
        <v>1025</v>
      </c>
      <c r="G312" t="s">
        <v>1024</v>
      </c>
      <c r="H312" t="str">
        <f>_xlfn.XLOOKUP($G312,RazónMuerte!$A:$A,RazónMuerte!B:B,"",0)</f>
        <v>Fractura ósea</v>
      </c>
      <c r="I312" t="str">
        <f>_xlfn.XLOOKUP($G312,RazónMuerte!$A:$A,RazónMuerte!C:C,"",0)</f>
        <v>Slab</v>
      </c>
      <c r="J312" t="str">
        <f>_xlfn.XLOOKUP($G312,RazónMuerte!$A:$A,RazónMuerte!D:D,"",0)</f>
        <v>Fatal injury</v>
      </c>
    </row>
    <row r="313" spans="1:10" x14ac:dyDescent="0.25">
      <c r="A313" t="s">
        <v>1021</v>
      </c>
      <c r="B313" t="str">
        <f t="shared" si="8"/>
        <v>26</v>
      </c>
      <c r="C313" t="str">
        <f t="shared" si="9"/>
        <v>MAYO</v>
      </c>
      <c r="D313" s="20">
        <v>45803</v>
      </c>
      <c r="E313" t="s">
        <v>1026</v>
      </c>
      <c r="F313" t="s">
        <v>1027</v>
      </c>
      <c r="G313" t="s">
        <v>1028</v>
      </c>
      <c r="H313" t="str">
        <f>_xlfn.XLOOKUP($G313,RazónMuerte!$A:$A,RazónMuerte!B:B,"",0)</f>
        <v>Otras / No especificada</v>
      </c>
      <c r="I313">
        <f>_xlfn.XLOOKUP($G313,RazónMuerte!$A:$A,RazónMuerte!C:C,"",0)</f>
        <v>0</v>
      </c>
      <c r="J313" t="str">
        <f>_xlfn.XLOOKUP($G313,RazónMuerte!$A:$A,RazónMuerte!D:D,"",0)</f>
        <v>No clasificado</v>
      </c>
    </row>
    <row r="314" spans="1:10" x14ac:dyDescent="0.25">
      <c r="A314" t="s">
        <v>1031</v>
      </c>
      <c r="B314" t="str">
        <f t="shared" si="8"/>
        <v>29</v>
      </c>
      <c r="C314" t="str">
        <f t="shared" si="9"/>
        <v>MAYO</v>
      </c>
      <c r="D314" s="20">
        <v>45806</v>
      </c>
      <c r="E314" t="s">
        <v>61</v>
      </c>
      <c r="F314" t="s">
        <v>1030</v>
      </c>
      <c r="G314" t="s">
        <v>1029</v>
      </c>
      <c r="H314" t="str">
        <f>_xlfn.XLOOKUP($G314,RazónMuerte!$A:$A,RazónMuerte!B:B,"",0)</f>
        <v>Lesión de ligamentos/tendones</v>
      </c>
      <c r="I314">
        <f>_xlfn.XLOOKUP($G314,RazónMuerte!$A:$A,RazónMuerte!C:C,"",0)</f>
        <v>0</v>
      </c>
      <c r="J314" t="str">
        <f>_xlfn.XLOOKUP($G314,RazónMuerte!$A:$A,RazónMuerte!D:D,"",0)</f>
        <v>No clasificado</v>
      </c>
    </row>
    <row r="315" spans="1:10" x14ac:dyDescent="0.25">
      <c r="A315" t="s">
        <v>1031</v>
      </c>
      <c r="B315" t="str">
        <f t="shared" si="8"/>
        <v>29</v>
      </c>
      <c r="C315" t="str">
        <f t="shared" si="9"/>
        <v>MAYO</v>
      </c>
      <c r="D315" s="20">
        <v>45806</v>
      </c>
      <c r="E315" t="s">
        <v>52</v>
      </c>
      <c r="F315" t="s">
        <v>1069</v>
      </c>
      <c r="G315" t="s">
        <v>1070</v>
      </c>
      <c r="H315" t="str">
        <f>_xlfn.XLOOKUP($G315,RazónMuerte!$A:$A,RazónMuerte!B:B,"",0)</f>
        <v>Otras / No especificada</v>
      </c>
      <c r="I315">
        <f>_xlfn.XLOOKUP($G315,RazónMuerte!$A:$A,RazónMuerte!C:C,"",0)</f>
        <v>0</v>
      </c>
      <c r="J315" t="str">
        <f>_xlfn.XLOOKUP($G315,RazónMuerte!$A:$A,RazónMuerte!D:D,"",0)</f>
        <v>No clasificado</v>
      </c>
    </row>
    <row r="316" spans="1:10" x14ac:dyDescent="0.25">
      <c r="A316" t="s">
        <v>1032</v>
      </c>
      <c r="B316" t="str">
        <f t="shared" si="8"/>
        <v>30</v>
      </c>
      <c r="C316" t="str">
        <f t="shared" si="9"/>
        <v>MAYO</v>
      </c>
      <c r="D316" s="20">
        <v>45807</v>
      </c>
      <c r="E316" t="s">
        <v>789</v>
      </c>
      <c r="F316" t="s">
        <v>1033</v>
      </c>
      <c r="G316" t="s">
        <v>1034</v>
      </c>
      <c r="H316" t="str">
        <f>_xlfn.XLOOKUP($G316,RazónMuerte!$A:$A,RazónMuerte!B:B,"",0)</f>
        <v>Enfermedad degenerativa articular</v>
      </c>
      <c r="I316">
        <f>_xlfn.XLOOKUP($G316,RazónMuerte!$A:$A,RazónMuerte!C:C,"",0)</f>
        <v>0</v>
      </c>
      <c r="J316" t="str">
        <f>_xlfn.XLOOKUP($G316,RazónMuerte!$A:$A,RazónMuerte!D:D,"",0)</f>
        <v>No fatal injury (chronic/medical)</v>
      </c>
    </row>
    <row r="317" spans="1:10" x14ac:dyDescent="0.25">
      <c r="A317" t="s">
        <v>1032</v>
      </c>
      <c r="B317" t="str">
        <f t="shared" si="8"/>
        <v>30</v>
      </c>
      <c r="C317" t="str">
        <f t="shared" si="9"/>
        <v>MAYO</v>
      </c>
      <c r="D317" s="20">
        <v>45807</v>
      </c>
      <c r="E317" t="s">
        <v>17</v>
      </c>
      <c r="F317" t="s">
        <v>1035</v>
      </c>
      <c r="G317" t="s">
        <v>653</v>
      </c>
      <c r="H317" t="str">
        <f>_xlfn.XLOOKUP($G317,RazónMuerte!$A:$A,RazónMuerte!B:B,"",0)</f>
        <v>Otras / No especificada</v>
      </c>
      <c r="I317">
        <f>_xlfn.XLOOKUP($G317,RazónMuerte!$A:$A,RazónMuerte!C:C,"",0)</f>
        <v>0</v>
      </c>
      <c r="J317" t="str">
        <f>_xlfn.XLOOKUP($G317,RazónMuerte!$A:$A,RazónMuerte!D:D,"",0)</f>
        <v>No clasificado</v>
      </c>
    </row>
    <row r="318" spans="1:10" x14ac:dyDescent="0.25">
      <c r="A318" t="s">
        <v>1032</v>
      </c>
      <c r="B318" t="str">
        <f t="shared" si="8"/>
        <v>30</v>
      </c>
      <c r="C318" t="str">
        <f t="shared" si="9"/>
        <v>MAYO</v>
      </c>
      <c r="D318" s="20">
        <v>45807</v>
      </c>
      <c r="E318" t="s">
        <v>1037</v>
      </c>
      <c r="F318" t="s">
        <v>1038</v>
      </c>
      <c r="G318" t="s">
        <v>1039</v>
      </c>
      <c r="H318" t="str">
        <f>_xlfn.XLOOKUP($G318,RazónMuerte!$A:$A,RazónMuerte!B:B,"",0)</f>
        <v>Fractura ósea</v>
      </c>
      <c r="I318" t="str">
        <f>_xlfn.XLOOKUP($G318,RazónMuerte!$A:$A,RazónMuerte!C:C,"",0)</f>
        <v>Sesamoideo</v>
      </c>
      <c r="J318" t="str">
        <f>_xlfn.XLOOKUP($G318,RazónMuerte!$A:$A,RazónMuerte!D:D,"",0)</f>
        <v>Fatal injury</v>
      </c>
    </row>
    <row r="319" spans="1:10" x14ac:dyDescent="0.25">
      <c r="A319" t="s">
        <v>1036</v>
      </c>
      <c r="B319" t="str">
        <f t="shared" si="8"/>
        <v>1</v>
      </c>
      <c r="C319" t="str">
        <f t="shared" si="9"/>
        <v>JUNIO</v>
      </c>
      <c r="D319" s="20">
        <v>45809</v>
      </c>
      <c r="E319" t="s">
        <v>1041</v>
      </c>
      <c r="F319" t="s">
        <v>1040</v>
      </c>
      <c r="G319" t="s">
        <v>103</v>
      </c>
      <c r="H319" t="str">
        <f>_xlfn.XLOOKUP($G319,RazónMuerte!$A:$A,RazónMuerte!B:B,"",0)</f>
        <v>Fractura ósea</v>
      </c>
      <c r="I319" t="str">
        <f>_xlfn.XLOOKUP($G319,RazónMuerte!$A:$A,RazónMuerte!C:C,"",0)</f>
        <v>Sesamoideo</v>
      </c>
      <c r="J319" t="str">
        <f>_xlfn.XLOOKUP($G319,RazónMuerte!$A:$A,RazónMuerte!D:D,"",0)</f>
        <v>Fatal injury</v>
      </c>
    </row>
    <row r="320" spans="1:10" x14ac:dyDescent="0.25">
      <c r="A320" t="s">
        <v>1044</v>
      </c>
      <c r="B320" t="str">
        <f t="shared" si="8"/>
        <v>7</v>
      </c>
      <c r="C320" t="str">
        <f t="shared" si="9"/>
        <v>JUNIO</v>
      </c>
      <c r="D320" s="20">
        <v>45815</v>
      </c>
      <c r="E320" t="s">
        <v>81</v>
      </c>
      <c r="F320" t="s">
        <v>1043</v>
      </c>
      <c r="G320" t="s">
        <v>1042</v>
      </c>
      <c r="H320" t="str">
        <f>_xlfn.XLOOKUP($G320,RazónMuerte!$A:$A,RazónMuerte!B:B,"",0)</f>
        <v>Otras / No especificada</v>
      </c>
      <c r="I320">
        <f>_xlfn.XLOOKUP($G320,RazónMuerte!$A:$A,RazónMuerte!C:C,"",0)</f>
        <v>0</v>
      </c>
      <c r="J320" t="str">
        <f>_xlfn.XLOOKUP($G320,RazónMuerte!$A:$A,RazónMuerte!D:D,"",0)</f>
        <v>No clasificado</v>
      </c>
    </row>
    <row r="321" spans="1:10" x14ac:dyDescent="0.25">
      <c r="A321" t="s">
        <v>1049</v>
      </c>
      <c r="B321" t="str">
        <f t="shared" si="8"/>
        <v>8</v>
      </c>
      <c r="C321" t="str">
        <f t="shared" si="9"/>
        <v>JUNIO</v>
      </c>
      <c r="D321" s="20">
        <v>45816</v>
      </c>
      <c r="E321" t="s">
        <v>1048</v>
      </c>
      <c r="F321" t="s">
        <v>1047</v>
      </c>
      <c r="G321" t="s">
        <v>1050</v>
      </c>
      <c r="H321" t="str">
        <f>_xlfn.XLOOKUP($G321,RazónMuerte!$A:$A,RazónMuerte!B:B,"",0)</f>
        <v>Fractura ósea</v>
      </c>
      <c r="I321" t="str">
        <f>_xlfn.XLOOKUP($G321,RazónMuerte!$A:$A,RazónMuerte!C:C,"",0)</f>
        <v>Condylar</v>
      </c>
      <c r="J321" t="str">
        <f>_xlfn.XLOOKUP($G321,RazónMuerte!$A:$A,RazónMuerte!D:D,"",0)</f>
        <v>Fatal injury</v>
      </c>
    </row>
    <row r="322" spans="1:10" x14ac:dyDescent="0.25">
      <c r="A322" t="s">
        <v>1045</v>
      </c>
      <c r="B322" t="str">
        <f t="shared" ref="B322:B385" si="10">LEFT(A322,FIND("-",A322)-1)</f>
        <v>9</v>
      </c>
      <c r="C322" t="str">
        <f t="shared" ref="C322:C385" si="11">MID(A322,FIND("-",A322)+1,FIND("-",A322,FIND("-",A322)+1)-FIND("-",A322)-1)</f>
        <v>JUNIO</v>
      </c>
      <c r="D322" s="20">
        <v>45817</v>
      </c>
      <c r="E322" t="s">
        <v>31</v>
      </c>
      <c r="F322" t="s">
        <v>1046</v>
      </c>
      <c r="G322" t="s">
        <v>661</v>
      </c>
      <c r="H322" t="str">
        <f>_xlfn.XLOOKUP($G322,RazónMuerte!$A:$A,RazónMuerte!B:B,"",0)</f>
        <v>Fractura ósea</v>
      </c>
      <c r="I322" t="str">
        <f>_xlfn.XLOOKUP($G322,RazónMuerte!$A:$A,RazónMuerte!C:C,"",0)</f>
        <v>Rodilla / Carpal</v>
      </c>
      <c r="J322" t="str">
        <f>_xlfn.XLOOKUP($G322,RazónMuerte!$A:$A,RazónMuerte!D:D,"",0)</f>
        <v>Fatal injury</v>
      </c>
    </row>
    <row r="323" spans="1:10" x14ac:dyDescent="0.25">
      <c r="A323" t="s">
        <v>1051</v>
      </c>
      <c r="B323" t="str">
        <f t="shared" si="10"/>
        <v>10</v>
      </c>
      <c r="C323" t="str">
        <f t="shared" si="11"/>
        <v>JUNIO</v>
      </c>
      <c r="D323" s="20">
        <v>45818</v>
      </c>
      <c r="E323" t="s">
        <v>1052</v>
      </c>
      <c r="F323" t="s">
        <v>1053</v>
      </c>
      <c r="G323" t="s">
        <v>101</v>
      </c>
      <c r="H323" t="str">
        <f>_xlfn.XLOOKUP($G323,RazónMuerte!$A:$A,RazónMuerte!B:B,"",0)</f>
        <v>Fractura ósea</v>
      </c>
      <c r="I323" t="str">
        <f>_xlfn.XLOOKUP($G323,RazónMuerte!$A:$A,RazónMuerte!C:C,"",0)</f>
        <v>Rodilla / Carpal</v>
      </c>
      <c r="J323" t="str">
        <f>_xlfn.XLOOKUP($G323,RazónMuerte!$A:$A,RazónMuerte!D:D,"",0)</f>
        <v>Fatal injury</v>
      </c>
    </row>
    <row r="324" spans="1:10" x14ac:dyDescent="0.25">
      <c r="A324" t="s">
        <v>1056</v>
      </c>
      <c r="B324" t="str">
        <f t="shared" si="10"/>
        <v>13</v>
      </c>
      <c r="C324" t="str">
        <f t="shared" si="11"/>
        <v>JUNIO</v>
      </c>
      <c r="D324" s="20">
        <v>45821</v>
      </c>
      <c r="E324" t="s">
        <v>815</v>
      </c>
      <c r="F324" t="s">
        <v>1055</v>
      </c>
      <c r="G324" t="s">
        <v>1054</v>
      </c>
      <c r="H324" t="str">
        <f>_xlfn.XLOOKUP($G324,RazónMuerte!$A:$A,RazónMuerte!B:B,"",0)</f>
        <v>Enfermedad degenerativa articular</v>
      </c>
      <c r="I324">
        <f>_xlfn.XLOOKUP($G324,RazónMuerte!$A:$A,RazónMuerte!C:C,"",0)</f>
        <v>0</v>
      </c>
      <c r="J324" t="str">
        <f>_xlfn.XLOOKUP($G324,RazónMuerte!$A:$A,RazónMuerte!D:D,"",0)</f>
        <v>Fatal injury</v>
      </c>
    </row>
    <row r="325" spans="1:10" x14ac:dyDescent="0.25">
      <c r="A325" t="s">
        <v>1057</v>
      </c>
      <c r="B325" t="str">
        <f t="shared" si="10"/>
        <v>14</v>
      </c>
      <c r="C325" t="str">
        <f t="shared" si="11"/>
        <v>JUNIO</v>
      </c>
      <c r="D325" s="20">
        <v>45822</v>
      </c>
      <c r="E325" t="s">
        <v>1058</v>
      </c>
      <c r="F325" t="s">
        <v>1059</v>
      </c>
      <c r="G325" t="s">
        <v>966</v>
      </c>
      <c r="H325" t="str">
        <f>_xlfn.XLOOKUP($G325,RazónMuerte!$A:$A,RazónMuerte!B:B,"",0)</f>
        <v>Fractura ósea</v>
      </c>
      <c r="I325" t="str">
        <f>_xlfn.XLOOKUP($G325,RazónMuerte!$A:$A,RazónMuerte!C:C,"",0)</f>
        <v>No especificado</v>
      </c>
      <c r="J325" t="str">
        <f>_xlfn.XLOOKUP($G325,RazónMuerte!$A:$A,RazónMuerte!D:D,"",0)</f>
        <v>Fatal injury</v>
      </c>
    </row>
    <row r="326" spans="1:10" x14ac:dyDescent="0.25">
      <c r="A326" t="s">
        <v>1060</v>
      </c>
      <c r="B326" t="str">
        <f t="shared" si="10"/>
        <v>23</v>
      </c>
      <c r="C326" t="str">
        <f t="shared" si="11"/>
        <v>JUNIO</v>
      </c>
      <c r="D326" s="20">
        <v>45831</v>
      </c>
      <c r="E326" t="s">
        <v>1061</v>
      </c>
      <c r="F326" t="s">
        <v>1062</v>
      </c>
      <c r="G326" t="s">
        <v>1063</v>
      </c>
      <c r="H326" t="str">
        <f>_xlfn.XLOOKUP($G326,RazónMuerte!$A:$A,RazónMuerte!B:B,"",0)</f>
        <v>Fractura ósea</v>
      </c>
      <c r="I326" t="str">
        <f>_xlfn.XLOOKUP($G326,RazónMuerte!$A:$A,RazónMuerte!C:C,"",0)</f>
        <v>Rodilla / Carpal</v>
      </c>
      <c r="J326" t="str">
        <f>_xlfn.XLOOKUP($G326,RazónMuerte!$A:$A,RazónMuerte!D:D,"",0)</f>
        <v>Fatal injury</v>
      </c>
    </row>
    <row r="327" spans="1:10" x14ac:dyDescent="0.25">
      <c r="A327" t="s">
        <v>1060</v>
      </c>
      <c r="B327" t="str">
        <f t="shared" si="10"/>
        <v>23</v>
      </c>
      <c r="C327" t="str">
        <f t="shared" si="11"/>
        <v>JUNIO</v>
      </c>
      <c r="D327" s="20">
        <v>45831</v>
      </c>
      <c r="E327" t="s">
        <v>68</v>
      </c>
      <c r="F327" t="s">
        <v>1065</v>
      </c>
      <c r="G327" t="s">
        <v>1064</v>
      </c>
      <c r="H327" t="str">
        <f>_xlfn.XLOOKUP($G327,RazónMuerte!$A:$A,RazónMuerte!B:B,"",0)</f>
        <v>Otras / No especificada</v>
      </c>
      <c r="I327">
        <f>_xlfn.XLOOKUP($G327,RazónMuerte!$A:$A,RazónMuerte!C:C,"",0)</f>
        <v>0</v>
      </c>
      <c r="J327" t="str">
        <f>_xlfn.XLOOKUP($G327,RazónMuerte!$A:$A,RazónMuerte!D:D,"",0)</f>
        <v>No clasificado</v>
      </c>
    </row>
    <row r="328" spans="1:10" x14ac:dyDescent="0.25">
      <c r="A328" t="s">
        <v>1066</v>
      </c>
      <c r="B328" t="str">
        <f t="shared" si="10"/>
        <v>24</v>
      </c>
      <c r="C328" t="str">
        <f t="shared" si="11"/>
        <v>JUNIO</v>
      </c>
      <c r="D328" s="20">
        <v>45832</v>
      </c>
      <c r="E328" t="s">
        <v>97</v>
      </c>
      <c r="F328" t="s">
        <v>1067</v>
      </c>
      <c r="G328" t="s">
        <v>1068</v>
      </c>
      <c r="H328" t="str">
        <f>_xlfn.XLOOKUP($G328,RazónMuerte!$A:$A,RazónMuerte!B:B,"",0)</f>
        <v>Fractura ósea</v>
      </c>
      <c r="I328" t="str">
        <f>_xlfn.XLOOKUP($G328,RazónMuerte!$A:$A,RazónMuerte!C:C,"",0)</f>
        <v>Sesamoideo</v>
      </c>
      <c r="J328" t="str">
        <f>_xlfn.XLOOKUP($G328,RazónMuerte!$A:$A,RazónMuerte!D:D,"",0)</f>
        <v>Fatal injury</v>
      </c>
    </row>
    <row r="329" spans="1:10" x14ac:dyDescent="0.25">
      <c r="A329" t="s">
        <v>1071</v>
      </c>
      <c r="B329" t="str">
        <f t="shared" si="10"/>
        <v>27</v>
      </c>
      <c r="C329" t="str">
        <f t="shared" si="11"/>
        <v>JUNIO</v>
      </c>
      <c r="D329" s="20">
        <v>45835</v>
      </c>
      <c r="E329" t="s">
        <v>1072</v>
      </c>
      <c r="F329" t="s">
        <v>1118</v>
      </c>
      <c r="G329" t="s">
        <v>1073</v>
      </c>
      <c r="H329" t="str">
        <f>_xlfn.XLOOKUP($G329,RazónMuerte!$A:$A,RazónMuerte!B:B,"",0)</f>
        <v>Otras / No especificada</v>
      </c>
      <c r="I329">
        <f>_xlfn.XLOOKUP($G329,RazónMuerte!$A:$A,RazónMuerte!C:C,"",0)</f>
        <v>0</v>
      </c>
      <c r="J329" t="str">
        <f>_xlfn.XLOOKUP($G329,RazónMuerte!$A:$A,RazónMuerte!D:D,"",0)</f>
        <v>No fatal injury (chronic/medical)</v>
      </c>
    </row>
    <row r="330" spans="1:10" x14ac:dyDescent="0.25">
      <c r="A330" t="s">
        <v>1074</v>
      </c>
      <c r="B330" t="str">
        <f t="shared" si="10"/>
        <v>28</v>
      </c>
      <c r="C330" t="str">
        <f t="shared" si="11"/>
        <v>JUNIO</v>
      </c>
      <c r="D330" s="20">
        <v>45836</v>
      </c>
      <c r="E330" t="s">
        <v>1075</v>
      </c>
      <c r="F330" t="s">
        <v>1076</v>
      </c>
      <c r="G330" t="s">
        <v>966</v>
      </c>
      <c r="H330" t="str">
        <f>_xlfn.XLOOKUP($G330,RazónMuerte!$A:$A,RazónMuerte!B:B,"",0)</f>
        <v>Fractura ósea</v>
      </c>
      <c r="I330" t="str">
        <f>_xlfn.XLOOKUP($G330,RazónMuerte!$A:$A,RazónMuerte!C:C,"",0)</f>
        <v>No especificado</v>
      </c>
      <c r="J330" t="str">
        <f>_xlfn.XLOOKUP($G330,RazónMuerte!$A:$A,RazónMuerte!D:D,"",0)</f>
        <v>Fatal injury</v>
      </c>
    </row>
    <row r="331" spans="1:10" x14ac:dyDescent="0.25">
      <c r="A331" t="s">
        <v>1079</v>
      </c>
      <c r="B331" t="str">
        <f t="shared" si="10"/>
        <v>30</v>
      </c>
      <c r="C331" t="str">
        <f t="shared" si="11"/>
        <v>JUNIO</v>
      </c>
      <c r="D331" s="20">
        <v>45838</v>
      </c>
      <c r="E331" t="s">
        <v>28</v>
      </c>
      <c r="F331" t="s">
        <v>1078</v>
      </c>
      <c r="G331" t="s">
        <v>1077</v>
      </c>
      <c r="H331" t="str">
        <f>_xlfn.XLOOKUP($G331,RazónMuerte!$A:$A,RazónMuerte!B:B,"",0)</f>
        <v>Fractura ósea</v>
      </c>
      <c r="I331" t="str">
        <f>_xlfn.XLOOKUP($G331,RazónMuerte!$A:$A,RazónMuerte!C:C,"",0)</f>
        <v>Sesamoideo</v>
      </c>
      <c r="J331" t="str">
        <f>_xlfn.XLOOKUP($G331,RazónMuerte!$A:$A,RazónMuerte!D:D,"",0)</f>
        <v>Fatal injury</v>
      </c>
    </row>
    <row r="332" spans="1:10" x14ac:dyDescent="0.25">
      <c r="A332" t="s">
        <v>1079</v>
      </c>
      <c r="B332" t="str">
        <f t="shared" si="10"/>
        <v>30</v>
      </c>
      <c r="C332" t="str">
        <f t="shared" si="11"/>
        <v>JUNIO</v>
      </c>
      <c r="D332" s="20">
        <v>45838</v>
      </c>
      <c r="E332" t="s">
        <v>73</v>
      </c>
      <c r="F332" t="s">
        <v>1080</v>
      </c>
      <c r="G332" t="s">
        <v>1081</v>
      </c>
      <c r="H332" t="str">
        <f>_xlfn.XLOOKUP($G332,RazónMuerte!$A:$A,RazónMuerte!B:B,"",0)</f>
        <v>Fractura ósea</v>
      </c>
      <c r="I332" t="str">
        <f>_xlfn.XLOOKUP($G332,RazónMuerte!$A:$A,RazónMuerte!C:C,"",0)</f>
        <v>Sesamoideo</v>
      </c>
      <c r="J332" t="str">
        <f>_xlfn.XLOOKUP($G332,RazónMuerte!$A:$A,RazónMuerte!D:D,"",0)</f>
        <v>Fatal injury</v>
      </c>
    </row>
    <row r="333" spans="1:10" x14ac:dyDescent="0.25">
      <c r="A333" t="s">
        <v>1079</v>
      </c>
      <c r="B333" t="str">
        <f t="shared" si="10"/>
        <v>30</v>
      </c>
      <c r="C333" t="str">
        <f t="shared" si="11"/>
        <v>JUNIO</v>
      </c>
      <c r="D333" s="20">
        <v>45838</v>
      </c>
      <c r="E333" t="s">
        <v>31</v>
      </c>
      <c r="F333" t="s">
        <v>1083</v>
      </c>
      <c r="G333" t="s">
        <v>1082</v>
      </c>
      <c r="H333" t="str">
        <f>_xlfn.XLOOKUP($G333,RazónMuerte!$A:$A,RazónMuerte!B:B,"",0)</f>
        <v>Otras / No especificada</v>
      </c>
      <c r="I333">
        <f>_xlfn.XLOOKUP($G333,RazónMuerte!$A:$A,RazónMuerte!C:C,"",0)</f>
        <v>0</v>
      </c>
      <c r="J333" t="str">
        <f>_xlfn.XLOOKUP($G333,RazónMuerte!$A:$A,RazónMuerte!D:D,"",0)</f>
        <v>No clasificado</v>
      </c>
    </row>
    <row r="334" spans="1:10" x14ac:dyDescent="0.25">
      <c r="A334" t="s">
        <v>1079</v>
      </c>
      <c r="B334" t="str">
        <f t="shared" si="10"/>
        <v>30</v>
      </c>
      <c r="C334" t="str">
        <f t="shared" si="11"/>
        <v>JUNIO</v>
      </c>
      <c r="D334" s="20">
        <v>45838</v>
      </c>
      <c r="E334" t="s">
        <v>1084</v>
      </c>
      <c r="F334" t="s">
        <v>1085</v>
      </c>
      <c r="G334" t="s">
        <v>1086</v>
      </c>
      <c r="H334" t="str">
        <f>_xlfn.XLOOKUP($G334,RazónMuerte!$A:$A,RazónMuerte!B:B,"",0)</f>
        <v>Enfermedad degenerativa articular</v>
      </c>
      <c r="I334">
        <f>_xlfn.XLOOKUP($G334,RazónMuerte!$A:$A,RazónMuerte!C:C,"",0)</f>
        <v>0</v>
      </c>
      <c r="J334" t="str">
        <f>_xlfn.XLOOKUP($G334,RazónMuerte!$A:$A,RazónMuerte!D:D,"",0)</f>
        <v>No fatal injury (chronic/medical)</v>
      </c>
    </row>
    <row r="335" spans="1:10" x14ac:dyDescent="0.25">
      <c r="A335" t="s">
        <v>1090</v>
      </c>
      <c r="B335" t="str">
        <f t="shared" si="10"/>
        <v>1</v>
      </c>
      <c r="C335" t="str">
        <f t="shared" si="11"/>
        <v>JULIO</v>
      </c>
      <c r="D335" s="20">
        <v>45839</v>
      </c>
      <c r="E335" t="s">
        <v>1089</v>
      </c>
      <c r="F335" t="s">
        <v>1088</v>
      </c>
      <c r="G335" t="s">
        <v>1087</v>
      </c>
      <c r="H335" t="str">
        <f>_xlfn.XLOOKUP($G335,RazónMuerte!$A:$A,RazónMuerte!B:B,"",0)</f>
        <v>Fractura ósea</v>
      </c>
      <c r="I335" t="str">
        <f>_xlfn.XLOOKUP($G335,RazónMuerte!$A:$A,RazónMuerte!C:C,"",0)</f>
        <v>Splint</v>
      </c>
      <c r="J335" t="str">
        <f>_xlfn.XLOOKUP($G335,RazónMuerte!$A:$A,RazónMuerte!D:D,"",0)</f>
        <v>Fatal injury</v>
      </c>
    </row>
    <row r="336" spans="1:10" x14ac:dyDescent="0.25">
      <c r="A336" t="s">
        <v>1090</v>
      </c>
      <c r="B336" t="str">
        <f t="shared" si="10"/>
        <v>1</v>
      </c>
      <c r="C336" t="str">
        <f t="shared" si="11"/>
        <v>JULIO</v>
      </c>
      <c r="D336" s="20">
        <v>45839</v>
      </c>
      <c r="E336" t="s">
        <v>113</v>
      </c>
      <c r="F336" t="s">
        <v>1091</v>
      </c>
      <c r="G336" t="s">
        <v>1092</v>
      </c>
      <c r="H336" t="str">
        <f>_xlfn.XLOOKUP($G336,RazónMuerte!$A:$A,RazónMuerte!B:B,"",0)</f>
        <v>Fractura ósea</v>
      </c>
      <c r="I336" t="str">
        <f>_xlfn.XLOOKUP($G336,RazónMuerte!$A:$A,RazónMuerte!C:C,"",0)</f>
        <v>Fetlock</v>
      </c>
      <c r="J336" t="str">
        <f>_xlfn.XLOOKUP($G336,RazónMuerte!$A:$A,RazónMuerte!D:D,"",0)</f>
        <v>Fatal injury</v>
      </c>
    </row>
    <row r="337" spans="1:10" x14ac:dyDescent="0.25">
      <c r="A337" t="s">
        <v>1090</v>
      </c>
      <c r="B337" t="str">
        <f t="shared" si="10"/>
        <v>1</v>
      </c>
      <c r="C337" t="str">
        <f t="shared" si="11"/>
        <v>JULIO</v>
      </c>
      <c r="D337" s="20">
        <v>45839</v>
      </c>
      <c r="E337" t="s">
        <v>92</v>
      </c>
      <c r="F337" t="s">
        <v>1094</v>
      </c>
      <c r="G337" t="s">
        <v>1093</v>
      </c>
      <c r="H337" t="str">
        <f>_xlfn.XLOOKUP($G337,RazónMuerte!$A:$A,RazónMuerte!B:B,"",0)</f>
        <v>Otras / No especificada</v>
      </c>
      <c r="I337">
        <f>_xlfn.XLOOKUP($G337,RazónMuerte!$A:$A,RazónMuerte!C:C,"",0)</f>
        <v>0</v>
      </c>
      <c r="J337" t="str">
        <f>_xlfn.XLOOKUP($G337,RazónMuerte!$A:$A,RazónMuerte!D:D,"",0)</f>
        <v>No fatal injury (chronic/medical)</v>
      </c>
    </row>
    <row r="338" spans="1:10" x14ac:dyDescent="0.25">
      <c r="A338" t="s">
        <v>1095</v>
      </c>
      <c r="B338" t="str">
        <f t="shared" si="10"/>
        <v>3</v>
      </c>
      <c r="C338" t="str">
        <f t="shared" si="11"/>
        <v>JULIO</v>
      </c>
      <c r="D338" s="20">
        <v>45841</v>
      </c>
      <c r="E338" t="s">
        <v>1096</v>
      </c>
      <c r="F338" t="s">
        <v>1097</v>
      </c>
      <c r="G338" t="s">
        <v>1098</v>
      </c>
      <c r="H338" t="str">
        <f>_xlfn.XLOOKUP($G338,RazónMuerte!$A:$A,RazónMuerte!B:B,"",0)</f>
        <v>Fractura ósea</v>
      </c>
      <c r="I338" t="str">
        <f>_xlfn.XLOOKUP($G338,RazónMuerte!$A:$A,RazónMuerte!C:C,"",0)</f>
        <v>Sesamoideo</v>
      </c>
      <c r="J338" t="str">
        <f>_xlfn.XLOOKUP($G338,RazónMuerte!$A:$A,RazónMuerte!D:D,"",0)</f>
        <v>Fatal injury</v>
      </c>
    </row>
    <row r="339" spans="1:10" x14ac:dyDescent="0.25">
      <c r="A339" t="s">
        <v>1101</v>
      </c>
      <c r="B339" t="str">
        <f t="shared" si="10"/>
        <v>6</v>
      </c>
      <c r="C339" t="str">
        <f t="shared" si="11"/>
        <v>JULIO</v>
      </c>
      <c r="D339" s="20">
        <v>45844</v>
      </c>
      <c r="E339" t="s">
        <v>1102</v>
      </c>
      <c r="F339" t="s">
        <v>1103</v>
      </c>
      <c r="G339" t="s">
        <v>1104</v>
      </c>
      <c r="H339" t="str">
        <f>_xlfn.XLOOKUP($G339,RazónMuerte!$A:$A,RazónMuerte!B:B,"",0)</f>
        <v>Fractura ósea</v>
      </c>
      <c r="I339" t="str">
        <f>_xlfn.XLOOKUP($G339,RazónMuerte!$A:$A,RazónMuerte!C:C,"",0)</f>
        <v>No especificado</v>
      </c>
      <c r="J339" t="str">
        <f>_xlfn.XLOOKUP($G339,RazónMuerte!$A:$A,RazónMuerte!D:D,"",0)</f>
        <v>Fatal injury</v>
      </c>
    </row>
    <row r="340" spans="1:10" x14ac:dyDescent="0.25">
      <c r="A340" t="s">
        <v>1100</v>
      </c>
      <c r="B340" t="str">
        <f t="shared" si="10"/>
        <v>7</v>
      </c>
      <c r="C340" t="str">
        <f t="shared" si="11"/>
        <v>JULIO</v>
      </c>
      <c r="D340" s="20">
        <v>45845</v>
      </c>
      <c r="E340" t="s">
        <v>840</v>
      </c>
      <c r="F340" t="s">
        <v>1099</v>
      </c>
      <c r="G340" t="s">
        <v>661</v>
      </c>
      <c r="H340" t="str">
        <f>_xlfn.XLOOKUP($G340,RazónMuerte!$A:$A,RazónMuerte!B:B,"",0)</f>
        <v>Fractura ósea</v>
      </c>
      <c r="I340" t="str">
        <f>_xlfn.XLOOKUP($G340,RazónMuerte!$A:$A,RazónMuerte!C:C,"",0)</f>
        <v>Rodilla / Carpal</v>
      </c>
      <c r="J340" t="str">
        <f>_xlfn.XLOOKUP($G340,RazónMuerte!$A:$A,RazónMuerte!D:D,"",0)</f>
        <v>Fatal injury</v>
      </c>
    </row>
    <row r="341" spans="1:10" x14ac:dyDescent="0.25">
      <c r="A341" t="s">
        <v>1105</v>
      </c>
      <c r="B341" t="str">
        <f t="shared" si="10"/>
        <v>11</v>
      </c>
      <c r="C341" t="str">
        <f t="shared" si="11"/>
        <v>JULIO</v>
      </c>
      <c r="D341" s="20">
        <v>45849</v>
      </c>
      <c r="E341" t="s">
        <v>111</v>
      </c>
      <c r="F341" t="s">
        <v>1106</v>
      </c>
      <c r="G341" t="s">
        <v>564</v>
      </c>
      <c r="H341" t="str">
        <f>_xlfn.XLOOKUP($G341,RazónMuerte!$A:$A,RazónMuerte!B:B,"",0)</f>
        <v>Fractura ósea</v>
      </c>
      <c r="I341" t="str">
        <f>_xlfn.XLOOKUP($G341,RazónMuerte!$A:$A,RazónMuerte!C:C,"",0)</f>
        <v>Sesamoideo</v>
      </c>
      <c r="J341" t="str">
        <f>_xlfn.XLOOKUP($G341,RazónMuerte!$A:$A,RazónMuerte!D:D,"",0)</f>
        <v>Fatal injury</v>
      </c>
    </row>
    <row r="342" spans="1:10" x14ac:dyDescent="0.25">
      <c r="A342" t="s">
        <v>1109</v>
      </c>
      <c r="B342" t="str">
        <f t="shared" si="10"/>
        <v>14</v>
      </c>
      <c r="C342" t="str">
        <f t="shared" si="11"/>
        <v>JULIO</v>
      </c>
      <c r="D342" s="20">
        <v>45852</v>
      </c>
      <c r="E342" t="s">
        <v>96</v>
      </c>
      <c r="F342" t="s">
        <v>1108</v>
      </c>
      <c r="G342" t="s">
        <v>1107</v>
      </c>
      <c r="H342" t="str">
        <f>_xlfn.XLOOKUP($G342,RazónMuerte!$A:$A,RazónMuerte!B:B,"",0)</f>
        <v>Fractura ósea</v>
      </c>
      <c r="I342" t="str">
        <f>_xlfn.XLOOKUP($G342,RazónMuerte!$A:$A,RazónMuerte!C:C,"",0)</f>
        <v>Rodilla / Carpal</v>
      </c>
      <c r="J342" t="str">
        <f>_xlfn.XLOOKUP($G342,RazónMuerte!$A:$A,RazónMuerte!D:D,"",0)</f>
        <v>Fatal injury</v>
      </c>
    </row>
    <row r="343" spans="1:10" x14ac:dyDescent="0.25">
      <c r="A343" t="s">
        <v>1109</v>
      </c>
      <c r="B343" t="str">
        <f t="shared" si="10"/>
        <v>14</v>
      </c>
      <c r="C343" t="str">
        <f t="shared" si="11"/>
        <v>JULIO</v>
      </c>
      <c r="D343" s="20">
        <v>45852</v>
      </c>
      <c r="E343" t="s">
        <v>1110</v>
      </c>
      <c r="F343" t="s">
        <v>1111</v>
      </c>
      <c r="G343" t="s">
        <v>1112</v>
      </c>
      <c r="H343" t="str">
        <f>_xlfn.XLOOKUP($G343,RazónMuerte!$A:$A,RazónMuerte!B:B,"",0)</f>
        <v>Fractura ósea</v>
      </c>
      <c r="I343" t="str">
        <f>_xlfn.XLOOKUP($G343,RazónMuerte!$A:$A,RazónMuerte!C:C,"",0)</f>
        <v>Slab</v>
      </c>
      <c r="J343" t="str">
        <f>_xlfn.XLOOKUP($G343,RazónMuerte!$A:$A,RazónMuerte!D:D,"",0)</f>
        <v>Fatal injury</v>
      </c>
    </row>
    <row r="344" spans="1:10" x14ac:dyDescent="0.25">
      <c r="A344" t="s">
        <v>1109</v>
      </c>
      <c r="B344" t="str">
        <f t="shared" si="10"/>
        <v>14</v>
      </c>
      <c r="C344" t="str">
        <f t="shared" si="11"/>
        <v>JULIO</v>
      </c>
      <c r="D344" s="20">
        <v>45852</v>
      </c>
      <c r="E344" t="s">
        <v>108</v>
      </c>
      <c r="F344" t="s">
        <v>1114</v>
      </c>
      <c r="G344" t="s">
        <v>1113</v>
      </c>
      <c r="H344" t="str">
        <f>_xlfn.XLOOKUP($G344,RazónMuerte!$A:$A,RazónMuerte!B:B,"",0)</f>
        <v>Fractura ósea</v>
      </c>
      <c r="I344" t="str">
        <f>_xlfn.XLOOKUP($G344,RazónMuerte!$A:$A,RazónMuerte!C:C,"",0)</f>
        <v>Sesamoideo</v>
      </c>
      <c r="J344" t="str">
        <f>_xlfn.XLOOKUP($G344,RazónMuerte!$A:$A,RazónMuerte!D:D,"",0)</f>
        <v>Fatal injury</v>
      </c>
    </row>
    <row r="345" spans="1:10" x14ac:dyDescent="0.25">
      <c r="A345" t="s">
        <v>1115</v>
      </c>
      <c r="B345" t="str">
        <f t="shared" si="10"/>
        <v>15</v>
      </c>
      <c r="C345" t="str">
        <f t="shared" si="11"/>
        <v>JULIO</v>
      </c>
      <c r="D345" s="20">
        <v>45853</v>
      </c>
      <c r="E345" t="s">
        <v>812</v>
      </c>
      <c r="F345" t="s">
        <v>1117</v>
      </c>
      <c r="G345" t="s">
        <v>1116</v>
      </c>
      <c r="H345" t="str">
        <f>_xlfn.XLOOKUP($G345,RazónMuerte!$A:$A,RazónMuerte!B:B,"",0)</f>
        <v>Otras / No especificada</v>
      </c>
      <c r="I345">
        <f>_xlfn.XLOOKUP($G345,RazónMuerte!$A:$A,RazónMuerte!C:C,"",0)</f>
        <v>0</v>
      </c>
      <c r="J345" t="str">
        <f>_xlfn.XLOOKUP($G345,RazónMuerte!$A:$A,RazónMuerte!D:D,"",0)</f>
        <v>No clasificado</v>
      </c>
    </row>
    <row r="346" spans="1:10" x14ac:dyDescent="0.25">
      <c r="A346" t="s">
        <v>1119</v>
      </c>
      <c r="B346" t="str">
        <f t="shared" si="10"/>
        <v>16</v>
      </c>
      <c r="C346" t="str">
        <f t="shared" si="11"/>
        <v>JULIO</v>
      </c>
      <c r="D346" s="20">
        <v>45854</v>
      </c>
      <c r="E346" t="s">
        <v>1120</v>
      </c>
      <c r="F346" t="s">
        <v>1121</v>
      </c>
      <c r="G346" t="s">
        <v>1122</v>
      </c>
      <c r="H346" t="str">
        <f>_xlfn.XLOOKUP($G346,RazónMuerte!$A:$A,RazónMuerte!B:B,"",0)</f>
        <v>Fractura ósea</v>
      </c>
      <c r="I346" t="str">
        <f>_xlfn.XLOOKUP($G346,RazónMuerte!$A:$A,RazónMuerte!C:C,"",0)</f>
        <v>Slab</v>
      </c>
      <c r="J346" t="str">
        <f>_xlfn.XLOOKUP($G346,RazónMuerte!$A:$A,RazónMuerte!D:D,"",0)</f>
        <v>Fatal injury</v>
      </c>
    </row>
    <row r="347" spans="1:10" x14ac:dyDescent="0.25">
      <c r="A347" t="s">
        <v>1126</v>
      </c>
      <c r="B347" t="str">
        <f t="shared" si="10"/>
        <v>17</v>
      </c>
      <c r="C347" t="str">
        <f t="shared" si="11"/>
        <v>JULIO</v>
      </c>
      <c r="D347" s="20">
        <v>45855</v>
      </c>
      <c r="E347" t="s">
        <v>1125</v>
      </c>
      <c r="F347" t="s">
        <v>1124</v>
      </c>
      <c r="G347" t="s">
        <v>1123</v>
      </c>
      <c r="H347" t="str">
        <f>_xlfn.XLOOKUP($G347,RazónMuerte!$A:$A,RazónMuerte!B:B,"",0)</f>
        <v>Fractura ósea</v>
      </c>
      <c r="I347" t="str">
        <f>_xlfn.XLOOKUP($G347,RazónMuerte!$A:$A,RazónMuerte!C:C,"",0)</f>
        <v>Rodilla / Carpal</v>
      </c>
      <c r="J347" t="str">
        <f>_xlfn.XLOOKUP($G347,RazónMuerte!$A:$A,RazónMuerte!D:D,"",0)</f>
        <v>Fatal injury</v>
      </c>
    </row>
    <row r="348" spans="1:10" x14ac:dyDescent="0.25">
      <c r="A348" t="s">
        <v>1127</v>
      </c>
      <c r="B348" t="str">
        <f t="shared" si="10"/>
        <v>19</v>
      </c>
      <c r="C348" t="str">
        <f t="shared" si="11"/>
        <v>JULIO</v>
      </c>
      <c r="D348" s="20">
        <v>45857</v>
      </c>
      <c r="E348" t="s">
        <v>13</v>
      </c>
      <c r="F348" t="s">
        <v>1128</v>
      </c>
      <c r="G348" t="s">
        <v>1129</v>
      </c>
      <c r="H348" t="str">
        <f>_xlfn.XLOOKUP($G348,RazónMuerte!$A:$A,RazónMuerte!B:B,"",0)</f>
        <v>Fractura ósea</v>
      </c>
      <c r="I348" t="str">
        <f>_xlfn.XLOOKUP($G348,RazónMuerte!$A:$A,RazónMuerte!C:C,"",0)</f>
        <v>No especificado</v>
      </c>
      <c r="J348" t="str">
        <f>_xlfn.XLOOKUP($G348,RazónMuerte!$A:$A,RazónMuerte!D:D,"",0)</f>
        <v>Fatal injury</v>
      </c>
    </row>
    <row r="349" spans="1:10" x14ac:dyDescent="0.25">
      <c r="A349" t="s">
        <v>1133</v>
      </c>
      <c r="B349" t="str">
        <f t="shared" si="10"/>
        <v>21</v>
      </c>
      <c r="C349" t="str">
        <f t="shared" si="11"/>
        <v>JULIO</v>
      </c>
      <c r="D349" s="20">
        <v>45859</v>
      </c>
      <c r="E349" t="s">
        <v>1132</v>
      </c>
      <c r="F349" t="s">
        <v>1131</v>
      </c>
      <c r="G349" t="s">
        <v>1130</v>
      </c>
      <c r="H349" t="str">
        <f>_xlfn.XLOOKUP($G349,RazónMuerte!$A:$A,RazónMuerte!B:B,"",0)</f>
        <v>Otras / No especificada</v>
      </c>
      <c r="I349">
        <f>_xlfn.XLOOKUP($G349,RazónMuerte!$A:$A,RazónMuerte!C:C,"",0)</f>
        <v>0</v>
      </c>
      <c r="J349" t="str">
        <f>_xlfn.XLOOKUP($G349,RazónMuerte!$A:$A,RazónMuerte!D:D,"",0)</f>
        <v>No clasificado</v>
      </c>
    </row>
    <row r="350" spans="1:10" x14ac:dyDescent="0.25">
      <c r="A350" t="s">
        <v>1133</v>
      </c>
      <c r="B350" t="str">
        <f t="shared" si="10"/>
        <v>21</v>
      </c>
      <c r="C350" t="str">
        <f t="shared" si="11"/>
        <v>JULIO</v>
      </c>
      <c r="D350" s="20">
        <v>45859</v>
      </c>
      <c r="E350" t="s">
        <v>1048</v>
      </c>
      <c r="F350" t="s">
        <v>1134</v>
      </c>
      <c r="G350" t="s">
        <v>1135</v>
      </c>
      <c r="H350" t="str">
        <f>_xlfn.XLOOKUP($G350,RazónMuerte!$A:$A,RazónMuerte!B:B,"",0)</f>
        <v>Fractura ósea</v>
      </c>
      <c r="I350" t="str">
        <f>_xlfn.XLOOKUP($G350,RazónMuerte!$A:$A,RazónMuerte!C:C,"",0)</f>
        <v>Slab</v>
      </c>
      <c r="J350" t="str">
        <f>_xlfn.XLOOKUP($G350,RazónMuerte!$A:$A,RazónMuerte!D:D,"",0)</f>
        <v>Fatal injury</v>
      </c>
    </row>
    <row r="351" spans="1:10" x14ac:dyDescent="0.25">
      <c r="A351" t="s">
        <v>1133</v>
      </c>
      <c r="B351" t="str">
        <f t="shared" si="10"/>
        <v>21</v>
      </c>
      <c r="C351" t="str">
        <f t="shared" si="11"/>
        <v>JULIO</v>
      </c>
      <c r="D351" s="20">
        <v>45859</v>
      </c>
      <c r="E351" t="s">
        <v>31</v>
      </c>
      <c r="F351" t="s">
        <v>1136</v>
      </c>
      <c r="G351" t="s">
        <v>1034</v>
      </c>
      <c r="H351" t="str">
        <f>_xlfn.XLOOKUP($G351,RazónMuerte!$A:$A,RazónMuerte!B:B,"",0)</f>
        <v>Enfermedad degenerativa articular</v>
      </c>
      <c r="I351">
        <f>_xlfn.XLOOKUP($G351,RazónMuerte!$A:$A,RazónMuerte!C:C,"",0)</f>
        <v>0</v>
      </c>
      <c r="J351" t="str">
        <f>_xlfn.XLOOKUP($G351,RazónMuerte!$A:$A,RazónMuerte!D:D,"",0)</f>
        <v>No fatal injury (chronic/medical)</v>
      </c>
    </row>
    <row r="352" spans="1:10" x14ac:dyDescent="0.25">
      <c r="A352" t="s">
        <v>1137</v>
      </c>
      <c r="B352" t="str">
        <f t="shared" si="10"/>
        <v>23</v>
      </c>
      <c r="C352" t="str">
        <f t="shared" si="11"/>
        <v>JULIO</v>
      </c>
      <c r="D352" s="20">
        <v>45861</v>
      </c>
      <c r="E352" t="s">
        <v>1138</v>
      </c>
      <c r="F352" t="s">
        <v>1139</v>
      </c>
      <c r="G352" t="s">
        <v>255</v>
      </c>
      <c r="H352" t="str">
        <f>_xlfn.XLOOKUP($G352,RazónMuerte!$A:$A,RazónMuerte!B:B,"",0)</f>
        <v>Fractura ósea</v>
      </c>
      <c r="I352" t="str">
        <f>_xlfn.XLOOKUP($G352,RazónMuerte!$A:$A,RazónMuerte!C:C,"",0)</f>
        <v>Rodilla / Carpal</v>
      </c>
      <c r="J352" t="str">
        <f>_xlfn.XLOOKUP($G352,RazónMuerte!$A:$A,RazónMuerte!D:D,"",0)</f>
        <v>Fatal injury</v>
      </c>
    </row>
    <row r="353" spans="1:10" x14ac:dyDescent="0.25">
      <c r="A353" t="s">
        <v>1142</v>
      </c>
      <c r="B353" t="str">
        <f t="shared" si="10"/>
        <v>26</v>
      </c>
      <c r="C353" t="str">
        <f t="shared" si="11"/>
        <v>JULIO</v>
      </c>
      <c r="D353" s="20">
        <v>45864</v>
      </c>
      <c r="E353" t="s">
        <v>1141</v>
      </c>
      <c r="F353" t="s">
        <v>1140</v>
      </c>
      <c r="G353" t="s">
        <v>100</v>
      </c>
      <c r="H353" t="str">
        <f>_xlfn.XLOOKUP($G353,RazónMuerte!$A:$A,RazónMuerte!B:B,"",0)</f>
        <v>Fractura ósea</v>
      </c>
      <c r="I353" t="str">
        <f>_xlfn.XLOOKUP($G353,RazónMuerte!$A:$A,RazónMuerte!C:C,"",0)</f>
        <v>Rodilla / Carpal</v>
      </c>
      <c r="J353" t="str">
        <f>_xlfn.XLOOKUP($G353,RazónMuerte!$A:$A,RazónMuerte!D:D,"",0)</f>
        <v>Fatal injury</v>
      </c>
    </row>
    <row r="354" spans="1:10" x14ac:dyDescent="0.25">
      <c r="A354" t="s">
        <v>1143</v>
      </c>
      <c r="B354" t="str">
        <f t="shared" si="10"/>
        <v>28</v>
      </c>
      <c r="C354" t="str">
        <f t="shared" si="11"/>
        <v>JULIO</v>
      </c>
      <c r="D354" s="20">
        <v>45866</v>
      </c>
      <c r="E354" t="s">
        <v>688</v>
      </c>
      <c r="F354" t="s">
        <v>1144</v>
      </c>
      <c r="G354" t="s">
        <v>981</v>
      </c>
      <c r="H354" t="str">
        <f>_xlfn.XLOOKUP($G354,RazónMuerte!$A:$A,RazónMuerte!B:B,"",0)</f>
        <v>Otras / No especificada</v>
      </c>
      <c r="I354">
        <f>_xlfn.XLOOKUP($G354,RazónMuerte!$A:$A,RazónMuerte!C:C,"",0)</f>
        <v>0</v>
      </c>
      <c r="J354" t="str">
        <f>_xlfn.XLOOKUP($G354,RazónMuerte!$A:$A,RazónMuerte!D:D,"",0)</f>
        <v>No clasificado</v>
      </c>
    </row>
    <row r="355" spans="1:10" x14ac:dyDescent="0.25">
      <c r="A355" t="s">
        <v>1148</v>
      </c>
      <c r="B355" t="str">
        <f t="shared" si="10"/>
        <v>30</v>
      </c>
      <c r="C355" t="str">
        <f t="shared" si="11"/>
        <v>JULIO</v>
      </c>
      <c r="D355" s="20">
        <v>45868</v>
      </c>
      <c r="E355" t="s">
        <v>1147</v>
      </c>
      <c r="F355" t="s">
        <v>1146</v>
      </c>
      <c r="G355" t="s">
        <v>1145</v>
      </c>
      <c r="H355" t="str">
        <f>_xlfn.XLOOKUP($G355,RazónMuerte!$A:$A,RazónMuerte!B:B,"",0)</f>
        <v>Fractura ósea</v>
      </c>
      <c r="I355" t="str">
        <f>_xlfn.XLOOKUP($G355,RazónMuerte!$A:$A,RazónMuerte!C:C,"",0)</f>
        <v>Caña / Cannon bone</v>
      </c>
      <c r="J355" t="str">
        <f>_xlfn.XLOOKUP($G355,RazónMuerte!$A:$A,RazónMuerte!D:D,"",0)</f>
        <v>Fatal injury</v>
      </c>
    </row>
    <row r="356" spans="1:10" x14ac:dyDescent="0.25">
      <c r="A356" t="s">
        <v>1154</v>
      </c>
      <c r="B356" t="str">
        <f t="shared" si="10"/>
        <v>31</v>
      </c>
      <c r="C356" t="str">
        <f t="shared" si="11"/>
        <v>JULIO</v>
      </c>
      <c r="D356" s="20">
        <v>45869</v>
      </c>
      <c r="E356" t="s">
        <v>79</v>
      </c>
      <c r="F356" t="s">
        <v>1155</v>
      </c>
      <c r="G356" t="s">
        <v>1024</v>
      </c>
      <c r="H356" t="str">
        <f>_xlfn.XLOOKUP($G356,RazónMuerte!$A:$A,RazónMuerte!B:B,"",0)</f>
        <v>Fractura ósea</v>
      </c>
      <c r="I356" t="str">
        <f>_xlfn.XLOOKUP($G356,RazónMuerte!$A:$A,RazónMuerte!C:C,"",0)</f>
        <v>Slab</v>
      </c>
      <c r="J356" t="str">
        <f>_xlfn.XLOOKUP($G356,RazónMuerte!$A:$A,RazónMuerte!D:D,"",0)</f>
        <v>Fatal injury</v>
      </c>
    </row>
    <row r="357" spans="1:10" x14ac:dyDescent="0.25">
      <c r="A357" t="s">
        <v>1149</v>
      </c>
      <c r="B357" t="str">
        <f t="shared" si="10"/>
        <v>1</v>
      </c>
      <c r="C357" t="str">
        <f t="shared" si="11"/>
        <v>AGOSTO</v>
      </c>
      <c r="D357" s="20">
        <v>45870</v>
      </c>
      <c r="E357" t="s">
        <v>665</v>
      </c>
      <c r="F357" t="s">
        <v>1150</v>
      </c>
      <c r="G357" t="s">
        <v>1151</v>
      </c>
      <c r="H357" t="str">
        <f>_xlfn.XLOOKUP($G357,RazónMuerte!$A:$A,RazónMuerte!B:B,"",0)</f>
        <v>Enfermedad degenerativa articular</v>
      </c>
      <c r="I357">
        <f>_xlfn.XLOOKUP($G357,RazónMuerte!$A:$A,RazónMuerte!C:C,"",0)</f>
        <v>0</v>
      </c>
      <c r="J357" t="str">
        <f>_xlfn.XLOOKUP($G357,RazónMuerte!$A:$A,RazónMuerte!D:D,"",0)</f>
        <v>Fatal injury</v>
      </c>
    </row>
    <row r="358" spans="1:10" x14ac:dyDescent="0.25">
      <c r="A358" t="s">
        <v>1149</v>
      </c>
      <c r="B358" t="str">
        <f t="shared" si="10"/>
        <v>1</v>
      </c>
      <c r="C358" t="str">
        <f t="shared" si="11"/>
        <v>AGOSTO</v>
      </c>
      <c r="D358" s="20">
        <v>45870</v>
      </c>
      <c r="E358" t="s">
        <v>39</v>
      </c>
      <c r="F358" t="s">
        <v>1156</v>
      </c>
      <c r="G358" t="s">
        <v>1157</v>
      </c>
      <c r="H358" t="str">
        <f>_xlfn.XLOOKUP($G358,RazónMuerte!$A:$A,RazónMuerte!B:B,"",0)</f>
        <v>Otras / No especificada</v>
      </c>
      <c r="I358">
        <f>_xlfn.XLOOKUP($G358,RazónMuerte!$A:$A,RazónMuerte!C:C,"",0)</f>
        <v>0</v>
      </c>
      <c r="J358" t="str">
        <f>_xlfn.XLOOKUP($G358,RazónMuerte!$A:$A,RazónMuerte!D:D,"",0)</f>
        <v>No clasificado</v>
      </c>
    </row>
    <row r="359" spans="1:10" x14ac:dyDescent="0.25">
      <c r="A359" t="s">
        <v>1163</v>
      </c>
      <c r="B359" t="str">
        <f t="shared" si="10"/>
        <v>3</v>
      </c>
      <c r="C359" t="str">
        <f t="shared" si="11"/>
        <v>AGOSTO</v>
      </c>
      <c r="D359" s="20">
        <v>45872</v>
      </c>
      <c r="E359" t="s">
        <v>876</v>
      </c>
      <c r="F359" t="s">
        <v>1162</v>
      </c>
      <c r="G359" t="s">
        <v>1161</v>
      </c>
      <c r="H359" t="str">
        <f>_xlfn.XLOOKUP($G359,RazónMuerte!$A:$A,RazónMuerte!B:B,"",0)</f>
        <v>Fractura ósea</v>
      </c>
      <c r="I359" t="str">
        <f>_xlfn.XLOOKUP($G359,RazónMuerte!$A:$A,RazónMuerte!C:C,"",0)</f>
        <v>Rodilla / Carpal</v>
      </c>
      <c r="J359" t="str">
        <f>_xlfn.XLOOKUP($G359,RazónMuerte!$A:$A,RazónMuerte!D:D,"",0)</f>
        <v>Fatal injury</v>
      </c>
    </row>
    <row r="360" spans="1:10" x14ac:dyDescent="0.25">
      <c r="A360" t="s">
        <v>1163</v>
      </c>
      <c r="B360" t="str">
        <f t="shared" si="10"/>
        <v>3</v>
      </c>
      <c r="C360" t="str">
        <f t="shared" si="11"/>
        <v>AGOSTO</v>
      </c>
      <c r="D360" s="20">
        <v>45872</v>
      </c>
      <c r="E360" t="s">
        <v>1199</v>
      </c>
      <c r="F360" t="s">
        <v>1200</v>
      </c>
      <c r="H360">
        <f>_xlfn.XLOOKUP($G360,RazónMuerte!$A:$A,RazónMuerte!B:B,"",0)</f>
        <v>0</v>
      </c>
      <c r="I360">
        <f>_xlfn.XLOOKUP($G360,RazónMuerte!$A:$A,RazónMuerte!C:C,"",0)</f>
        <v>0</v>
      </c>
      <c r="J360">
        <f>_xlfn.XLOOKUP($G360,RazónMuerte!$A:$A,RazónMuerte!D:D,"",0)</f>
        <v>0</v>
      </c>
    </row>
    <row r="361" spans="1:10" x14ac:dyDescent="0.25">
      <c r="A361" t="s">
        <v>1153</v>
      </c>
      <c r="B361" t="str">
        <f t="shared" si="10"/>
        <v>4</v>
      </c>
      <c r="C361" t="str">
        <f t="shared" si="11"/>
        <v>AGOSTO</v>
      </c>
      <c r="D361" s="20">
        <v>45873</v>
      </c>
      <c r="E361" t="s">
        <v>72</v>
      </c>
      <c r="F361" t="s">
        <v>1152</v>
      </c>
      <c r="G361" t="s">
        <v>937</v>
      </c>
      <c r="H361" t="str">
        <f>_xlfn.XLOOKUP($G361,RazónMuerte!$A:$A,RazónMuerte!B:B,"",0)</f>
        <v>Fractura ósea</v>
      </c>
      <c r="I361" t="str">
        <f>_xlfn.XLOOKUP($G361,RazónMuerte!$A:$A,RazónMuerte!C:C,"",0)</f>
        <v>Slab</v>
      </c>
      <c r="J361" t="str">
        <f>_xlfn.XLOOKUP($G361,RazónMuerte!$A:$A,RazónMuerte!D:D,"",0)</f>
        <v>Fatal injury</v>
      </c>
    </row>
    <row r="362" spans="1:10" x14ac:dyDescent="0.25">
      <c r="A362" t="s">
        <v>1153</v>
      </c>
      <c r="B362" t="str">
        <f t="shared" si="10"/>
        <v>4</v>
      </c>
      <c r="C362" t="str">
        <f t="shared" si="11"/>
        <v>AGOSTO</v>
      </c>
      <c r="D362" s="20">
        <v>45873</v>
      </c>
      <c r="E362" t="s">
        <v>632</v>
      </c>
      <c r="F362" t="s">
        <v>1159</v>
      </c>
      <c r="G362" t="s">
        <v>1158</v>
      </c>
      <c r="H362" t="str">
        <f>_xlfn.XLOOKUP($G362,RazónMuerte!$A:$A,RazónMuerte!B:B,"",0)</f>
        <v>Fractura ósea</v>
      </c>
      <c r="I362" t="str">
        <f>_xlfn.XLOOKUP($G362,RazónMuerte!$A:$A,RazónMuerte!C:C,"",0)</f>
        <v>Sesamoideo</v>
      </c>
      <c r="J362" t="str">
        <f>_xlfn.XLOOKUP($G362,RazónMuerte!$A:$A,RazónMuerte!D:D,"",0)</f>
        <v>Fatal injury</v>
      </c>
    </row>
    <row r="363" spans="1:10" x14ac:dyDescent="0.25">
      <c r="A363" t="s">
        <v>1153</v>
      </c>
      <c r="B363" t="str">
        <f t="shared" si="10"/>
        <v>4</v>
      </c>
      <c r="C363" t="str">
        <f t="shared" si="11"/>
        <v>AGOSTO</v>
      </c>
      <c r="D363" s="20">
        <v>45873</v>
      </c>
      <c r="E363" t="s">
        <v>73</v>
      </c>
      <c r="F363" t="s">
        <v>1160</v>
      </c>
      <c r="G363" t="s">
        <v>1024</v>
      </c>
      <c r="H363" t="str">
        <f>_xlfn.XLOOKUP($G363,RazónMuerte!$A:$A,RazónMuerte!B:B,"",0)</f>
        <v>Fractura ósea</v>
      </c>
      <c r="I363" t="str">
        <f>_xlfn.XLOOKUP($G363,RazónMuerte!$A:$A,RazónMuerte!C:C,"",0)</f>
        <v>Slab</v>
      </c>
      <c r="J363" t="str">
        <f>_xlfn.XLOOKUP($G363,RazónMuerte!$A:$A,RazónMuerte!D:D,"",0)</f>
        <v>Fatal injury</v>
      </c>
    </row>
    <row r="364" spans="1:10" x14ac:dyDescent="0.25">
      <c r="A364" t="s">
        <v>1167</v>
      </c>
      <c r="B364" t="str">
        <f t="shared" si="10"/>
        <v>9</v>
      </c>
      <c r="C364" t="str">
        <f t="shared" si="11"/>
        <v>AGOSTO</v>
      </c>
      <c r="D364" s="20">
        <v>45878</v>
      </c>
      <c r="E364" t="s">
        <v>11</v>
      </c>
      <c r="F364" t="s">
        <v>1177</v>
      </c>
      <c r="G364" t="s">
        <v>1178</v>
      </c>
      <c r="H364" t="str">
        <f>_xlfn.XLOOKUP($G364,RazónMuerte!$A:$A,RazónMuerte!B:B,"",0)</f>
        <v>Otras / No especificada</v>
      </c>
      <c r="I364">
        <f>_xlfn.XLOOKUP($G364,RazónMuerte!$A:$A,RazónMuerte!C:C,"",0)</f>
        <v>0</v>
      </c>
      <c r="J364" t="str">
        <f>_xlfn.XLOOKUP($G364,RazónMuerte!$A:$A,RazónMuerte!D:D,"",0)</f>
        <v>No clasificado</v>
      </c>
    </row>
    <row r="365" spans="1:10" x14ac:dyDescent="0.25">
      <c r="A365" t="s">
        <v>1164</v>
      </c>
      <c r="B365" t="str">
        <f t="shared" si="10"/>
        <v>11</v>
      </c>
      <c r="C365" t="str">
        <f t="shared" si="11"/>
        <v>AGOSTO</v>
      </c>
      <c r="D365" s="20">
        <v>45880</v>
      </c>
      <c r="E365" t="s">
        <v>1165</v>
      </c>
      <c r="F365" t="s">
        <v>1166</v>
      </c>
      <c r="G365" t="s">
        <v>255</v>
      </c>
      <c r="H365" t="str">
        <f>_xlfn.XLOOKUP($G365,RazónMuerte!$A:$A,RazónMuerte!B:B,"",0)</f>
        <v>Fractura ósea</v>
      </c>
      <c r="I365" t="str">
        <f>_xlfn.XLOOKUP($G365,RazónMuerte!$A:$A,RazónMuerte!C:C,"",0)</f>
        <v>Rodilla / Carpal</v>
      </c>
      <c r="J365" t="str">
        <f>_xlfn.XLOOKUP($G365,RazónMuerte!$A:$A,RazónMuerte!D:D,"",0)</f>
        <v>Fatal injury</v>
      </c>
    </row>
    <row r="366" spans="1:10" x14ac:dyDescent="0.25">
      <c r="A366" t="s">
        <v>1168</v>
      </c>
      <c r="B366" t="str">
        <f t="shared" si="10"/>
        <v>13</v>
      </c>
      <c r="C366" t="str">
        <f t="shared" si="11"/>
        <v>AGOSTO</v>
      </c>
      <c r="D366" s="20">
        <v>45882</v>
      </c>
      <c r="E366" t="s">
        <v>61</v>
      </c>
      <c r="F366" t="s">
        <v>1169</v>
      </c>
      <c r="G366" t="s">
        <v>255</v>
      </c>
      <c r="H366" t="str">
        <f>_xlfn.XLOOKUP($G366,RazónMuerte!$A:$A,RazónMuerte!B:B,"",0)</f>
        <v>Fractura ósea</v>
      </c>
      <c r="I366" t="str">
        <f>_xlfn.XLOOKUP($G366,RazónMuerte!$A:$A,RazónMuerte!C:C,"",0)</f>
        <v>Rodilla / Carpal</v>
      </c>
      <c r="J366" t="str">
        <f>_xlfn.XLOOKUP($G366,RazónMuerte!$A:$A,RazónMuerte!D:D,"",0)</f>
        <v>Fatal injury</v>
      </c>
    </row>
    <row r="367" spans="1:10" x14ac:dyDescent="0.25">
      <c r="A367" t="s">
        <v>1168</v>
      </c>
      <c r="B367" t="str">
        <f t="shared" si="10"/>
        <v>13</v>
      </c>
      <c r="C367" t="str">
        <f t="shared" si="11"/>
        <v>AGOSTO</v>
      </c>
      <c r="D367" s="20">
        <v>45882</v>
      </c>
      <c r="E367" t="s">
        <v>61</v>
      </c>
      <c r="F367" t="s">
        <v>1171</v>
      </c>
      <c r="G367" t="s">
        <v>1170</v>
      </c>
      <c r="H367" t="str">
        <f>_xlfn.XLOOKUP($G367,RazónMuerte!$A:$A,RazónMuerte!B:B,"",0)</f>
        <v>Fractura ósea</v>
      </c>
      <c r="I367" t="str">
        <f>_xlfn.XLOOKUP($G367,RazónMuerte!$A:$A,RazónMuerte!C:C,"",0)</f>
        <v>Rodilla / Carpal</v>
      </c>
      <c r="J367" t="str">
        <f>_xlfn.XLOOKUP($G367,RazónMuerte!$A:$A,RazónMuerte!D:D,"",0)</f>
        <v>Fatal injury</v>
      </c>
    </row>
    <row r="368" spans="1:10" x14ac:dyDescent="0.25">
      <c r="A368" t="s">
        <v>1168</v>
      </c>
      <c r="B368" t="str">
        <f t="shared" si="10"/>
        <v>13</v>
      </c>
      <c r="C368" t="str">
        <f t="shared" si="11"/>
        <v>AGOSTO</v>
      </c>
      <c r="D368" s="20">
        <v>45882</v>
      </c>
      <c r="E368" t="s">
        <v>61</v>
      </c>
      <c r="F368" t="s">
        <v>1172</v>
      </c>
      <c r="G368" t="s">
        <v>101</v>
      </c>
      <c r="H368" t="str">
        <f>_xlfn.XLOOKUP($G368,RazónMuerte!$A:$A,RazónMuerte!B:B,"",0)</f>
        <v>Fractura ósea</v>
      </c>
      <c r="I368" t="str">
        <f>_xlfn.XLOOKUP($G368,RazónMuerte!$A:$A,RazónMuerte!C:C,"",0)</f>
        <v>Rodilla / Carpal</v>
      </c>
      <c r="J368" t="str">
        <f>_xlfn.XLOOKUP($G368,RazónMuerte!$A:$A,RazónMuerte!D:D,"",0)</f>
        <v>Fatal injury</v>
      </c>
    </row>
    <row r="369" spans="1:10" x14ac:dyDescent="0.25">
      <c r="A369" t="s">
        <v>1175</v>
      </c>
      <c r="B369" t="str">
        <f t="shared" si="10"/>
        <v>14</v>
      </c>
      <c r="C369" t="str">
        <f t="shared" si="11"/>
        <v>AGOSTO</v>
      </c>
      <c r="D369" s="20">
        <v>45883</v>
      </c>
      <c r="E369" t="s">
        <v>28</v>
      </c>
      <c r="F369" t="s">
        <v>1174</v>
      </c>
      <c r="G369" t="s">
        <v>1173</v>
      </c>
      <c r="H369" t="str">
        <f>_xlfn.XLOOKUP($G369,RazónMuerte!$A:$A,RazónMuerte!B:B,"",0)</f>
        <v>Enfermedad degenerativa articular</v>
      </c>
      <c r="I369">
        <f>_xlfn.XLOOKUP($G369,RazónMuerte!$A:$A,RazónMuerte!C:C,"",0)</f>
        <v>0</v>
      </c>
      <c r="J369" t="str">
        <f>_xlfn.XLOOKUP($G369,RazónMuerte!$A:$A,RazónMuerte!D:D,"",0)</f>
        <v>No fatal injury (chronic/medical)</v>
      </c>
    </row>
    <row r="370" spans="1:10" x14ac:dyDescent="0.25">
      <c r="A370" t="s">
        <v>1176</v>
      </c>
      <c r="B370" t="str">
        <f t="shared" si="10"/>
        <v>18</v>
      </c>
      <c r="C370" t="str">
        <f t="shared" si="11"/>
        <v>AGOSTO</v>
      </c>
      <c r="D370" s="20">
        <v>45887</v>
      </c>
      <c r="E370" t="s">
        <v>10</v>
      </c>
      <c r="F370" t="s">
        <v>1179</v>
      </c>
      <c r="G370" t="s">
        <v>1180</v>
      </c>
      <c r="H370" t="str">
        <f>_xlfn.XLOOKUP($G370,RazónMuerte!$A:$A,RazónMuerte!B:B,"",0)</f>
        <v>Otras / No especificada</v>
      </c>
      <c r="I370">
        <f>_xlfn.XLOOKUP($G370,RazónMuerte!$A:$A,RazónMuerte!C:C,"",0)</f>
        <v>0</v>
      </c>
      <c r="J370" t="str">
        <f>_xlfn.XLOOKUP($G370,RazónMuerte!$A:$A,RazónMuerte!D:D,"",0)</f>
        <v>No clasificado</v>
      </c>
    </row>
    <row r="371" spans="1:10" x14ac:dyDescent="0.25">
      <c r="A371" t="s">
        <v>1176</v>
      </c>
      <c r="B371" t="str">
        <f t="shared" si="10"/>
        <v>18</v>
      </c>
      <c r="C371" t="str">
        <f t="shared" si="11"/>
        <v>AGOSTO</v>
      </c>
      <c r="D371" s="20">
        <v>45887</v>
      </c>
      <c r="E371" t="s">
        <v>1183</v>
      </c>
      <c r="F371" t="s">
        <v>1182</v>
      </c>
      <c r="G371" t="s">
        <v>1181</v>
      </c>
      <c r="H371" t="str">
        <f>_xlfn.XLOOKUP($G371,RazónMuerte!$A:$A,RazónMuerte!B:B,"",0)</f>
        <v>Fractura ósea</v>
      </c>
      <c r="I371" t="str">
        <f>_xlfn.XLOOKUP($G371,RazónMuerte!$A:$A,RazónMuerte!C:C,"",0)</f>
        <v>Rodilla / Carpal</v>
      </c>
      <c r="J371" t="str">
        <f>_xlfn.XLOOKUP($G371,RazónMuerte!$A:$A,RazónMuerte!D:D,"",0)</f>
        <v>Fatal injury</v>
      </c>
    </row>
    <row r="372" spans="1:10" x14ac:dyDescent="0.25">
      <c r="A372" t="s">
        <v>1184</v>
      </c>
      <c r="B372" t="str">
        <f t="shared" si="10"/>
        <v>20</v>
      </c>
      <c r="C372" t="str">
        <f t="shared" si="11"/>
        <v>AGOSTO</v>
      </c>
      <c r="D372" s="20">
        <v>45889</v>
      </c>
      <c r="E372" t="s">
        <v>1185</v>
      </c>
      <c r="F372" t="s">
        <v>1186</v>
      </c>
      <c r="G372" t="s">
        <v>1187</v>
      </c>
      <c r="H372" t="str">
        <f>_xlfn.XLOOKUP($G372,RazónMuerte!$A:$A,RazónMuerte!B:B,"",0)</f>
        <v>Enfermedad degenerativa articular</v>
      </c>
      <c r="I372">
        <f>_xlfn.XLOOKUP($G372,RazónMuerte!$A:$A,RazónMuerte!C:C,"",0)</f>
        <v>0</v>
      </c>
      <c r="J372" t="str">
        <f>_xlfn.XLOOKUP($G372,RazónMuerte!$A:$A,RazónMuerte!D:D,"",0)</f>
        <v>No fatal injury (chronic/medical)</v>
      </c>
    </row>
    <row r="373" spans="1:10" x14ac:dyDescent="0.25">
      <c r="A373" t="s">
        <v>1188</v>
      </c>
      <c r="B373" t="str">
        <f t="shared" si="10"/>
        <v>24</v>
      </c>
      <c r="C373" t="str">
        <f t="shared" si="11"/>
        <v>AGOSTO</v>
      </c>
      <c r="D373" s="20">
        <v>45893</v>
      </c>
      <c r="E373" t="s">
        <v>837</v>
      </c>
      <c r="F373" t="s">
        <v>1189</v>
      </c>
      <c r="G373" t="s">
        <v>1190</v>
      </c>
      <c r="H373" t="str">
        <f>_xlfn.XLOOKUP($G373,RazónMuerte!$A:$A,RazónMuerte!B:B,"",0)</f>
        <v>Fractura ósea</v>
      </c>
      <c r="I373" t="str">
        <f>_xlfn.XLOOKUP($G373,RazónMuerte!$A:$A,RazónMuerte!C:C,"",0)</f>
        <v>Caña / Cannon bone</v>
      </c>
      <c r="J373" t="str">
        <f>_xlfn.XLOOKUP($G373,RazónMuerte!$A:$A,RazónMuerte!D:D,"",0)</f>
        <v>Fatal injury</v>
      </c>
    </row>
    <row r="374" spans="1:10" x14ac:dyDescent="0.25">
      <c r="A374" t="s">
        <v>1201</v>
      </c>
      <c r="B374" t="str">
        <f t="shared" si="10"/>
        <v>25</v>
      </c>
      <c r="C374" t="str">
        <f t="shared" si="11"/>
        <v>AGOSTO</v>
      </c>
      <c r="D374" s="20">
        <v>45894</v>
      </c>
      <c r="E374" t="s">
        <v>1202</v>
      </c>
      <c r="F374" t="s">
        <v>1203</v>
      </c>
      <c r="G374" t="s">
        <v>1211</v>
      </c>
      <c r="H374" t="str">
        <f>_xlfn.XLOOKUP($G374,RazónMuerte!$A:$A,RazónMuerte!B:B,"",0)</f>
        <v>Otras / No especificada</v>
      </c>
      <c r="I374">
        <f>_xlfn.XLOOKUP($G374,RazónMuerte!$A:$A,RazónMuerte!C:C,"",0)</f>
        <v>0</v>
      </c>
      <c r="J374" t="str">
        <f>_xlfn.XLOOKUP($G374,RazónMuerte!$A:$A,RazónMuerte!D:D,"",0)</f>
        <v>No clasificado</v>
      </c>
    </row>
    <row r="375" spans="1:10" x14ac:dyDescent="0.25">
      <c r="A375" t="s">
        <v>1204</v>
      </c>
      <c r="B375" t="str">
        <f t="shared" si="10"/>
        <v>28</v>
      </c>
      <c r="C375" t="str">
        <f t="shared" si="11"/>
        <v>AGOSTO</v>
      </c>
      <c r="D375" s="20">
        <v>45897</v>
      </c>
      <c r="E375" t="s">
        <v>1205</v>
      </c>
      <c r="F375" t="s">
        <v>1206</v>
      </c>
      <c r="G375" t="s">
        <v>1212</v>
      </c>
      <c r="H375" t="str">
        <f>_xlfn.XLOOKUP($G375,RazónMuerte!$A:$A,RazónMuerte!B:B,"",0)</f>
        <v>Otras / No especificada</v>
      </c>
      <c r="I375">
        <f>_xlfn.XLOOKUP($G375,RazónMuerte!$A:$A,RazónMuerte!C:C,"",0)</f>
        <v>0</v>
      </c>
      <c r="J375" t="str">
        <f>_xlfn.XLOOKUP($G375,RazónMuerte!$A:$A,RazónMuerte!D:D,"",0)</f>
        <v>Fatal injury</v>
      </c>
    </row>
    <row r="376" spans="1:10" x14ac:dyDescent="0.25">
      <c r="A376" t="s">
        <v>1193</v>
      </c>
      <c r="B376" t="str">
        <f t="shared" si="10"/>
        <v>3</v>
      </c>
      <c r="C376" t="str">
        <f t="shared" si="11"/>
        <v>SEPTIEMBRE</v>
      </c>
      <c r="D376" s="20">
        <v>45903</v>
      </c>
      <c r="E376" t="s">
        <v>1207</v>
      </c>
      <c r="F376" t="s">
        <v>1208</v>
      </c>
      <c r="G376" t="s">
        <v>1213</v>
      </c>
      <c r="H376" t="str">
        <f>_xlfn.XLOOKUP($G376,RazónMuerte!$A:$A,RazónMuerte!B:B,"",0)</f>
        <v>Otras / No especificada</v>
      </c>
      <c r="I376">
        <f>_xlfn.XLOOKUP($G376,RazónMuerte!$A:$A,RazónMuerte!C:C,"",0)</f>
        <v>0</v>
      </c>
      <c r="J376" t="str">
        <f>_xlfn.XLOOKUP($G376,RazónMuerte!$A:$A,RazónMuerte!D:D,"",0)</f>
        <v>No clasificado</v>
      </c>
    </row>
    <row r="377" spans="1:10" x14ac:dyDescent="0.25">
      <c r="A377" t="s">
        <v>1193</v>
      </c>
      <c r="B377" t="str">
        <f t="shared" si="10"/>
        <v>3</v>
      </c>
      <c r="C377" t="str">
        <f t="shared" si="11"/>
        <v>SEPTIEMBRE</v>
      </c>
      <c r="D377" s="20">
        <v>45903</v>
      </c>
      <c r="E377" t="s">
        <v>97</v>
      </c>
      <c r="F377" t="s">
        <v>1192</v>
      </c>
      <c r="G377" t="s">
        <v>1191</v>
      </c>
      <c r="H377" t="str">
        <f>_xlfn.XLOOKUP($G377,RazónMuerte!$A:$A,RazónMuerte!B:B,"",0)</f>
        <v>Otras / No especificada</v>
      </c>
      <c r="I377">
        <f>_xlfn.XLOOKUP($G377,RazónMuerte!$A:$A,RazónMuerte!C:C,"",0)</f>
        <v>0</v>
      </c>
      <c r="J377" t="str">
        <f>_xlfn.XLOOKUP($G377,RazónMuerte!$A:$A,RazónMuerte!D:D,"",0)</f>
        <v>No clasificado</v>
      </c>
    </row>
    <row r="378" spans="1:10" x14ac:dyDescent="0.25">
      <c r="A378" t="s">
        <v>1194</v>
      </c>
      <c r="B378" t="str">
        <f t="shared" si="10"/>
        <v>4</v>
      </c>
      <c r="C378" t="str">
        <f t="shared" si="11"/>
        <v>SEPTIEMBRE</v>
      </c>
      <c r="D378" s="20">
        <v>45904</v>
      </c>
      <c r="E378" t="s">
        <v>218</v>
      </c>
      <c r="F378" t="s">
        <v>1195</v>
      </c>
      <c r="G378" t="s">
        <v>255</v>
      </c>
      <c r="H378" t="str">
        <f>_xlfn.XLOOKUP($G378,RazónMuerte!$A:$A,RazónMuerte!B:B,"",0)</f>
        <v>Fractura ósea</v>
      </c>
      <c r="I378" t="str">
        <f>_xlfn.XLOOKUP($G378,RazónMuerte!$A:$A,RazónMuerte!C:C,"",0)</f>
        <v>Rodilla / Carpal</v>
      </c>
      <c r="J378" t="str">
        <f>_xlfn.XLOOKUP($G378,RazónMuerte!$A:$A,RazónMuerte!D:D,"",0)</f>
        <v>Fatal injury</v>
      </c>
    </row>
    <row r="379" spans="1:10" x14ac:dyDescent="0.25">
      <c r="A379" t="s">
        <v>1214</v>
      </c>
      <c r="B379" t="str">
        <f t="shared" si="10"/>
        <v>9</v>
      </c>
      <c r="C379" t="str">
        <f t="shared" si="11"/>
        <v>SEPTIEMBRE</v>
      </c>
      <c r="D379" s="20">
        <v>45909</v>
      </c>
      <c r="E379" t="s">
        <v>96</v>
      </c>
      <c r="F379" t="s">
        <v>1215</v>
      </c>
      <c r="G379" t="s">
        <v>1216</v>
      </c>
      <c r="H379" t="str">
        <f>_xlfn.XLOOKUP($G379,RazónMuerte!$A:$A,RazónMuerte!B:B,"",0)</f>
        <v>Otras / No especificada</v>
      </c>
      <c r="I379">
        <f>_xlfn.XLOOKUP($G379,RazónMuerte!$A:$A,RazónMuerte!C:C,"",0)</f>
        <v>0</v>
      </c>
      <c r="J379" t="str">
        <f>_xlfn.XLOOKUP($G379,RazónMuerte!$A:$A,RazónMuerte!D:D,"",0)</f>
        <v>No clasificado</v>
      </c>
    </row>
    <row r="380" spans="1:10" x14ac:dyDescent="0.25">
      <c r="A380" t="s">
        <v>1196</v>
      </c>
      <c r="B380" t="str">
        <f t="shared" si="10"/>
        <v>15</v>
      </c>
      <c r="C380" t="str">
        <f t="shared" si="11"/>
        <v>SEPTIEMBRE</v>
      </c>
      <c r="D380" s="20">
        <v>45915</v>
      </c>
      <c r="E380" t="s">
        <v>1197</v>
      </c>
      <c r="F380" t="s">
        <v>1198</v>
      </c>
      <c r="G380" t="s">
        <v>255</v>
      </c>
      <c r="H380" t="str">
        <f>_xlfn.XLOOKUP($G380,RazónMuerte!$A:$A,RazónMuerte!B:B,"",0)</f>
        <v>Fractura ósea</v>
      </c>
      <c r="I380" t="str">
        <f>_xlfn.XLOOKUP($G380,RazónMuerte!$A:$A,RazónMuerte!C:C,"",0)</f>
        <v>Rodilla / Carpal</v>
      </c>
      <c r="J380" t="str">
        <f>_xlfn.XLOOKUP($G380,RazónMuerte!$A:$A,RazónMuerte!D:D,"",0)</f>
        <v>Fatal injury</v>
      </c>
    </row>
    <row r="381" spans="1:10" x14ac:dyDescent="0.25">
      <c r="A381" t="s">
        <v>1196</v>
      </c>
      <c r="B381" t="str">
        <f t="shared" si="10"/>
        <v>15</v>
      </c>
      <c r="C381" t="str">
        <f t="shared" si="11"/>
        <v>SEPTIEMBRE</v>
      </c>
      <c r="D381" s="20">
        <v>45915</v>
      </c>
      <c r="E381" t="s">
        <v>815</v>
      </c>
      <c r="F381" t="s">
        <v>1210</v>
      </c>
      <c r="G381" t="s">
        <v>1209</v>
      </c>
      <c r="H381" t="str">
        <f>_xlfn.XLOOKUP($G381,RazónMuerte!$A:$A,RazónMuerte!B:B,"",0)</f>
        <v>Otras / No especificada</v>
      </c>
      <c r="I381">
        <f>_xlfn.XLOOKUP($G381,RazónMuerte!$A:$A,RazónMuerte!C:C,"",0)</f>
        <v>0</v>
      </c>
      <c r="J381" t="str">
        <f>_xlfn.XLOOKUP($G381,RazónMuerte!$A:$A,RazónMuerte!D:D,"",0)</f>
        <v>Fatal injury</v>
      </c>
    </row>
    <row r="382" spans="1:10" x14ac:dyDescent="0.25">
      <c r="A382" t="s">
        <v>1217</v>
      </c>
      <c r="B382" t="str">
        <f t="shared" si="10"/>
        <v>19</v>
      </c>
      <c r="C382" t="str">
        <f t="shared" si="11"/>
        <v>SEPTIEMBRE</v>
      </c>
      <c r="D382" s="20">
        <v>45919</v>
      </c>
      <c r="E382" t="s">
        <v>1218</v>
      </c>
      <c r="F382" t="s">
        <v>1219</v>
      </c>
      <c r="G382" t="s">
        <v>103</v>
      </c>
      <c r="H382" t="str">
        <f>_xlfn.XLOOKUP($G382,RazónMuerte!$A:$A,RazónMuerte!B:B,"",0)</f>
        <v>Fractura ósea</v>
      </c>
      <c r="I382" t="str">
        <f>_xlfn.XLOOKUP($G382,RazónMuerte!$A:$A,RazónMuerte!C:C,"",0)</f>
        <v>Sesamoideo</v>
      </c>
      <c r="J382" t="str">
        <f>_xlfn.XLOOKUP($G382,RazónMuerte!$A:$A,RazónMuerte!D:D,"",0)</f>
        <v>Fatal injury</v>
      </c>
    </row>
    <row r="383" spans="1:10" x14ac:dyDescent="0.25">
      <c r="A383" t="s">
        <v>1217</v>
      </c>
      <c r="B383" t="str">
        <f t="shared" si="10"/>
        <v>19</v>
      </c>
      <c r="C383" t="str">
        <f t="shared" si="11"/>
        <v>SEPTIEMBRE</v>
      </c>
      <c r="D383" s="20">
        <v>45919</v>
      </c>
      <c r="E383" t="s">
        <v>47</v>
      </c>
      <c r="F383" t="s">
        <v>1221</v>
      </c>
      <c r="G383" t="s">
        <v>1220</v>
      </c>
      <c r="H383" t="str">
        <f>_xlfn.XLOOKUP($G383,RazónMuerte!$A:$A,RazónMuerte!B:B,"",0)</f>
        <v>Fractura ósea</v>
      </c>
      <c r="I383" t="str">
        <f>_xlfn.XLOOKUP($G383,RazónMuerte!$A:$A,RazónMuerte!C:C,"",0)</f>
        <v>No especificado</v>
      </c>
      <c r="J383" t="str">
        <f>_xlfn.XLOOKUP($G383,RazónMuerte!$A:$A,RazónMuerte!D:D,"",0)</f>
        <v>Fatal injury</v>
      </c>
    </row>
    <row r="384" spans="1:10" x14ac:dyDescent="0.25">
      <c r="A384" t="s">
        <v>1288</v>
      </c>
      <c r="B384" t="str">
        <f t="shared" si="10"/>
        <v>22</v>
      </c>
      <c r="C384" t="str">
        <f t="shared" si="11"/>
        <v>SEPTIEMBRE</v>
      </c>
      <c r="D384" s="20">
        <v>45922</v>
      </c>
      <c r="E384" t="s">
        <v>1289</v>
      </c>
      <c r="F384" t="s">
        <v>1290</v>
      </c>
      <c r="G384" t="s">
        <v>1291</v>
      </c>
      <c r="H384" t="str">
        <f>_xlfn.XLOOKUP($G384,RazónMuerte!$A:$A,RazónMuerte!B:B,"",0)</f>
        <v>Enfermedad degenerativa articular</v>
      </c>
      <c r="I384">
        <f>_xlfn.XLOOKUP($G384,RazónMuerte!$A:$A,RazónMuerte!C:C,"",0)</f>
        <v>0</v>
      </c>
      <c r="J384" t="str">
        <f>_xlfn.XLOOKUP($G384,RazónMuerte!$A:$A,RazónMuerte!D:D,"",0)</f>
        <v>No fatal injury (chronic/medical)</v>
      </c>
    </row>
    <row r="385" spans="1:10" x14ac:dyDescent="0.25">
      <c r="A385" t="s">
        <v>1222</v>
      </c>
      <c r="B385" t="str">
        <f t="shared" si="10"/>
        <v>24</v>
      </c>
      <c r="C385" t="str">
        <f t="shared" si="11"/>
        <v>SEPTIEMBRE</v>
      </c>
      <c r="D385" s="20">
        <v>45924</v>
      </c>
      <c r="E385" t="s">
        <v>30</v>
      </c>
      <c r="F385" t="s">
        <v>1223</v>
      </c>
      <c r="G385" t="s">
        <v>1224</v>
      </c>
      <c r="H385" t="str">
        <f>_xlfn.XLOOKUP($G385,RazónMuerte!$A:$A,RazónMuerte!B:B,"",0)</f>
        <v>Enfermedad degenerativa articular</v>
      </c>
      <c r="I385">
        <f>_xlfn.XLOOKUP($G385,RazónMuerte!$A:$A,RazónMuerte!C:C,"",0)</f>
        <v>0</v>
      </c>
      <c r="J385" t="str">
        <f>_xlfn.XLOOKUP($G385,RazónMuerte!$A:$A,RazónMuerte!D:D,"",0)</f>
        <v>No fatal injury (chronic/medical)</v>
      </c>
    </row>
    <row r="386" spans="1:10" x14ac:dyDescent="0.25">
      <c r="A386" t="s">
        <v>1222</v>
      </c>
      <c r="B386" t="str">
        <f t="shared" ref="B386:B447" si="12">LEFT(A386,FIND("-",A386)-1)</f>
        <v>24</v>
      </c>
      <c r="C386" t="str">
        <f t="shared" ref="C386:C447" si="13">MID(A386,FIND("-",A386)+1,FIND("-",A386,FIND("-",A386)+1)-FIND("-",A386)-1)</f>
        <v>SEPTIEMBRE</v>
      </c>
      <c r="D386" s="20">
        <v>45924</v>
      </c>
      <c r="E386" t="s">
        <v>106</v>
      </c>
      <c r="F386" t="s">
        <v>1225</v>
      </c>
      <c r="G386" t="s">
        <v>661</v>
      </c>
      <c r="H386" t="str">
        <f>_xlfn.XLOOKUP($G386,RazónMuerte!$A:$A,RazónMuerte!B:B,"",0)</f>
        <v>Fractura ósea</v>
      </c>
      <c r="I386" t="str">
        <f>_xlfn.XLOOKUP($G386,RazónMuerte!$A:$A,RazónMuerte!C:C,"",0)</f>
        <v>Rodilla / Carpal</v>
      </c>
      <c r="J386" t="str">
        <f>_xlfn.XLOOKUP($G386,RazónMuerte!$A:$A,RazónMuerte!D:D,"",0)</f>
        <v>Fatal injury</v>
      </c>
    </row>
    <row r="387" spans="1:10" x14ac:dyDescent="0.25">
      <c r="A387" t="s">
        <v>1226</v>
      </c>
      <c r="B387" t="str">
        <f t="shared" si="12"/>
        <v>25</v>
      </c>
      <c r="C387" t="str">
        <f t="shared" si="13"/>
        <v>SEPTIEMBRE</v>
      </c>
      <c r="D387" s="20">
        <v>45925</v>
      </c>
      <c r="E387" t="s">
        <v>106</v>
      </c>
      <c r="F387" t="s">
        <v>1227</v>
      </c>
      <c r="G387" t="s">
        <v>1228</v>
      </c>
      <c r="H387" t="str">
        <f>_xlfn.XLOOKUP($G387,RazónMuerte!$A:$A,RazónMuerte!B:B,"",0)</f>
        <v>Fractura ósea</v>
      </c>
      <c r="I387" t="str">
        <f>_xlfn.XLOOKUP($G387,RazónMuerte!$A:$A,RazónMuerte!C:C,"",0)</f>
        <v>No especificado</v>
      </c>
      <c r="J387" t="str">
        <f>_xlfn.XLOOKUP($G387,RazónMuerte!$A:$A,RazónMuerte!D:D,"",0)</f>
        <v>Fatal injury</v>
      </c>
    </row>
    <row r="388" spans="1:10" x14ac:dyDescent="0.25">
      <c r="A388" t="s">
        <v>1229</v>
      </c>
      <c r="B388" t="str">
        <f t="shared" si="12"/>
        <v>26</v>
      </c>
      <c r="C388" t="str">
        <f t="shared" si="13"/>
        <v>SEPTIEMBRE</v>
      </c>
      <c r="D388" s="20">
        <v>45926</v>
      </c>
      <c r="E388" t="s">
        <v>106</v>
      </c>
      <c r="F388" t="s">
        <v>1230</v>
      </c>
      <c r="G388" t="s">
        <v>1232</v>
      </c>
      <c r="H388" t="str">
        <f>_xlfn.XLOOKUP($G388,RazónMuerte!$A:$A,RazónMuerte!B:B,"",0)</f>
        <v>Lesión de ligamentos/tendones</v>
      </c>
      <c r="I388">
        <f>_xlfn.XLOOKUP($G388,RazónMuerte!$A:$A,RazónMuerte!C:C,"",0)</f>
        <v>0</v>
      </c>
      <c r="J388" t="str">
        <f>_xlfn.XLOOKUP($G388,RazónMuerte!$A:$A,RazónMuerte!D:D,"",0)</f>
        <v>No fatal injury (chronic/medical)</v>
      </c>
    </row>
    <row r="389" spans="1:10" x14ac:dyDescent="0.25">
      <c r="A389" t="s">
        <v>1237</v>
      </c>
      <c r="B389" t="str">
        <f t="shared" si="12"/>
        <v>27</v>
      </c>
      <c r="C389" t="str">
        <f t="shared" si="13"/>
        <v>SEPTIEMBRE</v>
      </c>
      <c r="D389" s="20">
        <v>45927</v>
      </c>
      <c r="E389" t="s">
        <v>597</v>
      </c>
      <c r="F389" t="s">
        <v>1238</v>
      </c>
      <c r="G389" t="s">
        <v>1239</v>
      </c>
      <c r="H389" t="str">
        <f>_xlfn.XLOOKUP($G389,RazónMuerte!$A:$A,RazónMuerte!B:B,"",0)</f>
        <v>Fractura ósea</v>
      </c>
      <c r="I389" t="str">
        <f>_xlfn.XLOOKUP($G389,RazónMuerte!$A:$A,RazónMuerte!C:C,"",0)</f>
        <v>No especificado</v>
      </c>
      <c r="J389" t="str">
        <f>_xlfn.XLOOKUP($G389,RazónMuerte!$A:$A,RazónMuerte!D:D,"",0)</f>
        <v>Fatal injury</v>
      </c>
    </row>
    <row r="390" spans="1:10" x14ac:dyDescent="0.25">
      <c r="A390" t="s">
        <v>1237</v>
      </c>
      <c r="B390" t="str">
        <f t="shared" si="12"/>
        <v>27</v>
      </c>
      <c r="C390" t="str">
        <f t="shared" si="13"/>
        <v>SEPTIEMBRE</v>
      </c>
      <c r="D390" s="20">
        <v>45927</v>
      </c>
      <c r="E390" t="s">
        <v>106</v>
      </c>
      <c r="F390" t="s">
        <v>1240</v>
      </c>
      <c r="G390" t="s">
        <v>171</v>
      </c>
      <c r="H390" t="str">
        <f>_xlfn.XLOOKUP($G390,RazónMuerte!$A:$A,RazónMuerte!B:B,"",0)</f>
        <v>Enfermedad degenerativa articular</v>
      </c>
      <c r="I390">
        <f>_xlfn.XLOOKUP($G390,RazónMuerte!$A:$A,RazónMuerte!C:C,"",0)</f>
        <v>0</v>
      </c>
      <c r="J390" t="str">
        <f>_xlfn.XLOOKUP($G390,RazónMuerte!$A:$A,RazónMuerte!D:D,"",0)</f>
        <v>No fatal injury (chronic/medical)</v>
      </c>
    </row>
    <row r="391" spans="1:10" x14ac:dyDescent="0.25">
      <c r="A391" t="s">
        <v>1237</v>
      </c>
      <c r="B391" t="str">
        <f t="shared" si="12"/>
        <v>27</v>
      </c>
      <c r="C391" t="str">
        <f t="shared" si="13"/>
        <v>SEPTIEMBRE</v>
      </c>
      <c r="D391" s="20">
        <v>45927</v>
      </c>
      <c r="E391" t="s">
        <v>618</v>
      </c>
      <c r="F391" t="s">
        <v>1242</v>
      </c>
      <c r="G391" t="s">
        <v>1241</v>
      </c>
      <c r="H391" t="str">
        <f>_xlfn.XLOOKUP($G391,RazónMuerte!$A:$A,RazónMuerte!B:B,"",0)</f>
        <v>Fractura ósea</v>
      </c>
      <c r="I391" t="str">
        <f>_xlfn.XLOOKUP($G391,RazónMuerte!$A:$A,RazónMuerte!C:C,"",0)</f>
        <v>Caña / Cannon bone</v>
      </c>
      <c r="J391" t="str">
        <f>_xlfn.XLOOKUP($G391,RazónMuerte!$A:$A,RazónMuerte!D:D,"",0)</f>
        <v>Fatal injury</v>
      </c>
    </row>
    <row r="392" spans="1:10" x14ac:dyDescent="0.25">
      <c r="A392" t="s">
        <v>1243</v>
      </c>
      <c r="B392" t="str">
        <f t="shared" si="12"/>
        <v>28</v>
      </c>
      <c r="C392" t="str">
        <f t="shared" si="13"/>
        <v>SEPTIEMBRE</v>
      </c>
      <c r="D392" s="20">
        <v>45928</v>
      </c>
      <c r="E392" t="s">
        <v>159</v>
      </c>
      <c r="F392" t="s">
        <v>1244</v>
      </c>
      <c r="G392" t="s">
        <v>1245</v>
      </c>
      <c r="H392" t="str">
        <f>_xlfn.XLOOKUP($G392,RazónMuerte!$A:$A,RazónMuerte!B:B,"",0)</f>
        <v>Fractura ósea</v>
      </c>
      <c r="I392" t="str">
        <f>_xlfn.XLOOKUP($G392,RazónMuerte!$A:$A,RazónMuerte!C:C,"",0)</f>
        <v>No especificado</v>
      </c>
      <c r="J392" t="str">
        <f>_xlfn.XLOOKUP($G392,RazónMuerte!$A:$A,RazónMuerte!D:D,"",0)</f>
        <v>Fatal injury</v>
      </c>
    </row>
    <row r="393" spans="1:10" x14ac:dyDescent="0.25">
      <c r="A393" t="s">
        <v>1233</v>
      </c>
      <c r="B393" t="str">
        <f t="shared" si="12"/>
        <v>29</v>
      </c>
      <c r="C393" t="str">
        <f t="shared" si="13"/>
        <v>SEPTIEMBRE</v>
      </c>
      <c r="D393" s="20">
        <v>45929</v>
      </c>
      <c r="E393" t="s">
        <v>1234</v>
      </c>
      <c r="F393" t="s">
        <v>1235</v>
      </c>
      <c r="G393" t="s">
        <v>1236</v>
      </c>
      <c r="H393" t="str">
        <f>_xlfn.XLOOKUP($G393,RazónMuerte!$A:$A,RazónMuerte!B:B,"",0)</f>
        <v>Lesión de ligamentos/tendones</v>
      </c>
      <c r="I393">
        <f>_xlfn.XLOOKUP($G393,RazónMuerte!$A:$A,RazónMuerte!C:C,"",0)</f>
        <v>0</v>
      </c>
      <c r="J393" t="str">
        <f>_xlfn.XLOOKUP($G393,RazónMuerte!$A:$A,RazónMuerte!D:D,"",0)</f>
        <v>No clasificado</v>
      </c>
    </row>
    <row r="394" spans="1:10" x14ac:dyDescent="0.25">
      <c r="A394" t="s">
        <v>1286</v>
      </c>
      <c r="B394" t="str">
        <f t="shared" si="12"/>
        <v>1</v>
      </c>
      <c r="C394" t="str">
        <f t="shared" si="13"/>
        <v>OCTUBRE</v>
      </c>
      <c r="D394" s="20">
        <v>45931</v>
      </c>
      <c r="E394" t="s">
        <v>12</v>
      </c>
      <c r="F394" t="s">
        <v>1287</v>
      </c>
      <c r="G394" t="s">
        <v>1295</v>
      </c>
      <c r="H394" t="str">
        <f>_xlfn.XLOOKUP($G394,RazónMuerte!$A:$A,RazónMuerte!B:B,"",0)</f>
        <v>Enfermedad degenerativa articular</v>
      </c>
      <c r="I394">
        <f>_xlfn.XLOOKUP($G394,RazónMuerte!$A:$A,RazónMuerte!C:C,"",0)</f>
        <v>0</v>
      </c>
      <c r="J394" t="str">
        <f>_xlfn.XLOOKUP($G394,RazónMuerte!$A:$A,RazónMuerte!D:D,"",0)</f>
        <v>No fatal injury (chronic/medical)</v>
      </c>
    </row>
    <row r="395" spans="1:10" x14ac:dyDescent="0.25">
      <c r="A395" t="s">
        <v>1247</v>
      </c>
      <c r="B395" t="str">
        <f t="shared" si="12"/>
        <v>3</v>
      </c>
      <c r="C395" t="str">
        <f t="shared" si="13"/>
        <v>OCTUBRE</v>
      </c>
      <c r="D395" s="20">
        <v>45933</v>
      </c>
      <c r="E395" t="s">
        <v>106</v>
      </c>
      <c r="F395" t="s">
        <v>1246</v>
      </c>
      <c r="G395" t="s">
        <v>57</v>
      </c>
      <c r="H395" t="str">
        <f>_xlfn.XLOOKUP($G395,RazónMuerte!$A:$A,RazónMuerte!B:B,"",0)</f>
        <v>Otras / No especificada</v>
      </c>
      <c r="I395">
        <f>_xlfn.XLOOKUP($G395,RazónMuerte!$A:$A,RazónMuerte!C:C,"",0)</f>
        <v>0</v>
      </c>
      <c r="J395" t="str">
        <f>_xlfn.XLOOKUP($G395,RazónMuerte!$A:$A,RazónMuerte!D:D,"",0)</f>
        <v>No clasificado</v>
      </c>
    </row>
    <row r="396" spans="1:10" x14ac:dyDescent="0.25">
      <c r="A396" t="s">
        <v>1248</v>
      </c>
      <c r="B396" t="str">
        <f t="shared" si="12"/>
        <v>6</v>
      </c>
      <c r="C396" t="str">
        <f t="shared" si="13"/>
        <v>OCTUBRE</v>
      </c>
      <c r="D396" s="20">
        <v>45936</v>
      </c>
      <c r="E396" t="s">
        <v>1089</v>
      </c>
      <c r="F396" t="s">
        <v>1249</v>
      </c>
      <c r="G396" t="s">
        <v>1250</v>
      </c>
      <c r="H396" t="str">
        <f>_xlfn.XLOOKUP($G396,RazónMuerte!$A:$A,RazónMuerte!B:B,"",0)</f>
        <v>Fractura ósea</v>
      </c>
      <c r="I396" t="str">
        <f>_xlfn.XLOOKUP($G396,RazónMuerte!$A:$A,RazónMuerte!C:C,"",0)</f>
        <v>No especificado</v>
      </c>
      <c r="J396" t="str">
        <f>_xlfn.XLOOKUP($G396,RazónMuerte!$A:$A,RazónMuerte!D:D,"",0)</f>
        <v>Fatal injury</v>
      </c>
    </row>
    <row r="397" spans="1:10" x14ac:dyDescent="0.25">
      <c r="A397" t="s">
        <v>1248</v>
      </c>
      <c r="B397" t="str">
        <f t="shared" si="12"/>
        <v>6</v>
      </c>
      <c r="C397" t="str">
        <f t="shared" si="13"/>
        <v>OCTUBRE</v>
      </c>
      <c r="D397" s="20">
        <v>45936</v>
      </c>
      <c r="E397" t="s">
        <v>1253</v>
      </c>
      <c r="F397" t="s">
        <v>1252</v>
      </c>
      <c r="G397" t="s">
        <v>1251</v>
      </c>
      <c r="H397" t="str">
        <f>_xlfn.XLOOKUP($G397,RazónMuerte!$A:$A,RazónMuerte!B:B,"",0)</f>
        <v>Enfermedad degenerativa articular</v>
      </c>
      <c r="I397">
        <f>_xlfn.XLOOKUP($G397,RazónMuerte!$A:$A,RazónMuerte!C:C,"",0)</f>
        <v>0</v>
      </c>
      <c r="J397" t="str">
        <f>_xlfn.XLOOKUP($G397,RazónMuerte!$A:$A,RazónMuerte!D:D,"",0)</f>
        <v>No fatal injury (chronic/medical)</v>
      </c>
    </row>
    <row r="398" spans="1:10" x14ac:dyDescent="0.25">
      <c r="A398" t="s">
        <v>1254</v>
      </c>
      <c r="B398" t="str">
        <f t="shared" si="12"/>
        <v>13</v>
      </c>
      <c r="C398" t="str">
        <f t="shared" si="13"/>
        <v>OCTUBRE</v>
      </c>
      <c r="D398" s="20">
        <v>45943</v>
      </c>
      <c r="E398" t="s">
        <v>239</v>
      </c>
      <c r="F398" t="s">
        <v>1255</v>
      </c>
      <c r="G398" t="s">
        <v>1256</v>
      </c>
      <c r="H398" t="str">
        <f>_xlfn.XLOOKUP($G398,RazónMuerte!$A:$A,RazónMuerte!B:B,"",0)</f>
        <v>Fractura ósea</v>
      </c>
      <c r="I398" t="str">
        <f>_xlfn.XLOOKUP($G398,RazónMuerte!$A:$A,RazónMuerte!C:C,"",0)</f>
        <v>No especificado</v>
      </c>
      <c r="J398" t="str">
        <f>_xlfn.XLOOKUP($G398,RazónMuerte!$A:$A,RazónMuerte!D:D,"",0)</f>
        <v>Fatal injury</v>
      </c>
    </row>
    <row r="399" spans="1:10" x14ac:dyDescent="0.25">
      <c r="A399" t="s">
        <v>1254</v>
      </c>
      <c r="B399" t="str">
        <f t="shared" si="12"/>
        <v>13</v>
      </c>
      <c r="C399" t="str">
        <f t="shared" si="13"/>
        <v>OCTUBRE</v>
      </c>
      <c r="D399" s="20">
        <v>45943</v>
      </c>
      <c r="E399" t="s">
        <v>42</v>
      </c>
      <c r="F399" t="s">
        <v>1258</v>
      </c>
      <c r="G399" t="s">
        <v>1257</v>
      </c>
      <c r="H399" t="str">
        <f>_xlfn.XLOOKUP($G399,RazónMuerte!$A:$A,RazónMuerte!B:B,"",0)</f>
        <v>Otras / No especificada</v>
      </c>
      <c r="I399">
        <f>_xlfn.XLOOKUP($G399,RazónMuerte!$A:$A,RazónMuerte!C:C,"",0)</f>
        <v>0</v>
      </c>
      <c r="J399" t="str">
        <f>_xlfn.XLOOKUP($G399,RazónMuerte!$A:$A,RazónMuerte!D:D,"",0)</f>
        <v>Fatal injury</v>
      </c>
    </row>
    <row r="400" spans="1:10" x14ac:dyDescent="0.25">
      <c r="A400" t="s">
        <v>1254</v>
      </c>
      <c r="B400" t="str">
        <f t="shared" si="12"/>
        <v>13</v>
      </c>
      <c r="C400" t="str">
        <f t="shared" si="13"/>
        <v>OCTUBRE</v>
      </c>
      <c r="D400" s="20">
        <v>45943</v>
      </c>
      <c r="E400" t="s">
        <v>10</v>
      </c>
      <c r="F400" t="s">
        <v>1259</v>
      </c>
      <c r="G400" t="s">
        <v>1260</v>
      </c>
      <c r="H400" t="str">
        <f>_xlfn.XLOOKUP($G400,RazónMuerte!$A:$A,RazónMuerte!B:B,"",0)</f>
        <v>Lesión de ligamentos/tendones</v>
      </c>
      <c r="I400">
        <f>_xlfn.XLOOKUP($G400,RazónMuerte!$A:$A,RazónMuerte!C:C,"",0)</f>
        <v>0</v>
      </c>
      <c r="J400" t="str">
        <f>_xlfn.XLOOKUP($G400,RazónMuerte!$A:$A,RazónMuerte!D:D,"",0)</f>
        <v>No clasificado</v>
      </c>
    </row>
    <row r="401" spans="1:10" x14ac:dyDescent="0.25">
      <c r="A401" t="s">
        <v>1263</v>
      </c>
      <c r="B401" t="str">
        <f t="shared" si="12"/>
        <v>14</v>
      </c>
      <c r="C401" t="str">
        <f t="shared" si="13"/>
        <v>OCTUBRE</v>
      </c>
      <c r="D401" s="20">
        <v>45944</v>
      </c>
      <c r="E401" t="s">
        <v>665</v>
      </c>
      <c r="F401" t="s">
        <v>1262</v>
      </c>
      <c r="G401" t="s">
        <v>1261</v>
      </c>
      <c r="H401" t="str">
        <f>_xlfn.XLOOKUP($G401,RazónMuerte!$A:$A,RazónMuerte!B:B,"",0)</f>
        <v>Fractura ósea</v>
      </c>
      <c r="I401" t="str">
        <f>_xlfn.XLOOKUP($G401,RazónMuerte!$A:$A,RazónMuerte!C:C,"",0)</f>
        <v>Rodilla / Carpal</v>
      </c>
      <c r="J401" t="str">
        <f>_xlfn.XLOOKUP($G401,RazónMuerte!$A:$A,RazónMuerte!D:D,"",0)</f>
        <v>Fatal injury</v>
      </c>
    </row>
    <row r="402" spans="1:10" x14ac:dyDescent="0.25">
      <c r="A402" t="s">
        <v>1264</v>
      </c>
      <c r="B402" t="str">
        <f t="shared" si="12"/>
        <v>15</v>
      </c>
      <c r="C402" t="str">
        <f t="shared" si="13"/>
        <v>OCTUBRE</v>
      </c>
      <c r="D402" s="20">
        <v>45945</v>
      </c>
      <c r="E402" t="s">
        <v>895</v>
      </c>
      <c r="F402" t="s">
        <v>1265</v>
      </c>
      <c r="G402" t="s">
        <v>255</v>
      </c>
      <c r="H402" t="str">
        <f>_xlfn.XLOOKUP($G402,RazónMuerte!$A:$A,RazónMuerte!B:B,"",0)</f>
        <v>Fractura ósea</v>
      </c>
      <c r="I402" t="str">
        <f>_xlfn.XLOOKUP($G402,RazónMuerte!$A:$A,RazónMuerte!C:C,"",0)</f>
        <v>Rodilla / Carpal</v>
      </c>
      <c r="J402" t="str">
        <f>_xlfn.XLOOKUP($G402,RazónMuerte!$A:$A,RazónMuerte!D:D,"",0)</f>
        <v>Fatal injury</v>
      </c>
    </row>
    <row r="403" spans="1:10" x14ac:dyDescent="0.25">
      <c r="A403" t="s">
        <v>1268</v>
      </c>
      <c r="B403" t="str">
        <f t="shared" si="12"/>
        <v>20</v>
      </c>
      <c r="C403" t="str">
        <f t="shared" si="13"/>
        <v>OCTUBRE</v>
      </c>
      <c r="D403" s="20">
        <v>45950</v>
      </c>
      <c r="E403" t="s">
        <v>43</v>
      </c>
      <c r="F403" t="s">
        <v>1267</v>
      </c>
      <c r="G403" t="s">
        <v>1266</v>
      </c>
      <c r="H403" t="str">
        <f>_xlfn.XLOOKUP($G403,RazónMuerte!$A:$A,RazónMuerte!B:B,"",0)</f>
        <v>Fractura ósea</v>
      </c>
      <c r="I403" t="str">
        <f>_xlfn.XLOOKUP($G403,RazónMuerte!$A:$A,RazónMuerte!C:C,"",0)</f>
        <v>Caña / Cannon bone</v>
      </c>
      <c r="J403" t="str">
        <f>_xlfn.XLOOKUP($G403,RazónMuerte!$A:$A,RazónMuerte!D:D,"",0)</f>
        <v>Fatal injury</v>
      </c>
    </row>
    <row r="404" spans="1:10" x14ac:dyDescent="0.25">
      <c r="A404" t="s">
        <v>1269</v>
      </c>
      <c r="B404" t="str">
        <f t="shared" si="12"/>
        <v>21</v>
      </c>
      <c r="C404" t="str">
        <f t="shared" si="13"/>
        <v>OCTUBRE</v>
      </c>
      <c r="D404" s="20">
        <v>45951</v>
      </c>
      <c r="E404" t="s">
        <v>1125</v>
      </c>
      <c r="F404" t="s">
        <v>1270</v>
      </c>
      <c r="G404" t="s">
        <v>1271</v>
      </c>
      <c r="H404" t="str">
        <f>_xlfn.XLOOKUP($G404,RazónMuerte!$A:$A,RazónMuerte!B:B,"",0)</f>
        <v>Fractura ósea</v>
      </c>
      <c r="I404" t="str">
        <f>_xlfn.XLOOKUP($G404,RazónMuerte!$A:$A,RazónMuerte!C:C,"",0)</f>
        <v>Slab</v>
      </c>
      <c r="J404" t="str">
        <f>_xlfn.XLOOKUP($G404,RazónMuerte!$A:$A,RazónMuerte!D:D,"",0)</f>
        <v>Fatal injury</v>
      </c>
    </row>
    <row r="405" spans="1:10" x14ac:dyDescent="0.25">
      <c r="A405" t="s">
        <v>1273</v>
      </c>
      <c r="B405" t="str">
        <f t="shared" si="12"/>
        <v>23</v>
      </c>
      <c r="C405" t="str">
        <f t="shared" si="13"/>
        <v>OCTUBRE</v>
      </c>
      <c r="D405" s="20">
        <v>45953</v>
      </c>
      <c r="E405" t="s">
        <v>26</v>
      </c>
      <c r="F405" t="s">
        <v>1274</v>
      </c>
      <c r="G405" t="s">
        <v>100</v>
      </c>
      <c r="H405" t="str">
        <f>_xlfn.XLOOKUP($G405,RazónMuerte!$A:$A,RazónMuerte!B:B,"",0)</f>
        <v>Fractura ósea</v>
      </c>
      <c r="I405" t="str">
        <f>_xlfn.XLOOKUP($G405,RazónMuerte!$A:$A,RazónMuerte!C:C,"",0)</f>
        <v>Rodilla / Carpal</v>
      </c>
      <c r="J405" t="str">
        <f>_xlfn.XLOOKUP($G405,RazónMuerte!$A:$A,RazónMuerte!D:D,"",0)</f>
        <v>Fatal injury</v>
      </c>
    </row>
    <row r="406" spans="1:10" x14ac:dyDescent="0.25">
      <c r="A406" t="s">
        <v>1272</v>
      </c>
      <c r="B406" t="str">
        <f t="shared" si="12"/>
        <v>24</v>
      </c>
      <c r="C406" t="str">
        <f t="shared" si="13"/>
        <v>OCTUBRE</v>
      </c>
      <c r="D406" s="20">
        <v>45954</v>
      </c>
      <c r="E406" t="s">
        <v>1277</v>
      </c>
      <c r="F406" t="s">
        <v>1276</v>
      </c>
      <c r="G406" t="s">
        <v>1275</v>
      </c>
      <c r="H406" t="str">
        <f>_xlfn.XLOOKUP($G406,RazónMuerte!$A:$A,RazónMuerte!B:B,"",0)</f>
        <v>Fractura ósea</v>
      </c>
      <c r="I406" t="str">
        <f>_xlfn.XLOOKUP($G406,RazónMuerte!$A:$A,RazónMuerte!C:C,"",0)</f>
        <v>Rodilla / Carpal</v>
      </c>
      <c r="J406" t="str">
        <f>_xlfn.XLOOKUP($G406,RazónMuerte!$A:$A,RazónMuerte!D:D,"",0)</f>
        <v>Fatal injury</v>
      </c>
    </row>
    <row r="407" spans="1:10" x14ac:dyDescent="0.25">
      <c r="A407" t="s">
        <v>1278</v>
      </c>
      <c r="B407" t="str">
        <f t="shared" si="12"/>
        <v>29</v>
      </c>
      <c r="C407" t="str">
        <f t="shared" si="13"/>
        <v>OCTUBRE</v>
      </c>
      <c r="D407" s="20">
        <v>45959</v>
      </c>
      <c r="E407" t="s">
        <v>812</v>
      </c>
      <c r="F407" t="s">
        <v>1279</v>
      </c>
      <c r="G407" t="s">
        <v>1280</v>
      </c>
      <c r="H407" t="str">
        <f>_xlfn.XLOOKUP($G407,RazónMuerte!$A:$A,RazónMuerte!B:B,"",0)</f>
        <v>Fractura ósea</v>
      </c>
      <c r="I407" t="str">
        <f>_xlfn.XLOOKUP($G407,RazónMuerte!$A:$A,RazónMuerte!C:C,"",0)</f>
        <v>Rodilla / Carpal</v>
      </c>
      <c r="J407" t="str">
        <f>_xlfn.XLOOKUP($G407,RazónMuerte!$A:$A,RazónMuerte!D:D,"",0)</f>
        <v>Fatal injury</v>
      </c>
    </row>
    <row r="408" spans="1:10" x14ac:dyDescent="0.25">
      <c r="A408" t="s">
        <v>1278</v>
      </c>
      <c r="B408" t="str">
        <f t="shared" si="12"/>
        <v>29</v>
      </c>
      <c r="C408" t="str">
        <f t="shared" si="13"/>
        <v>OCTUBRE</v>
      </c>
      <c r="D408" s="20">
        <v>45959</v>
      </c>
      <c r="E408" t="s">
        <v>1048</v>
      </c>
      <c r="F408" t="s">
        <v>1282</v>
      </c>
      <c r="G408" t="s">
        <v>1281</v>
      </c>
      <c r="H408" t="str">
        <f>_xlfn.XLOOKUP($G408,RazónMuerte!$A:$A,RazónMuerte!B:B,"",0)</f>
        <v>Otras / No especificada</v>
      </c>
      <c r="I408">
        <f>_xlfn.XLOOKUP($G408,RazónMuerte!$A:$A,RazónMuerte!C:C,"",0)</f>
        <v>0</v>
      </c>
      <c r="J408" t="str">
        <f>_xlfn.XLOOKUP($G408,RazónMuerte!$A:$A,RazónMuerte!D:D,"",0)</f>
        <v>No clasificado</v>
      </c>
    </row>
    <row r="409" spans="1:10" x14ac:dyDescent="0.25">
      <c r="A409" t="s">
        <v>1283</v>
      </c>
      <c r="B409" t="str">
        <f t="shared" si="12"/>
        <v>30</v>
      </c>
      <c r="C409" t="str">
        <f t="shared" si="13"/>
        <v>OCTUBRE</v>
      </c>
      <c r="D409" s="20">
        <v>45960</v>
      </c>
      <c r="E409" t="s">
        <v>74</v>
      </c>
      <c r="F409" t="s">
        <v>1284</v>
      </c>
      <c r="G409" t="s">
        <v>1285</v>
      </c>
      <c r="H409" t="str">
        <f>_xlfn.XLOOKUP($G409,RazónMuerte!$A:$A,RazónMuerte!B:B,"",0)</f>
        <v>Otras / No especificada</v>
      </c>
      <c r="I409">
        <f>_xlfn.XLOOKUP($G409,RazónMuerte!$A:$A,RazónMuerte!C:C,"",0)</f>
        <v>0</v>
      </c>
      <c r="J409" t="str">
        <f>_xlfn.XLOOKUP($G409,RazónMuerte!$A:$A,RazónMuerte!D:D,"",0)</f>
        <v>Fatal injury</v>
      </c>
    </row>
    <row r="410" spans="1:10" x14ac:dyDescent="0.25">
      <c r="A410" t="s">
        <v>1292</v>
      </c>
      <c r="B410" t="str">
        <f t="shared" si="12"/>
        <v>31</v>
      </c>
      <c r="C410" t="str">
        <f t="shared" si="13"/>
        <v>OCTUBRE</v>
      </c>
      <c r="D410" s="20">
        <v>45961</v>
      </c>
      <c r="E410" t="s">
        <v>12</v>
      </c>
      <c r="F410" t="s">
        <v>1293</v>
      </c>
      <c r="G410" t="s">
        <v>1294</v>
      </c>
      <c r="H410" t="str">
        <f>_xlfn.XLOOKUP($G410,RazónMuerte!$A:$A,RazónMuerte!B:B,"",0)</f>
        <v>Enfermedad degenerativa articular</v>
      </c>
      <c r="I410">
        <f>_xlfn.XLOOKUP($G410,RazónMuerte!$A:$A,RazónMuerte!C:C,"",0)</f>
        <v>0</v>
      </c>
      <c r="J410" t="str">
        <f>_xlfn.XLOOKUP($G410,RazónMuerte!$A:$A,RazónMuerte!D:D,"",0)</f>
        <v>Fatal injury</v>
      </c>
    </row>
    <row r="411" spans="1:10" x14ac:dyDescent="0.25">
      <c r="A411" t="s">
        <v>1292</v>
      </c>
      <c r="B411" t="str">
        <f t="shared" si="12"/>
        <v>31</v>
      </c>
      <c r="C411" t="str">
        <f t="shared" si="13"/>
        <v>OCTUBRE</v>
      </c>
      <c r="D411" s="20">
        <v>45961</v>
      </c>
      <c r="E411" t="s">
        <v>1296</v>
      </c>
      <c r="F411" t="s">
        <v>1364</v>
      </c>
      <c r="G411" t="s">
        <v>1297</v>
      </c>
      <c r="H411" t="str">
        <f>_xlfn.XLOOKUP($G411,RazónMuerte!$A:$A,RazónMuerte!B:B,"",0)</f>
        <v>Otras / No especificada</v>
      </c>
      <c r="I411">
        <f>_xlfn.XLOOKUP($G411,RazónMuerte!$A:$A,RazónMuerte!C:C,"",0)</f>
        <v>0</v>
      </c>
      <c r="J411" t="str">
        <f>_xlfn.XLOOKUP($G411,RazónMuerte!$A:$A,RazónMuerte!D:D,"",0)</f>
        <v>No clasificado</v>
      </c>
    </row>
    <row r="412" spans="1:10" x14ac:dyDescent="0.25">
      <c r="A412" t="s">
        <v>1292</v>
      </c>
      <c r="B412" t="str">
        <f t="shared" si="12"/>
        <v>31</v>
      </c>
      <c r="C412" t="str">
        <f t="shared" si="13"/>
        <v>OCTUBRE</v>
      </c>
      <c r="D412" s="20">
        <v>45961</v>
      </c>
      <c r="E412" t="s">
        <v>11</v>
      </c>
      <c r="F412" t="s">
        <v>1298</v>
      </c>
      <c r="G412" t="s">
        <v>1299</v>
      </c>
      <c r="H412" t="str">
        <f>_xlfn.XLOOKUP($G412,RazónMuerte!$A:$A,RazónMuerte!B:B,"",0)</f>
        <v>Otras / No especificada</v>
      </c>
      <c r="I412">
        <f>_xlfn.XLOOKUP($G412,RazónMuerte!$A:$A,RazónMuerte!C:C,"",0)</f>
        <v>0</v>
      </c>
      <c r="J412" t="str">
        <f>_xlfn.XLOOKUP($G412,RazónMuerte!$A:$A,RazónMuerte!D:D,"",0)</f>
        <v>No clasificado</v>
      </c>
    </row>
    <row r="413" spans="1:10" x14ac:dyDescent="0.25">
      <c r="A413" t="s">
        <v>1300</v>
      </c>
      <c r="B413" t="str">
        <f t="shared" si="12"/>
        <v>1</v>
      </c>
      <c r="C413" t="str">
        <f t="shared" si="13"/>
        <v>NOVIEMBRE</v>
      </c>
      <c r="D413" s="20">
        <v>45962</v>
      </c>
      <c r="E413" t="s">
        <v>38</v>
      </c>
      <c r="F413" t="s">
        <v>1301</v>
      </c>
      <c r="G413" t="s">
        <v>1302</v>
      </c>
      <c r="H413" t="str">
        <f>_xlfn.XLOOKUP($G413,RazónMuerte!$A:$A,RazónMuerte!B:B,"",0)</f>
        <v>Fractura ósea</v>
      </c>
      <c r="I413" t="str">
        <f>_xlfn.XLOOKUP($G413,RazónMuerte!$A:$A,RazónMuerte!C:C,"",0)</f>
        <v>No especificado</v>
      </c>
      <c r="J413" t="str">
        <f>_xlfn.XLOOKUP($G413,RazónMuerte!$A:$A,RazónMuerte!D:D,"",0)</f>
        <v>Fatal injury</v>
      </c>
    </row>
    <row r="414" spans="1:10" x14ac:dyDescent="0.25">
      <c r="A414" t="s">
        <v>1303</v>
      </c>
      <c r="B414" t="str">
        <f t="shared" si="12"/>
        <v>3</v>
      </c>
      <c r="C414" t="str">
        <f t="shared" si="13"/>
        <v>NOVIEMBRE</v>
      </c>
      <c r="D414" s="20">
        <v>45964</v>
      </c>
      <c r="E414" t="s">
        <v>1304</v>
      </c>
      <c r="F414" t="s">
        <v>1305</v>
      </c>
      <c r="G414" t="s">
        <v>255</v>
      </c>
      <c r="H414" t="str">
        <f>_xlfn.XLOOKUP($G414,RazónMuerte!$A:$A,RazónMuerte!B:B,"",0)</f>
        <v>Fractura ósea</v>
      </c>
      <c r="I414" t="str">
        <f>_xlfn.XLOOKUP($G414,RazónMuerte!$A:$A,RazónMuerte!C:C,"",0)</f>
        <v>Rodilla / Carpal</v>
      </c>
      <c r="J414" t="str">
        <f>_xlfn.XLOOKUP($G414,RazónMuerte!$A:$A,RazónMuerte!D:D,"",0)</f>
        <v>Fatal injury</v>
      </c>
    </row>
    <row r="415" spans="1:10" x14ac:dyDescent="0.25">
      <c r="A415" t="s">
        <v>1303</v>
      </c>
      <c r="B415" t="str">
        <f t="shared" si="12"/>
        <v>3</v>
      </c>
      <c r="C415" t="str">
        <f t="shared" si="13"/>
        <v>NOVIEMBRE</v>
      </c>
      <c r="D415" s="20">
        <v>45964</v>
      </c>
      <c r="E415" t="s">
        <v>73</v>
      </c>
      <c r="F415" t="s">
        <v>1306</v>
      </c>
      <c r="G415" t="s">
        <v>255</v>
      </c>
      <c r="H415" t="str">
        <f>_xlfn.XLOOKUP($G415,RazónMuerte!$A:$A,RazónMuerte!B:B,"",0)</f>
        <v>Fractura ósea</v>
      </c>
      <c r="I415" t="str">
        <f>_xlfn.XLOOKUP($G415,RazónMuerte!$A:$A,RazónMuerte!C:C,"",0)</f>
        <v>Rodilla / Carpal</v>
      </c>
      <c r="J415" t="str">
        <f>_xlfn.XLOOKUP($G415,RazónMuerte!$A:$A,RazónMuerte!D:D,"",0)</f>
        <v>Fatal injury</v>
      </c>
    </row>
    <row r="416" spans="1:10" x14ac:dyDescent="0.25">
      <c r="A416" t="s">
        <v>1309</v>
      </c>
      <c r="B416" t="str">
        <f t="shared" si="12"/>
        <v>5</v>
      </c>
      <c r="C416" t="str">
        <f t="shared" si="13"/>
        <v>NOVIEMBRE</v>
      </c>
      <c r="D416" s="20">
        <v>45966</v>
      </c>
      <c r="E416" t="s">
        <v>37</v>
      </c>
      <c r="F416" t="s">
        <v>1308</v>
      </c>
      <c r="G416" t="s">
        <v>1307</v>
      </c>
      <c r="H416" t="str">
        <f>_xlfn.XLOOKUP($G416,RazónMuerte!$A:$A,RazónMuerte!B:B,"",0)</f>
        <v>Enfermedad degenerativa articular</v>
      </c>
      <c r="I416">
        <f>_xlfn.XLOOKUP($G416,RazónMuerte!$A:$A,RazónMuerte!C:C,"",0)</f>
        <v>0</v>
      </c>
      <c r="J416" t="str">
        <f>_xlfn.XLOOKUP($G416,RazónMuerte!$A:$A,RazónMuerte!D:D,"",0)</f>
        <v>Fatal injury</v>
      </c>
    </row>
    <row r="417" spans="1:10" x14ac:dyDescent="0.25">
      <c r="A417" t="s">
        <v>1309</v>
      </c>
      <c r="B417" t="str">
        <f t="shared" si="12"/>
        <v>5</v>
      </c>
      <c r="C417" t="str">
        <f t="shared" si="13"/>
        <v>NOVIEMBRE</v>
      </c>
      <c r="D417" s="20">
        <v>45966</v>
      </c>
      <c r="E417" t="s">
        <v>1310</v>
      </c>
      <c r="F417" t="s">
        <v>11</v>
      </c>
      <c r="G417" t="s">
        <v>966</v>
      </c>
      <c r="H417" t="str">
        <f>_xlfn.XLOOKUP($G417,RazónMuerte!$A:$A,RazónMuerte!B:B,"",0)</f>
        <v>Fractura ósea</v>
      </c>
      <c r="I417" t="str">
        <f>_xlfn.XLOOKUP($G417,RazónMuerte!$A:$A,RazónMuerte!C:C,"",0)</f>
        <v>No especificado</v>
      </c>
      <c r="J417" t="str">
        <f>_xlfn.XLOOKUP($G417,RazónMuerte!$A:$A,RazónMuerte!D:D,"",0)</f>
        <v>Fatal injury</v>
      </c>
    </row>
    <row r="418" spans="1:10" x14ac:dyDescent="0.25">
      <c r="A418" t="s">
        <v>1312</v>
      </c>
      <c r="B418" t="str">
        <f t="shared" si="12"/>
        <v>11</v>
      </c>
      <c r="C418" t="str">
        <f t="shared" si="13"/>
        <v>NOVIEMBRE</v>
      </c>
      <c r="D418" s="20">
        <v>45972</v>
      </c>
      <c r="E418" t="s">
        <v>17</v>
      </c>
      <c r="F418" t="s">
        <v>1313</v>
      </c>
      <c r="G418" t="s">
        <v>1311</v>
      </c>
      <c r="H418" t="str">
        <f>_xlfn.XLOOKUP($G418,RazónMuerte!$A:$A,RazónMuerte!B:B,"",0)</f>
        <v>Otras / No especificada</v>
      </c>
      <c r="I418">
        <f>_xlfn.XLOOKUP($G418,RazónMuerte!$A:$A,RazónMuerte!C:C,"",0)</f>
        <v>0</v>
      </c>
      <c r="J418" t="str">
        <f>_xlfn.XLOOKUP($G418,RazónMuerte!$A:$A,RazónMuerte!D:D,"",0)</f>
        <v>No clasificado</v>
      </c>
    </row>
    <row r="419" spans="1:10" x14ac:dyDescent="0.25">
      <c r="A419" t="s">
        <v>1314</v>
      </c>
      <c r="B419" t="str">
        <f t="shared" si="12"/>
        <v>20</v>
      </c>
      <c r="C419" t="str">
        <f t="shared" si="13"/>
        <v>NOVIEMBRE</v>
      </c>
      <c r="D419" s="20">
        <v>45981</v>
      </c>
      <c r="E419" t="s">
        <v>1234</v>
      </c>
      <c r="F419" t="s">
        <v>1315</v>
      </c>
      <c r="G419" t="s">
        <v>255</v>
      </c>
      <c r="H419" t="str">
        <f>_xlfn.XLOOKUP($G419,RazónMuerte!$A:$A,RazónMuerte!B:B,"",0)</f>
        <v>Fractura ósea</v>
      </c>
      <c r="I419" t="str">
        <f>_xlfn.XLOOKUP($G419,RazónMuerte!$A:$A,RazónMuerte!C:C,"",0)</f>
        <v>Rodilla / Carpal</v>
      </c>
      <c r="J419" t="str">
        <f>_xlfn.XLOOKUP($G419,RazónMuerte!$A:$A,RazónMuerte!D:D,"",0)</f>
        <v>Fatal injury</v>
      </c>
    </row>
    <row r="420" spans="1:10" x14ac:dyDescent="0.25">
      <c r="A420" t="s">
        <v>1314</v>
      </c>
      <c r="B420" t="str">
        <f t="shared" si="12"/>
        <v>20</v>
      </c>
      <c r="C420" t="str">
        <f t="shared" si="13"/>
        <v>NOVIEMBRE</v>
      </c>
      <c r="D420" s="20">
        <v>45981</v>
      </c>
      <c r="E420" t="s">
        <v>26</v>
      </c>
      <c r="F420" t="s">
        <v>1317</v>
      </c>
      <c r="G420" t="s">
        <v>657</v>
      </c>
      <c r="H420" t="str">
        <f>_xlfn.XLOOKUP($G420,RazónMuerte!$A:$A,RazónMuerte!B:B,"",0)</f>
        <v>Enfermedad degenerativa articular</v>
      </c>
      <c r="I420">
        <f>_xlfn.XLOOKUP($G420,RazónMuerte!$A:$A,RazónMuerte!C:C,"",0)</f>
        <v>0</v>
      </c>
      <c r="J420" t="str">
        <f>_xlfn.XLOOKUP($G420,RazónMuerte!$A:$A,RazónMuerte!D:D,"",0)</f>
        <v>No fatal injury (chronic/medical)</v>
      </c>
    </row>
    <row r="421" spans="1:10" x14ac:dyDescent="0.25">
      <c r="A421" t="s">
        <v>1314</v>
      </c>
      <c r="B421" t="str">
        <f t="shared" si="12"/>
        <v>20</v>
      </c>
      <c r="C421" t="str">
        <f t="shared" si="13"/>
        <v>NOVIEMBRE</v>
      </c>
      <c r="D421" s="20">
        <v>45981</v>
      </c>
      <c r="E421" t="s">
        <v>35</v>
      </c>
      <c r="F421" t="s">
        <v>1318</v>
      </c>
      <c r="G421" t="s">
        <v>1319</v>
      </c>
      <c r="H421" t="str">
        <f>_xlfn.XLOOKUP($G421,RazónMuerte!$A:$A,RazónMuerte!B:B,"",0)</f>
        <v>Otras / No especificada</v>
      </c>
      <c r="I421">
        <f>_xlfn.XLOOKUP($G421,RazónMuerte!$A:$A,RazónMuerte!C:C,"",0)</f>
        <v>0</v>
      </c>
      <c r="J421" t="str">
        <f>_xlfn.XLOOKUP($G421,RazónMuerte!$A:$A,RazónMuerte!D:D,"",0)</f>
        <v>No clasificado</v>
      </c>
    </row>
    <row r="422" spans="1:10" x14ac:dyDescent="0.25">
      <c r="A422" t="s">
        <v>1320</v>
      </c>
      <c r="B422" t="str">
        <f t="shared" si="12"/>
        <v>21</v>
      </c>
      <c r="C422" t="str">
        <f t="shared" si="13"/>
        <v>NOVIEMBRE</v>
      </c>
      <c r="D422" s="20">
        <v>45982</v>
      </c>
      <c r="E422" t="s">
        <v>1321</v>
      </c>
      <c r="F422" t="s">
        <v>1322</v>
      </c>
      <c r="G422" t="s">
        <v>1323</v>
      </c>
      <c r="H422" t="str">
        <f>_xlfn.XLOOKUP($G422,RazónMuerte!$A:$A,RazónMuerte!B:B,"",0)</f>
        <v>Fractura ósea</v>
      </c>
      <c r="I422" t="str">
        <f>_xlfn.XLOOKUP($G422,RazónMuerte!$A:$A,RazónMuerte!C:C,"",0)</f>
        <v>No especificado</v>
      </c>
      <c r="J422" t="str">
        <f>_xlfn.XLOOKUP($G422,RazónMuerte!$A:$A,RazónMuerte!D:D,"",0)</f>
        <v>Fatal injury</v>
      </c>
    </row>
    <row r="423" spans="1:10" x14ac:dyDescent="0.25">
      <c r="A423" t="s">
        <v>1324</v>
      </c>
      <c r="B423" t="str">
        <f t="shared" si="12"/>
        <v>22</v>
      </c>
      <c r="C423" t="str">
        <f t="shared" si="13"/>
        <v>NOVIEMBRE</v>
      </c>
      <c r="D423" s="20">
        <v>45983</v>
      </c>
      <c r="E423" t="s">
        <v>1325</v>
      </c>
      <c r="F423" t="s">
        <v>1326</v>
      </c>
      <c r="G423" t="s">
        <v>1271</v>
      </c>
      <c r="H423" t="str">
        <f>_xlfn.XLOOKUP($G423,RazónMuerte!$A:$A,RazónMuerte!B:B,"",0)</f>
        <v>Fractura ósea</v>
      </c>
      <c r="I423" t="str">
        <f>_xlfn.XLOOKUP($G423,RazónMuerte!$A:$A,RazónMuerte!C:C,"",0)</f>
        <v>Slab</v>
      </c>
      <c r="J423" t="str">
        <f>_xlfn.XLOOKUP($G423,RazónMuerte!$A:$A,RazónMuerte!D:D,"",0)</f>
        <v>Fatal injury</v>
      </c>
    </row>
    <row r="424" spans="1:10" x14ac:dyDescent="0.25">
      <c r="A424" t="s">
        <v>1329</v>
      </c>
      <c r="B424" t="str">
        <f t="shared" si="12"/>
        <v>24</v>
      </c>
      <c r="C424" t="str">
        <f t="shared" si="13"/>
        <v>NOVIEMBRE</v>
      </c>
      <c r="D424" s="20">
        <v>45985</v>
      </c>
      <c r="E424" t="s">
        <v>73</v>
      </c>
      <c r="F424" t="s">
        <v>1328</v>
      </c>
      <c r="G424" t="s">
        <v>1327</v>
      </c>
      <c r="H424" t="str">
        <f>_xlfn.XLOOKUP($G424,RazónMuerte!$A:$A,RazónMuerte!B:B,"",0)</f>
        <v>Fractura ósea</v>
      </c>
      <c r="I424" t="str">
        <f>_xlfn.XLOOKUP($G424,RazónMuerte!$A:$A,RazónMuerte!C:C,"",0)</f>
        <v>Rodilla / Carpal</v>
      </c>
      <c r="J424" t="str">
        <f>_xlfn.XLOOKUP($G424,RazónMuerte!$A:$A,RazónMuerte!D:D,"",0)</f>
        <v>Fatal injury</v>
      </c>
    </row>
    <row r="425" spans="1:10" x14ac:dyDescent="0.25">
      <c r="A425" t="s">
        <v>1329</v>
      </c>
      <c r="B425" t="str">
        <f t="shared" si="12"/>
        <v>24</v>
      </c>
      <c r="C425" t="str">
        <f t="shared" si="13"/>
        <v>NOVIEMBRE</v>
      </c>
      <c r="D425" s="20">
        <v>45985</v>
      </c>
      <c r="E425" t="s">
        <v>1330</v>
      </c>
      <c r="F425" t="s">
        <v>1331</v>
      </c>
      <c r="G425" t="s">
        <v>1332</v>
      </c>
      <c r="H425" t="str">
        <f>_xlfn.XLOOKUP($G425,RazónMuerte!$A:$A,RazónMuerte!B:B,"",0)</f>
        <v>Fractura ósea</v>
      </c>
      <c r="I425" t="str">
        <f>_xlfn.XLOOKUP($G425,RazónMuerte!$A:$A,RazónMuerte!C:C,"",0)</f>
        <v>Sesamoideo</v>
      </c>
      <c r="J425" t="str">
        <f>_xlfn.XLOOKUP($G425,RazónMuerte!$A:$A,RazónMuerte!D:D,"",0)</f>
        <v>Fatal injury</v>
      </c>
    </row>
    <row r="426" spans="1:10" x14ac:dyDescent="0.25">
      <c r="A426" t="s">
        <v>1333</v>
      </c>
      <c r="B426" t="str">
        <f t="shared" si="12"/>
        <v>26</v>
      </c>
      <c r="C426" t="str">
        <f t="shared" si="13"/>
        <v>NOVIEMBRE</v>
      </c>
      <c r="D426" s="20">
        <v>45987</v>
      </c>
      <c r="E426" t="s">
        <v>1234</v>
      </c>
      <c r="F426" t="s">
        <v>1334</v>
      </c>
      <c r="G426" t="s">
        <v>1335</v>
      </c>
      <c r="H426" t="str">
        <f>_xlfn.XLOOKUP($G426,RazónMuerte!$A:$A,RazónMuerte!B:B,"",0)</f>
        <v>Fractura ósea</v>
      </c>
      <c r="I426" t="str">
        <f>_xlfn.XLOOKUP($G426,RazónMuerte!$A:$A,RazónMuerte!C:C,"",0)</f>
        <v>Sesamoideo</v>
      </c>
      <c r="J426" t="str">
        <f>_xlfn.XLOOKUP($G426,RazónMuerte!$A:$A,RazónMuerte!D:D,"",0)</f>
        <v>Fatal injury</v>
      </c>
    </row>
    <row r="427" spans="1:10" x14ac:dyDescent="0.25">
      <c r="A427" t="s">
        <v>1336</v>
      </c>
      <c r="B427" t="str">
        <f t="shared" si="12"/>
        <v>28</v>
      </c>
      <c r="C427" t="str">
        <f t="shared" si="13"/>
        <v>NOVIEMBRE</v>
      </c>
      <c r="D427" s="20">
        <v>45989</v>
      </c>
      <c r="E427" t="s">
        <v>113</v>
      </c>
      <c r="F427" t="s">
        <v>1337</v>
      </c>
      <c r="G427" t="s">
        <v>57</v>
      </c>
      <c r="H427" t="str">
        <f>_xlfn.XLOOKUP($G427,RazónMuerte!$A:$A,RazónMuerte!B:B,"",0)</f>
        <v>Otras / No especificada</v>
      </c>
      <c r="I427">
        <f>_xlfn.XLOOKUP($G427,RazónMuerte!$A:$A,RazónMuerte!C:C,"",0)</f>
        <v>0</v>
      </c>
      <c r="J427" t="str">
        <f>_xlfn.XLOOKUP($G427,RazónMuerte!$A:$A,RazónMuerte!D:D,"",0)</f>
        <v>No clasificado</v>
      </c>
    </row>
    <row r="428" spans="1:10" x14ac:dyDescent="0.25">
      <c r="A428" t="s">
        <v>1336</v>
      </c>
      <c r="B428" t="str">
        <f t="shared" si="12"/>
        <v>28</v>
      </c>
      <c r="C428" t="str">
        <f t="shared" si="13"/>
        <v>NOVIEMBRE</v>
      </c>
      <c r="D428" s="20">
        <v>45989</v>
      </c>
      <c r="E428" t="s">
        <v>1339</v>
      </c>
      <c r="F428" t="s">
        <v>1338</v>
      </c>
      <c r="G428" t="s">
        <v>87</v>
      </c>
      <c r="H428" t="str">
        <f>_xlfn.XLOOKUP($G428,RazónMuerte!$A:$A,RazónMuerte!B:B,"",0)</f>
        <v>Otras / No especificada</v>
      </c>
      <c r="I428">
        <f>_xlfn.XLOOKUP($G428,RazónMuerte!$A:$A,RazónMuerte!C:C,"",0)</f>
        <v>0</v>
      </c>
      <c r="J428" t="str">
        <f>_xlfn.XLOOKUP($G428,RazónMuerte!$A:$A,RazónMuerte!D:D,"",0)</f>
        <v>No clasificado</v>
      </c>
    </row>
    <row r="429" spans="1:10" x14ac:dyDescent="0.25">
      <c r="A429" t="s">
        <v>1340</v>
      </c>
      <c r="B429" t="str">
        <f t="shared" si="12"/>
        <v>1</v>
      </c>
      <c r="C429" t="str">
        <f t="shared" si="13"/>
        <v>DICIEMBRE</v>
      </c>
      <c r="D429" s="20">
        <v>45992</v>
      </c>
      <c r="E429" t="s">
        <v>895</v>
      </c>
      <c r="F429" t="s">
        <v>1341</v>
      </c>
      <c r="G429" t="s">
        <v>667</v>
      </c>
      <c r="H429" t="str">
        <f>_xlfn.XLOOKUP($G429,RazónMuerte!$A:$A,RazónMuerte!B:B,"",0)</f>
        <v>Enfermedad degenerativa articular</v>
      </c>
      <c r="I429">
        <f>_xlfn.XLOOKUP($G429,RazónMuerte!$A:$A,RazónMuerte!C:C,"",0)</f>
        <v>0</v>
      </c>
      <c r="J429" t="str">
        <f>_xlfn.XLOOKUP($G429,RazónMuerte!$A:$A,RazónMuerte!D:D,"",0)</f>
        <v>No fatal injury (chronic/medical)</v>
      </c>
    </row>
    <row r="430" spans="1:10" x14ac:dyDescent="0.25">
      <c r="A430" t="s">
        <v>1342</v>
      </c>
      <c r="B430" t="str">
        <f t="shared" si="12"/>
        <v>4</v>
      </c>
      <c r="C430" t="str">
        <f t="shared" si="13"/>
        <v>DICIEMBRE</v>
      </c>
      <c r="D430" s="20">
        <v>45995</v>
      </c>
      <c r="E430" t="s">
        <v>1089</v>
      </c>
      <c r="F430" t="s">
        <v>1343</v>
      </c>
      <c r="G430" t="s">
        <v>1344</v>
      </c>
      <c r="H430" t="str">
        <f>_xlfn.XLOOKUP($G430,RazónMuerte!$A:$A,RazónMuerte!B:B,"",0)</f>
        <v>Otras / No especificada</v>
      </c>
      <c r="I430">
        <f>_xlfn.XLOOKUP($G430,RazónMuerte!$A:$A,RazónMuerte!C:C,"",0)</f>
        <v>0</v>
      </c>
      <c r="J430" t="str">
        <f>_xlfn.XLOOKUP($G430,RazónMuerte!$A:$A,RazónMuerte!D:D,"",0)</f>
        <v>No clasificado</v>
      </c>
    </row>
    <row r="431" spans="1:10" x14ac:dyDescent="0.25">
      <c r="A431" t="s">
        <v>1347</v>
      </c>
      <c r="B431" t="str">
        <f t="shared" si="12"/>
        <v>5</v>
      </c>
      <c r="C431" t="str">
        <f t="shared" si="13"/>
        <v>DICIEMBRE</v>
      </c>
      <c r="D431" s="20">
        <v>45996</v>
      </c>
      <c r="E431" t="s">
        <v>1185</v>
      </c>
      <c r="F431" t="s">
        <v>1346</v>
      </c>
      <c r="G431" t="s">
        <v>1345</v>
      </c>
      <c r="H431" t="str">
        <f>_xlfn.XLOOKUP($G431,RazónMuerte!$A:$A,RazónMuerte!B:B,"",0)</f>
        <v>Otras / No especificada</v>
      </c>
      <c r="I431">
        <f>_xlfn.XLOOKUP($G431,RazónMuerte!$A:$A,RazónMuerte!C:C,"",0)</f>
        <v>0</v>
      </c>
      <c r="J431" t="str">
        <f>_xlfn.XLOOKUP($G431,RazónMuerte!$A:$A,RazónMuerte!D:D,"",0)</f>
        <v>No clasificado</v>
      </c>
    </row>
    <row r="432" spans="1:10" x14ac:dyDescent="0.25">
      <c r="A432" t="s">
        <v>1350</v>
      </c>
      <c r="B432" t="str">
        <f t="shared" si="12"/>
        <v>9</v>
      </c>
      <c r="C432" t="str">
        <f t="shared" si="13"/>
        <v>DICIEMBRE</v>
      </c>
      <c r="D432" s="20">
        <v>46000</v>
      </c>
      <c r="E432" t="s">
        <v>1277</v>
      </c>
      <c r="F432" t="s">
        <v>1348</v>
      </c>
      <c r="G432" t="s">
        <v>1349</v>
      </c>
      <c r="H432" t="str">
        <f>_xlfn.XLOOKUP($G432,RazónMuerte!$A:$A,RazónMuerte!B:B,"",0)</f>
        <v>Fractura ósea</v>
      </c>
      <c r="I432" t="str">
        <f>_xlfn.XLOOKUP($G432,RazónMuerte!$A:$A,RazónMuerte!C:C,"",0)</f>
        <v>Rodilla / Carpal</v>
      </c>
      <c r="J432" t="str">
        <f>_xlfn.XLOOKUP($G432,RazónMuerte!$A:$A,RazónMuerte!D:D,"",0)</f>
        <v>Fatal injury</v>
      </c>
    </row>
    <row r="433" spans="1:10" x14ac:dyDescent="0.25">
      <c r="A433" t="s">
        <v>1351</v>
      </c>
      <c r="B433" t="str">
        <f t="shared" si="12"/>
        <v>12</v>
      </c>
      <c r="C433" t="str">
        <f t="shared" si="13"/>
        <v>DICIEMBRE</v>
      </c>
      <c r="D433" s="20">
        <v>46003</v>
      </c>
      <c r="E433" t="s">
        <v>52</v>
      </c>
      <c r="F433" t="s">
        <v>1352</v>
      </c>
      <c r="G433" t="s">
        <v>1353</v>
      </c>
      <c r="H433" t="str">
        <f>_xlfn.XLOOKUP($G433,RazónMuerte!$A:$A,RazónMuerte!B:B,"",0)</f>
        <v>Fractura ósea</v>
      </c>
      <c r="I433" t="str">
        <f>_xlfn.XLOOKUP($G433,RazónMuerte!$A:$A,RazónMuerte!C:C,"",0)</f>
        <v>Slab</v>
      </c>
      <c r="J433" t="str">
        <f>_xlfn.XLOOKUP($G433,RazónMuerte!$A:$A,RazónMuerte!D:D,"",0)</f>
        <v>Fatal injury</v>
      </c>
    </row>
    <row r="434" spans="1:10" x14ac:dyDescent="0.25">
      <c r="A434" t="s">
        <v>1354</v>
      </c>
      <c r="B434" t="str">
        <f t="shared" si="12"/>
        <v>13</v>
      </c>
      <c r="C434" t="str">
        <f t="shared" si="13"/>
        <v>DICIEMBRE</v>
      </c>
      <c r="D434" s="20">
        <v>46004</v>
      </c>
      <c r="E434" t="s">
        <v>1355</v>
      </c>
      <c r="F434" t="s">
        <v>1356</v>
      </c>
      <c r="G434" t="s">
        <v>1357</v>
      </c>
      <c r="H434" t="str">
        <f>_xlfn.XLOOKUP($G434,RazónMuerte!$A:$A,RazónMuerte!B:B,"",0)</f>
        <v>Otras / No especificada</v>
      </c>
      <c r="I434">
        <f>_xlfn.XLOOKUP($G434,RazónMuerte!$A:$A,RazónMuerte!C:C,"",0)</f>
        <v>0</v>
      </c>
      <c r="J434" t="str">
        <f>_xlfn.XLOOKUP($G434,RazónMuerte!$A:$A,RazónMuerte!D:D,"",0)</f>
        <v>No fatal injury (chronic/medical)</v>
      </c>
    </row>
    <row r="435" spans="1:10" x14ac:dyDescent="0.25">
      <c r="A435" t="s">
        <v>1358</v>
      </c>
      <c r="B435" t="str">
        <f t="shared" si="12"/>
        <v>16</v>
      </c>
      <c r="C435" t="str">
        <f t="shared" si="13"/>
        <v>DICIEMBRE</v>
      </c>
      <c r="D435" s="20">
        <v>46007</v>
      </c>
      <c r="E435" t="s">
        <v>102</v>
      </c>
      <c r="F435" t="s">
        <v>1359</v>
      </c>
      <c r="G435" t="s">
        <v>653</v>
      </c>
      <c r="H435" t="str">
        <f>_xlfn.XLOOKUP($G435,RazónMuerte!$A:$A,RazónMuerte!B:B,"",0)</f>
        <v>Otras / No especificada</v>
      </c>
      <c r="I435">
        <f>_xlfn.XLOOKUP($G435,RazónMuerte!$A:$A,RazónMuerte!C:C,"",0)</f>
        <v>0</v>
      </c>
      <c r="J435" t="str">
        <f>_xlfn.XLOOKUP($G435,RazónMuerte!$A:$A,RazónMuerte!D:D,"",0)</f>
        <v>No clasificado</v>
      </c>
    </row>
    <row r="436" spans="1:10" x14ac:dyDescent="0.25">
      <c r="A436" t="s">
        <v>1360</v>
      </c>
      <c r="B436" t="str">
        <f t="shared" si="12"/>
        <v>19</v>
      </c>
      <c r="C436" t="str">
        <f t="shared" si="13"/>
        <v>DICIEMBRE</v>
      </c>
      <c r="D436" s="20">
        <v>46010</v>
      </c>
      <c r="E436" t="s">
        <v>572</v>
      </c>
      <c r="F436" t="s">
        <v>1361</v>
      </c>
      <c r="G436" t="s">
        <v>1362</v>
      </c>
      <c r="H436" t="str">
        <f>_xlfn.XLOOKUP($G436,RazónMuerte!$A:$A,RazónMuerte!B:B,"",0)</f>
        <v>Fractura ósea</v>
      </c>
      <c r="I436" t="str">
        <f>_xlfn.XLOOKUP($G436,RazónMuerte!$A:$A,RazónMuerte!C:C,"",0)</f>
        <v>Slab</v>
      </c>
      <c r="J436" t="str">
        <f>_xlfn.XLOOKUP($G436,RazónMuerte!$A:$A,RazónMuerte!D:D,"",0)</f>
        <v>Fatal injury</v>
      </c>
    </row>
    <row r="437" spans="1:10" x14ac:dyDescent="0.25">
      <c r="A437" t="s">
        <v>1360</v>
      </c>
      <c r="B437" t="str">
        <f t="shared" si="12"/>
        <v>19</v>
      </c>
      <c r="C437" t="str">
        <f t="shared" si="13"/>
        <v>DICIEMBRE</v>
      </c>
      <c r="D437" s="20">
        <v>46010</v>
      </c>
      <c r="E437" t="s">
        <v>15</v>
      </c>
      <c r="F437" t="s">
        <v>1363</v>
      </c>
      <c r="G437" t="s">
        <v>1362</v>
      </c>
      <c r="H437" t="str">
        <f>_xlfn.XLOOKUP($G437,RazónMuerte!$A:$A,RazónMuerte!B:B,"",0)</f>
        <v>Fractura ósea</v>
      </c>
      <c r="I437" t="str">
        <f>_xlfn.XLOOKUP($G437,RazónMuerte!$A:$A,RazónMuerte!C:C,"",0)</f>
        <v>Slab</v>
      </c>
      <c r="J437" t="str">
        <f>_xlfn.XLOOKUP($G437,RazónMuerte!$A:$A,RazónMuerte!D:D,"",0)</f>
        <v>Fatal injury</v>
      </c>
    </row>
    <row r="438" spans="1:10" x14ac:dyDescent="0.25">
      <c r="A438" t="s">
        <v>1365</v>
      </c>
      <c r="B438" t="str">
        <f t="shared" si="12"/>
        <v>20</v>
      </c>
      <c r="C438" t="str">
        <f t="shared" si="13"/>
        <v>DICIEMBRE</v>
      </c>
      <c r="D438" s="20">
        <v>46011</v>
      </c>
      <c r="E438" t="s">
        <v>1253</v>
      </c>
      <c r="F438" t="s">
        <v>1366</v>
      </c>
      <c r="G438" t="s">
        <v>1367</v>
      </c>
      <c r="H438" t="str">
        <f>_xlfn.XLOOKUP($G438,RazónMuerte!$A:$A,RazónMuerte!B:B,"",0)</f>
        <v>Lesión de ligamentos/tendones</v>
      </c>
      <c r="I438">
        <f>_xlfn.XLOOKUP($G438,RazónMuerte!$A:$A,RazónMuerte!C:C,"",0)</f>
        <v>0</v>
      </c>
      <c r="J438" t="str">
        <f>_xlfn.XLOOKUP($G438,RazónMuerte!$A:$A,RazónMuerte!D:D,"",0)</f>
        <v>No clasificado</v>
      </c>
    </row>
    <row r="439" spans="1:10" x14ac:dyDescent="0.25">
      <c r="A439" t="s">
        <v>1371</v>
      </c>
      <c r="B439" t="str">
        <f t="shared" si="12"/>
        <v>23</v>
      </c>
      <c r="C439" t="str">
        <f t="shared" si="13"/>
        <v>DICIEMBRE</v>
      </c>
      <c r="D439" s="20">
        <v>46014</v>
      </c>
      <c r="E439" t="s">
        <v>1373</v>
      </c>
      <c r="F439" t="s">
        <v>1372</v>
      </c>
      <c r="G439" t="s">
        <v>1374</v>
      </c>
      <c r="H439" t="str">
        <f>_xlfn.XLOOKUP($G439,RazónMuerte!$A:$A,RazónMuerte!B:B,"",0)</f>
        <v>Otras / No especificada</v>
      </c>
      <c r="I439">
        <f>_xlfn.XLOOKUP($G439,RazónMuerte!$A:$A,RazónMuerte!C:C,"",0)</f>
        <v>0</v>
      </c>
      <c r="J439" t="str">
        <f>_xlfn.XLOOKUP($G439,RazónMuerte!$A:$A,RazónMuerte!D:D,"",0)</f>
        <v>Fatal injury</v>
      </c>
    </row>
    <row r="440" spans="1:10" x14ac:dyDescent="0.25">
      <c r="A440" t="s">
        <v>1371</v>
      </c>
      <c r="B440" t="str">
        <f t="shared" si="12"/>
        <v>23</v>
      </c>
      <c r="C440" t="str">
        <f t="shared" si="13"/>
        <v>DICIEMBRE</v>
      </c>
      <c r="D440" s="20">
        <v>46014</v>
      </c>
      <c r="E440" t="s">
        <v>294</v>
      </c>
      <c r="F440" t="s">
        <v>1376</v>
      </c>
      <c r="G440" t="s">
        <v>1375</v>
      </c>
      <c r="H440" t="str">
        <f>_xlfn.XLOOKUP($G440,RazónMuerte!$A:$A,RazónMuerte!B:B,"",0)</f>
        <v>Enfermedad degenerativa articular</v>
      </c>
      <c r="I440">
        <f>_xlfn.XLOOKUP($G440,RazónMuerte!$A:$A,RazónMuerte!C:C,"",0)</f>
        <v>0</v>
      </c>
      <c r="J440" t="str">
        <f>_xlfn.XLOOKUP($G440,RazónMuerte!$A:$A,RazónMuerte!D:D,"",0)</f>
        <v>No fatal injury (chronic/medical)</v>
      </c>
    </row>
    <row r="441" spans="1:10" x14ac:dyDescent="0.25">
      <c r="A441" t="s">
        <v>1368</v>
      </c>
      <c r="B441" t="str">
        <f t="shared" si="12"/>
        <v>24</v>
      </c>
      <c r="C441" t="str">
        <f t="shared" si="13"/>
        <v>DICIEMBRE</v>
      </c>
      <c r="D441" s="20">
        <v>46015</v>
      </c>
      <c r="E441" t="s">
        <v>11</v>
      </c>
      <c r="F441" t="s">
        <v>1369</v>
      </c>
      <c r="G441" t="s">
        <v>1370</v>
      </c>
      <c r="H441" t="str">
        <f>_xlfn.XLOOKUP($G441,RazónMuerte!$A:$A,RazónMuerte!B:B,"",0)</f>
        <v>Otras / No especificada</v>
      </c>
      <c r="I441">
        <f>_xlfn.XLOOKUP($G441,RazónMuerte!$A:$A,RazónMuerte!C:C,"",0)</f>
        <v>0</v>
      </c>
      <c r="J441" t="str">
        <f>_xlfn.XLOOKUP($G441,RazónMuerte!$A:$A,RazónMuerte!D:D,"",0)</f>
        <v>No clasificado</v>
      </c>
    </row>
    <row r="442" spans="1:10" x14ac:dyDescent="0.25">
      <c r="A442" t="s">
        <v>1377</v>
      </c>
      <c r="B442" t="str">
        <f t="shared" si="12"/>
        <v>26</v>
      </c>
      <c r="C442" t="str">
        <f t="shared" si="13"/>
        <v>DICIEMBRE</v>
      </c>
      <c r="D442" s="20">
        <v>46017</v>
      </c>
      <c r="E442" t="s">
        <v>11</v>
      </c>
      <c r="F442" t="s">
        <v>1378</v>
      </c>
      <c r="G442" t="s">
        <v>1379</v>
      </c>
      <c r="H442" t="str">
        <f>_xlfn.XLOOKUP($G442,RazónMuerte!$A:$A,RazónMuerte!B:B,"",0)</f>
        <v>Otras / No especificada</v>
      </c>
      <c r="I442">
        <f>_xlfn.XLOOKUP($G442,RazónMuerte!$A:$A,RazónMuerte!C:C,"",0)</f>
        <v>0</v>
      </c>
      <c r="J442" t="str">
        <f>_xlfn.XLOOKUP($G442,RazónMuerte!$A:$A,RazónMuerte!D:D,"",0)</f>
        <v>No clasificado</v>
      </c>
    </row>
    <row r="443" spans="1:10" x14ac:dyDescent="0.25">
      <c r="A443" t="s">
        <v>1380</v>
      </c>
      <c r="B443" t="str">
        <f t="shared" si="12"/>
        <v>29</v>
      </c>
      <c r="C443" t="str">
        <f t="shared" si="13"/>
        <v>DICIEMBRE</v>
      </c>
      <c r="D443" s="20">
        <v>46020</v>
      </c>
      <c r="E443" t="s">
        <v>887</v>
      </c>
      <c r="F443" t="s">
        <v>1381</v>
      </c>
      <c r="G443" t="s">
        <v>1271</v>
      </c>
      <c r="H443" t="str">
        <f>_xlfn.XLOOKUP($G443,RazónMuerte!$A:$A,RazónMuerte!B:B,"",0)</f>
        <v>Fractura ósea</v>
      </c>
      <c r="I443" t="str">
        <f>_xlfn.XLOOKUP($G443,RazónMuerte!$A:$A,RazónMuerte!C:C,"",0)</f>
        <v>Slab</v>
      </c>
      <c r="J443" t="str">
        <f>_xlfn.XLOOKUP($G443,RazónMuerte!$A:$A,RazónMuerte!D:D,"",0)</f>
        <v>Fatal injury</v>
      </c>
    </row>
    <row r="444" spans="1:10" x14ac:dyDescent="0.25">
      <c r="A444" t="s">
        <v>1385</v>
      </c>
      <c r="B444" t="str">
        <f t="shared" si="12"/>
        <v>30</v>
      </c>
      <c r="C444" t="str">
        <f t="shared" si="13"/>
        <v>DICIEMBRE</v>
      </c>
      <c r="D444" s="20">
        <v>46021</v>
      </c>
      <c r="E444" t="s">
        <v>1386</v>
      </c>
      <c r="F444" t="s">
        <v>1387</v>
      </c>
      <c r="G444" t="s">
        <v>1388</v>
      </c>
      <c r="H444" t="str">
        <f>_xlfn.XLOOKUP($G444,RazónMuerte!$A:$A,RazónMuerte!B:B,"",0)</f>
        <v>Fractura ósea</v>
      </c>
      <c r="I444" t="str">
        <f>_xlfn.XLOOKUP($G444,RazónMuerte!$A:$A,RazónMuerte!C:C,"",0)</f>
        <v>Splint</v>
      </c>
      <c r="J444" t="str">
        <f>_xlfn.XLOOKUP($G444,RazónMuerte!$A:$A,RazónMuerte!D:D,"",0)</f>
        <v>Fatal injury</v>
      </c>
    </row>
    <row r="445" spans="1:10" x14ac:dyDescent="0.25">
      <c r="A445" t="s">
        <v>1385</v>
      </c>
      <c r="B445" t="str">
        <f t="shared" si="12"/>
        <v>30</v>
      </c>
      <c r="C445" t="str">
        <f t="shared" si="13"/>
        <v>DICIEMBRE</v>
      </c>
      <c r="D445" s="20">
        <v>46021</v>
      </c>
      <c r="E445" t="s">
        <v>1391</v>
      </c>
      <c r="F445" t="s">
        <v>1390</v>
      </c>
      <c r="G445" t="s">
        <v>1389</v>
      </c>
      <c r="H445" t="str">
        <f>_xlfn.XLOOKUP($G445,RazónMuerte!$A:$A,RazónMuerte!B:B,"",0)</f>
        <v>Enfermedad degenerativa articular</v>
      </c>
      <c r="I445">
        <f>_xlfn.XLOOKUP($G445,RazónMuerte!$A:$A,RazónMuerte!C:C,"",0)</f>
        <v>0</v>
      </c>
      <c r="J445" t="str">
        <f>_xlfn.XLOOKUP($G445,RazónMuerte!$A:$A,RazónMuerte!D:D,"",0)</f>
        <v>No fatal injury (chronic/medical)</v>
      </c>
    </row>
    <row r="446" spans="1:10" x14ac:dyDescent="0.25">
      <c r="A446" t="s">
        <v>1382</v>
      </c>
      <c r="B446" t="str">
        <f t="shared" si="12"/>
        <v>31</v>
      </c>
      <c r="C446" t="str">
        <f t="shared" si="13"/>
        <v>DICIEMBRE</v>
      </c>
      <c r="D446" s="20">
        <v>46022</v>
      </c>
      <c r="E446" t="s">
        <v>991</v>
      </c>
      <c r="F446" t="s">
        <v>1383</v>
      </c>
      <c r="G446" t="s">
        <v>1384</v>
      </c>
      <c r="H446" t="str">
        <f>_xlfn.XLOOKUP($G446,RazónMuerte!$A:$A,RazónMuerte!B:B,"",0)</f>
        <v>Fractura ósea</v>
      </c>
      <c r="I446" t="str">
        <f>_xlfn.XLOOKUP($G446,RazónMuerte!$A:$A,RazónMuerte!C:C,"",0)</f>
        <v>Caña / Cannon bone</v>
      </c>
      <c r="J446" t="str">
        <f>_xlfn.XLOOKUP($G446,RazónMuerte!$A:$A,RazónMuerte!D:D,"",0)</f>
        <v>Fatal injury</v>
      </c>
    </row>
    <row r="447" spans="1:10" x14ac:dyDescent="0.25">
      <c r="A447" t="s">
        <v>1382</v>
      </c>
      <c r="B447" t="str">
        <f t="shared" si="12"/>
        <v>31</v>
      </c>
      <c r="C447" t="str">
        <f t="shared" si="13"/>
        <v>DICIEMBRE</v>
      </c>
      <c r="D447" s="20">
        <v>46022</v>
      </c>
      <c r="E447" t="s">
        <v>10</v>
      </c>
      <c r="F447" t="s">
        <v>1392</v>
      </c>
      <c r="G447" t="s">
        <v>1393</v>
      </c>
      <c r="H447" t="str">
        <f>_xlfn.XLOOKUP($G447,RazónMuerte!$A:$A,RazónMuerte!B:B,"",0)</f>
        <v>Otras / No especificada</v>
      </c>
      <c r="I447">
        <f>_xlfn.XLOOKUP($G447,RazónMuerte!$A:$A,RazónMuerte!C:C,"",0)</f>
        <v>0</v>
      </c>
      <c r="J447" t="str">
        <f>_xlfn.XLOOKUP($G447,RazónMuerte!$A:$A,RazónMuerte!D:D,"",0)</f>
        <v>No fatal injury (chronic/medical)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F53F-F274-4135-900D-CE86A1575981}">
  <dimension ref="A1:M250"/>
  <sheetViews>
    <sheetView topLeftCell="D1" workbookViewId="0">
      <selection activeCell="G2" sqref="G2"/>
    </sheetView>
  </sheetViews>
  <sheetFormatPr defaultRowHeight="15" x14ac:dyDescent="0.25"/>
  <cols>
    <col min="1" max="3" width="19.42578125" hidden="1" customWidth="1"/>
    <col min="4" max="4" width="30" bestFit="1" customWidth="1"/>
    <col min="5" max="5" width="19.42578125" customWidth="1"/>
    <col min="6" max="6" width="22.140625" bestFit="1" customWidth="1"/>
    <col min="7" max="7" width="22.140625" customWidth="1"/>
    <col min="8" max="8" width="22.5703125" bestFit="1" customWidth="1"/>
    <col min="9" max="9" width="104" customWidth="1"/>
    <col min="10" max="10" width="32.42578125" bestFit="1" customWidth="1"/>
    <col min="11" max="11" width="18.85546875" customWidth="1"/>
    <col min="12" max="12" width="30.42578125" bestFit="1" customWidth="1"/>
  </cols>
  <sheetData>
    <row r="1" spans="1:13" x14ac:dyDescent="0.25">
      <c r="A1" s="19" t="s">
        <v>0</v>
      </c>
      <c r="B1" s="19" t="s">
        <v>1434</v>
      </c>
      <c r="C1" s="19" t="s">
        <v>1413</v>
      </c>
      <c r="D1" s="19" t="s">
        <v>1527</v>
      </c>
      <c r="E1" s="19" t="s">
        <v>1528</v>
      </c>
      <c r="F1" s="19" t="s">
        <v>1</v>
      </c>
      <c r="G1" s="19" t="s">
        <v>1529</v>
      </c>
      <c r="H1" s="19" t="s">
        <v>2</v>
      </c>
      <c r="I1" s="19" t="s">
        <v>3</v>
      </c>
      <c r="J1" s="17" t="s">
        <v>1416</v>
      </c>
      <c r="K1" s="17" t="s">
        <v>1417</v>
      </c>
      <c r="L1" s="17" t="s">
        <v>1430</v>
      </c>
      <c r="M1" s="32" t="s">
        <v>1531</v>
      </c>
    </row>
    <row r="2" spans="1:13" x14ac:dyDescent="0.25">
      <c r="A2" t="s">
        <v>119</v>
      </c>
      <c r="B2" t="str">
        <f>LEFT(A2,FIND("-",A2)-1)</f>
        <v>2</v>
      </c>
      <c r="C2" t="str">
        <f>MID(A2,FIND("-",A2)+1,FIND("-",A2,FIND("-",A2)+1)-FIND("-",A2)-1)</f>
        <v>ENERO</v>
      </c>
      <c r="D2" s="28">
        <v>45282</v>
      </c>
      <c r="E2" s="20">
        <v>45293</v>
      </c>
      <c r="F2" t="s">
        <v>116</v>
      </c>
      <c r="G2">
        <f>(E2-D2)*24</f>
        <v>264</v>
      </c>
      <c r="H2" t="s">
        <v>117</v>
      </c>
      <c r="J2">
        <f>_xlfn.XLOOKUP($I2,RazónMuerte!$A:$A,RazónMuerte!B:B,"",0)</f>
        <v>0</v>
      </c>
      <c r="K2">
        <f>_xlfn.XLOOKUP($I2,RazónMuerte!$A:$A,RazónMuerte!C:C,"",0)</f>
        <v>0</v>
      </c>
      <c r="L2">
        <f>_xlfn.XLOOKUP($I2,RazónMuerte!$A:$A,RazónMuerte!D:D,"",0)</f>
        <v>0</v>
      </c>
    </row>
    <row r="3" spans="1:13" x14ac:dyDescent="0.25">
      <c r="A3" t="s">
        <v>120</v>
      </c>
      <c r="B3" t="str">
        <f t="shared" ref="B3:B66" si="0">LEFT(A3,FIND("-",A3)-1)</f>
        <v>3</v>
      </c>
      <c r="C3" t="str">
        <f t="shared" ref="C3:C66" si="1">MID(A3,FIND("-",A3)+1,FIND("-",A3,FIND("-",A3)+1)-FIND("-",A3)-1)</f>
        <v>ENERO</v>
      </c>
      <c r="D3" s="27">
        <v>45106</v>
      </c>
      <c r="E3" s="20">
        <v>45294</v>
      </c>
      <c r="F3" t="s">
        <v>7</v>
      </c>
      <c r="G3">
        <f t="shared" ref="G3:G66" si="2">(E3-D3)*24</f>
        <v>4512</v>
      </c>
      <c r="H3" t="s">
        <v>121</v>
      </c>
      <c r="I3" t="s">
        <v>122</v>
      </c>
      <c r="J3" t="str">
        <f>_xlfn.XLOOKUP($I3,RazónMuerte!$A:$A,RazónMuerte!B:B,"",0)</f>
        <v>Enfermedad degenerativa articular</v>
      </c>
      <c r="K3">
        <f>_xlfn.XLOOKUP($I3,RazónMuerte!$A:$A,RazónMuerte!C:C,"",0)</f>
        <v>0</v>
      </c>
      <c r="L3" t="str">
        <f>_xlfn.XLOOKUP($I3,RazónMuerte!$A:$A,RazónMuerte!D:D,"",0)</f>
        <v>Fatal injury</v>
      </c>
    </row>
    <row r="4" spans="1:13" x14ac:dyDescent="0.25">
      <c r="A4" t="s">
        <v>123</v>
      </c>
      <c r="B4" t="str">
        <f t="shared" si="0"/>
        <v>4</v>
      </c>
      <c r="C4" t="str">
        <f t="shared" si="1"/>
        <v>ENERO</v>
      </c>
      <c r="D4" s="27">
        <v>45221</v>
      </c>
      <c r="E4" s="20">
        <v>45295</v>
      </c>
      <c r="F4" t="s">
        <v>124</v>
      </c>
      <c r="G4">
        <f t="shared" si="2"/>
        <v>1776</v>
      </c>
      <c r="H4" t="s">
        <v>125</v>
      </c>
      <c r="I4" t="s">
        <v>8</v>
      </c>
      <c r="J4" t="str">
        <f>_xlfn.XLOOKUP($I4,RazónMuerte!$A:$A,RazónMuerte!B:B,"",0)</f>
        <v>Fractura ósea</v>
      </c>
      <c r="K4" t="str">
        <f>_xlfn.XLOOKUP($I4,RazónMuerte!$A:$A,RazónMuerte!C:C,"",0)</f>
        <v>Rodilla / Carpal</v>
      </c>
      <c r="L4" t="str">
        <f>_xlfn.XLOOKUP($I4,RazónMuerte!$A:$A,RazónMuerte!D:D,"",0)</f>
        <v>Fatal injury</v>
      </c>
    </row>
    <row r="5" spans="1:13" x14ac:dyDescent="0.25">
      <c r="A5" t="s">
        <v>126</v>
      </c>
      <c r="B5" t="str">
        <f t="shared" si="0"/>
        <v>5</v>
      </c>
      <c r="C5" t="str">
        <f t="shared" si="1"/>
        <v>ENERO</v>
      </c>
      <c r="D5" s="27">
        <v>45274</v>
      </c>
      <c r="E5" s="20">
        <v>45296</v>
      </c>
      <c r="F5" t="s">
        <v>127</v>
      </c>
      <c r="G5">
        <f t="shared" si="2"/>
        <v>528</v>
      </c>
      <c r="H5" t="s">
        <v>128</v>
      </c>
      <c r="I5" t="s">
        <v>50</v>
      </c>
      <c r="J5" t="str">
        <f>_xlfn.XLOOKUP($I5,RazónMuerte!$A:$A,RazónMuerte!B:B,"",0)</f>
        <v>Fractura ósea</v>
      </c>
      <c r="K5" t="str">
        <f>_xlfn.XLOOKUP($I5,RazónMuerte!$A:$A,RazónMuerte!C:C,"",0)</f>
        <v>Condylar</v>
      </c>
      <c r="L5" t="str">
        <f>_xlfn.XLOOKUP($I5,RazónMuerte!$A:$A,RazónMuerte!D:D,"",0)</f>
        <v>Fatal injury</v>
      </c>
    </row>
    <row r="6" spans="1:13" x14ac:dyDescent="0.25">
      <c r="A6" t="s">
        <v>126</v>
      </c>
      <c r="B6" t="str">
        <f t="shared" si="0"/>
        <v>5</v>
      </c>
      <c r="C6" t="str">
        <f t="shared" si="1"/>
        <v>ENERO</v>
      </c>
      <c r="D6" s="27">
        <v>45277</v>
      </c>
      <c r="E6" s="20">
        <v>45296</v>
      </c>
      <c r="F6" t="s">
        <v>129</v>
      </c>
      <c r="G6">
        <f t="shared" si="2"/>
        <v>456</v>
      </c>
      <c r="H6" t="s">
        <v>130</v>
      </c>
      <c r="I6" t="s">
        <v>131</v>
      </c>
      <c r="J6" t="str">
        <f>_xlfn.XLOOKUP($I6,RazónMuerte!$A:$A,RazónMuerte!B:B,"",0)</f>
        <v>Enfermedad degenerativa articular</v>
      </c>
      <c r="K6">
        <f>_xlfn.XLOOKUP($I6,RazónMuerte!$A:$A,RazónMuerte!C:C,"",0)</f>
        <v>0</v>
      </c>
      <c r="L6" t="str">
        <f>_xlfn.XLOOKUP($I6,RazónMuerte!$A:$A,RazónMuerte!D:D,"",0)</f>
        <v>No fatal injury (chronic/medical)</v>
      </c>
    </row>
    <row r="7" spans="1:13" x14ac:dyDescent="0.25">
      <c r="A7" t="s">
        <v>126</v>
      </c>
      <c r="B7" t="str">
        <f t="shared" si="0"/>
        <v>5</v>
      </c>
      <c r="C7" t="str">
        <f t="shared" si="1"/>
        <v>ENERO</v>
      </c>
      <c r="D7" s="27">
        <v>45282</v>
      </c>
      <c r="E7" s="20">
        <v>45296</v>
      </c>
      <c r="F7" t="s">
        <v>132</v>
      </c>
      <c r="G7">
        <f t="shared" si="2"/>
        <v>336</v>
      </c>
      <c r="H7" t="s">
        <v>133</v>
      </c>
      <c r="I7" t="s">
        <v>134</v>
      </c>
      <c r="J7" t="str">
        <f>_xlfn.XLOOKUP($I7,RazónMuerte!$A:$A,RazónMuerte!B:B,"",0)</f>
        <v>Fractura ósea</v>
      </c>
      <c r="K7" t="str">
        <f>_xlfn.XLOOKUP($I7,RazónMuerte!$A:$A,RazónMuerte!C:C,"",0)</f>
        <v>Caña / Cannon bone</v>
      </c>
      <c r="L7" t="str">
        <f>_xlfn.XLOOKUP($I7,RazónMuerte!$A:$A,RazónMuerte!D:D,"",0)</f>
        <v>Fatal injury</v>
      </c>
    </row>
    <row r="8" spans="1:13" x14ac:dyDescent="0.25">
      <c r="A8" t="s">
        <v>138</v>
      </c>
      <c r="B8" t="str">
        <f t="shared" si="0"/>
        <v>7</v>
      </c>
      <c r="C8" t="str">
        <f t="shared" si="1"/>
        <v>ENERO</v>
      </c>
      <c r="D8" s="27">
        <v>45298</v>
      </c>
      <c r="E8" s="20">
        <v>45298</v>
      </c>
      <c r="F8" t="s">
        <v>68</v>
      </c>
      <c r="G8">
        <f t="shared" si="2"/>
        <v>0</v>
      </c>
      <c r="H8" t="s">
        <v>59</v>
      </c>
      <c r="J8">
        <f>_xlfn.XLOOKUP($I8,RazónMuerte!$A:$A,RazónMuerte!B:B,"",0)</f>
        <v>0</v>
      </c>
      <c r="K8">
        <f>_xlfn.XLOOKUP($I8,RazónMuerte!$A:$A,RazónMuerte!C:C,"",0)</f>
        <v>0</v>
      </c>
      <c r="L8">
        <f>_xlfn.XLOOKUP($I8,RazónMuerte!$A:$A,RazónMuerte!D:D,"",0)</f>
        <v>0</v>
      </c>
    </row>
    <row r="9" spans="1:13" x14ac:dyDescent="0.25">
      <c r="A9" t="s">
        <v>139</v>
      </c>
      <c r="B9" t="str">
        <f t="shared" si="0"/>
        <v>8</v>
      </c>
      <c r="C9" t="str">
        <f t="shared" si="1"/>
        <v>ENERO</v>
      </c>
      <c r="D9" s="27">
        <v>45277</v>
      </c>
      <c r="E9" s="20">
        <v>45299</v>
      </c>
      <c r="F9" t="s">
        <v>140</v>
      </c>
      <c r="G9">
        <f t="shared" si="2"/>
        <v>528</v>
      </c>
      <c r="H9" t="s">
        <v>141</v>
      </c>
      <c r="J9">
        <f>_xlfn.XLOOKUP($I9,RazónMuerte!$A:$A,RazónMuerte!B:B,"",0)</f>
        <v>0</v>
      </c>
      <c r="K9">
        <f>_xlfn.XLOOKUP($I9,RazónMuerte!$A:$A,RazónMuerte!C:C,"",0)</f>
        <v>0</v>
      </c>
      <c r="L9">
        <f>_xlfn.XLOOKUP($I9,RazónMuerte!$A:$A,RazónMuerte!D:D,"",0)</f>
        <v>0</v>
      </c>
    </row>
    <row r="10" spans="1:13" x14ac:dyDescent="0.25">
      <c r="A10" t="s">
        <v>135</v>
      </c>
      <c r="B10" t="str">
        <f t="shared" si="0"/>
        <v>11</v>
      </c>
      <c r="C10" t="str">
        <f t="shared" si="1"/>
        <v>ENERO</v>
      </c>
      <c r="D10" s="31"/>
      <c r="E10" s="31">
        <v>45302</v>
      </c>
      <c r="F10" s="30" t="s">
        <v>21</v>
      </c>
      <c r="G10">
        <f t="shared" si="2"/>
        <v>1087248</v>
      </c>
      <c r="H10" s="30" t="s">
        <v>136</v>
      </c>
      <c r="I10" s="30" t="s">
        <v>137</v>
      </c>
      <c r="J10" t="str">
        <f>_xlfn.XLOOKUP($I10,RazónMuerte!$A:$A,RazónMuerte!B:B,"",0)</f>
        <v>Fractura ósea</v>
      </c>
      <c r="K10" t="str">
        <f>_xlfn.XLOOKUP($I10,RazónMuerte!$A:$A,RazónMuerte!C:C,"",0)</f>
        <v>Slab</v>
      </c>
      <c r="L10" t="str">
        <f>_xlfn.XLOOKUP($I10,RazónMuerte!$A:$A,RazónMuerte!D:D,"",0)</f>
        <v>Fatal injury</v>
      </c>
    </row>
    <row r="11" spans="1:13" x14ac:dyDescent="0.25">
      <c r="A11" t="s">
        <v>142</v>
      </c>
      <c r="B11" t="str">
        <f t="shared" si="0"/>
        <v>12</v>
      </c>
      <c r="C11" t="str">
        <f t="shared" si="1"/>
        <v>ENERO</v>
      </c>
      <c r="D11" s="31"/>
      <c r="E11" s="31">
        <v>45303</v>
      </c>
      <c r="F11" s="30" t="s">
        <v>143</v>
      </c>
      <c r="G11">
        <f t="shared" si="2"/>
        <v>1087272</v>
      </c>
      <c r="H11" s="30" t="s">
        <v>144</v>
      </c>
      <c r="I11" s="30" t="s">
        <v>145</v>
      </c>
      <c r="J11" t="str">
        <f>_xlfn.XLOOKUP($I11,RazónMuerte!$A:$A,RazónMuerte!B:B,"",0)</f>
        <v>Otras / No especificada</v>
      </c>
      <c r="K11">
        <f>_xlfn.XLOOKUP($I11,RazónMuerte!$A:$A,RazónMuerte!C:C,"",0)</f>
        <v>0</v>
      </c>
      <c r="L11" t="str">
        <f>_xlfn.XLOOKUP($I11,RazónMuerte!$A:$A,RazónMuerte!D:D,"",0)</f>
        <v>Fatal injury</v>
      </c>
    </row>
    <row r="12" spans="1:13" x14ac:dyDescent="0.25">
      <c r="A12" t="s">
        <v>142</v>
      </c>
      <c r="B12" t="str">
        <f t="shared" si="0"/>
        <v>12</v>
      </c>
      <c r="C12" t="str">
        <f t="shared" si="1"/>
        <v>ENERO</v>
      </c>
      <c r="D12" s="27">
        <v>45275</v>
      </c>
      <c r="E12" s="20">
        <v>45303</v>
      </c>
      <c r="F12" t="s">
        <v>5</v>
      </c>
      <c r="G12">
        <f t="shared" si="2"/>
        <v>672</v>
      </c>
      <c r="H12" t="s">
        <v>146</v>
      </c>
      <c r="I12" t="s">
        <v>46</v>
      </c>
      <c r="J12" t="str">
        <f>_xlfn.XLOOKUP($I12,RazónMuerte!$A:$A,RazónMuerte!B:B,"",0)</f>
        <v>Otras / No especificada</v>
      </c>
      <c r="K12">
        <f>_xlfn.XLOOKUP($I12,RazónMuerte!$A:$A,RazónMuerte!C:C,"",0)</f>
        <v>0</v>
      </c>
      <c r="L12" t="str">
        <f>_xlfn.XLOOKUP($I12,RazónMuerte!$A:$A,RazónMuerte!D:D,"",0)</f>
        <v>No clasificado</v>
      </c>
    </row>
    <row r="13" spans="1:13" x14ac:dyDescent="0.25">
      <c r="A13" t="s">
        <v>142</v>
      </c>
      <c r="B13" t="str">
        <f t="shared" si="0"/>
        <v>12</v>
      </c>
      <c r="C13" t="str">
        <f t="shared" si="1"/>
        <v>ENERO</v>
      </c>
      <c r="D13" s="31"/>
      <c r="E13" s="31">
        <v>45303</v>
      </c>
      <c r="F13" s="30" t="s">
        <v>151</v>
      </c>
      <c r="G13">
        <f t="shared" si="2"/>
        <v>1087272</v>
      </c>
      <c r="H13" s="30" t="s">
        <v>152</v>
      </c>
      <c r="I13" s="30" t="s">
        <v>49</v>
      </c>
      <c r="J13" t="str">
        <f>_xlfn.XLOOKUP($I13,RazónMuerte!$A:$A,RazónMuerte!B:B,"",0)</f>
        <v>Otras / No especificada</v>
      </c>
      <c r="K13">
        <f>_xlfn.XLOOKUP($I13,RazónMuerte!$A:$A,RazónMuerte!C:C,"",0)</f>
        <v>0</v>
      </c>
      <c r="L13" t="str">
        <f>_xlfn.XLOOKUP($I13,RazónMuerte!$A:$A,RazónMuerte!D:D,"",0)</f>
        <v>No clasificado</v>
      </c>
    </row>
    <row r="14" spans="1:13" x14ac:dyDescent="0.25">
      <c r="A14" t="s">
        <v>147</v>
      </c>
      <c r="B14" t="str">
        <f t="shared" si="0"/>
        <v>13</v>
      </c>
      <c r="C14" t="str">
        <f t="shared" si="1"/>
        <v>ENERO</v>
      </c>
      <c r="D14" s="27">
        <v>44946</v>
      </c>
      <c r="E14" s="20">
        <v>45304</v>
      </c>
      <c r="F14" t="s">
        <v>32</v>
      </c>
      <c r="G14">
        <f t="shared" si="2"/>
        <v>8592</v>
      </c>
      <c r="H14" t="s">
        <v>148</v>
      </c>
      <c r="I14" t="s">
        <v>149</v>
      </c>
      <c r="J14" t="str">
        <f>_xlfn.XLOOKUP($I14,RazónMuerte!$A:$A,RazónMuerte!B:B,"",0)</f>
        <v>Lesión de ligamentos/tendones</v>
      </c>
      <c r="K14">
        <f>_xlfn.XLOOKUP($I14,RazónMuerte!$A:$A,RazónMuerte!C:C,"",0)</f>
        <v>0</v>
      </c>
      <c r="L14" t="str">
        <f>_xlfn.XLOOKUP($I14,RazónMuerte!$A:$A,RazónMuerte!D:D,"",0)</f>
        <v>No clasificado</v>
      </c>
    </row>
    <row r="15" spans="1:13" x14ac:dyDescent="0.25">
      <c r="A15" t="s">
        <v>147</v>
      </c>
      <c r="B15" t="str">
        <f t="shared" si="0"/>
        <v>13</v>
      </c>
      <c r="C15" t="str">
        <f t="shared" si="1"/>
        <v>ENERO</v>
      </c>
      <c r="D15" s="27">
        <v>45296</v>
      </c>
      <c r="E15" s="20">
        <v>45304</v>
      </c>
      <c r="F15" t="s">
        <v>73</v>
      </c>
      <c r="G15">
        <f t="shared" si="2"/>
        <v>192</v>
      </c>
      <c r="H15" t="s">
        <v>150</v>
      </c>
      <c r="I15" t="s">
        <v>14</v>
      </c>
      <c r="J15" t="str">
        <f>_xlfn.XLOOKUP($I15,RazónMuerte!$A:$A,RazónMuerte!B:B,"",0)</f>
        <v>Fractura ósea</v>
      </c>
      <c r="K15" t="str">
        <f>_xlfn.XLOOKUP($I15,RazónMuerte!$A:$A,RazónMuerte!C:C,"",0)</f>
        <v>Rodilla / Carpal</v>
      </c>
      <c r="L15" t="str">
        <f>_xlfn.XLOOKUP($I15,RazónMuerte!$A:$A,RazónMuerte!D:D,"",0)</f>
        <v>Fatal injury</v>
      </c>
    </row>
    <row r="16" spans="1:13" x14ac:dyDescent="0.25">
      <c r="A16" t="s">
        <v>154</v>
      </c>
      <c r="B16" t="str">
        <f t="shared" si="0"/>
        <v>14</v>
      </c>
      <c r="C16" t="str">
        <f t="shared" si="1"/>
        <v>ENERO</v>
      </c>
      <c r="D16" s="31"/>
      <c r="E16" s="31">
        <v>45305</v>
      </c>
      <c r="F16" s="30" t="s">
        <v>155</v>
      </c>
      <c r="G16">
        <f t="shared" si="2"/>
        <v>1087320</v>
      </c>
      <c r="H16" s="30" t="s">
        <v>156</v>
      </c>
      <c r="I16" s="30" t="s">
        <v>157</v>
      </c>
      <c r="J16" t="str">
        <f>_xlfn.XLOOKUP($I16,RazónMuerte!$A:$A,RazónMuerte!B:B,"",0)</f>
        <v>Fractura ósea</v>
      </c>
      <c r="K16" t="str">
        <f>_xlfn.XLOOKUP($I16,RazónMuerte!$A:$A,RazónMuerte!C:C,"",0)</f>
        <v>No especificado</v>
      </c>
      <c r="L16" t="str">
        <f>_xlfn.XLOOKUP($I16,RazónMuerte!$A:$A,RazónMuerte!D:D,"",0)</f>
        <v>Fatal injury</v>
      </c>
    </row>
    <row r="17" spans="1:12" x14ac:dyDescent="0.25">
      <c r="A17" t="s">
        <v>158</v>
      </c>
      <c r="B17" t="str">
        <f t="shared" si="0"/>
        <v>15</v>
      </c>
      <c r="C17" t="str">
        <f t="shared" si="1"/>
        <v>ENERO</v>
      </c>
      <c r="D17" s="27">
        <v>45305</v>
      </c>
      <c r="E17" s="20">
        <v>45306</v>
      </c>
      <c r="F17" t="s">
        <v>159</v>
      </c>
      <c r="G17">
        <f t="shared" si="2"/>
        <v>24</v>
      </c>
      <c r="H17" t="s">
        <v>160</v>
      </c>
      <c r="J17">
        <f>_xlfn.XLOOKUP($I17,RazónMuerte!$A:$A,RazónMuerte!B:B,"",0)</f>
        <v>0</v>
      </c>
      <c r="K17">
        <f>_xlfn.XLOOKUP($I17,RazónMuerte!$A:$A,RazónMuerte!C:C,"",0)</f>
        <v>0</v>
      </c>
      <c r="L17">
        <f>_xlfn.XLOOKUP($I17,RazónMuerte!$A:$A,RazónMuerte!D:D,"",0)</f>
        <v>0</v>
      </c>
    </row>
    <row r="18" spans="1:12" x14ac:dyDescent="0.25">
      <c r="A18" t="s">
        <v>161</v>
      </c>
      <c r="B18" t="str">
        <f t="shared" si="0"/>
        <v>16</v>
      </c>
      <c r="C18" t="str">
        <f t="shared" si="1"/>
        <v>ENERO</v>
      </c>
      <c r="D18" s="35">
        <v>45306</v>
      </c>
      <c r="E18" s="20">
        <v>45307</v>
      </c>
      <c r="F18" t="s">
        <v>162</v>
      </c>
      <c r="G18">
        <f t="shared" si="2"/>
        <v>24</v>
      </c>
      <c r="H18" t="s">
        <v>163</v>
      </c>
      <c r="I18" t="s">
        <v>112</v>
      </c>
      <c r="J18" t="str">
        <f>_xlfn.XLOOKUP($I18,RazónMuerte!$A:$A,RazónMuerte!B:B,"",0)</f>
        <v>Fractura ósea</v>
      </c>
      <c r="K18" t="str">
        <f>_xlfn.XLOOKUP($I18,RazónMuerte!$A:$A,RazónMuerte!C:C,"",0)</f>
        <v>Rodilla / Carpal</v>
      </c>
      <c r="L18" t="str">
        <f>_xlfn.XLOOKUP($I18,RazónMuerte!$A:$A,RazónMuerte!D:D,"",0)</f>
        <v>Fatal injury</v>
      </c>
    </row>
    <row r="19" spans="1:12" x14ac:dyDescent="0.25">
      <c r="A19" t="s">
        <v>161</v>
      </c>
      <c r="B19" t="str">
        <f t="shared" si="0"/>
        <v>16</v>
      </c>
      <c r="C19" t="str">
        <f t="shared" si="1"/>
        <v>ENERO</v>
      </c>
      <c r="D19" s="27">
        <v>44764</v>
      </c>
      <c r="E19" s="20">
        <v>45307</v>
      </c>
      <c r="F19" t="s">
        <v>32</v>
      </c>
      <c r="G19">
        <f t="shared" si="2"/>
        <v>13032</v>
      </c>
      <c r="H19" t="s">
        <v>164</v>
      </c>
      <c r="I19" t="s">
        <v>165</v>
      </c>
      <c r="J19" t="str">
        <f>_xlfn.XLOOKUP($I19,RazónMuerte!$A:$A,RazónMuerte!B:B,"",0)</f>
        <v>Otras / No especificada</v>
      </c>
      <c r="K19">
        <f>_xlfn.XLOOKUP($I19,RazónMuerte!$A:$A,RazónMuerte!C:C,"",0)</f>
        <v>0</v>
      </c>
      <c r="L19" t="str">
        <f>_xlfn.XLOOKUP($I19,RazónMuerte!$A:$A,RazónMuerte!D:D,"",0)</f>
        <v>Fatal injury</v>
      </c>
    </row>
    <row r="20" spans="1:12" x14ac:dyDescent="0.25">
      <c r="A20" t="s">
        <v>166</v>
      </c>
      <c r="B20" t="str">
        <f t="shared" si="0"/>
        <v>19</v>
      </c>
      <c r="C20" t="str">
        <f t="shared" si="1"/>
        <v>ENERO</v>
      </c>
      <c r="D20" s="27">
        <v>45275</v>
      </c>
      <c r="E20" s="20">
        <v>45310</v>
      </c>
      <c r="F20" t="s">
        <v>167</v>
      </c>
      <c r="G20">
        <f t="shared" si="2"/>
        <v>840</v>
      </c>
      <c r="H20" t="s">
        <v>168</v>
      </c>
      <c r="I20" t="s">
        <v>95</v>
      </c>
      <c r="J20" t="str">
        <f>_xlfn.XLOOKUP($I20,RazónMuerte!$A:$A,RazónMuerte!B:B,"",0)</f>
        <v>Fractura ósea</v>
      </c>
      <c r="K20" t="str">
        <f>_xlfn.XLOOKUP($I20,RazónMuerte!$A:$A,RazónMuerte!C:C,"",0)</f>
        <v>Rodilla / Carpal</v>
      </c>
      <c r="L20" t="str">
        <f>_xlfn.XLOOKUP($I20,RazónMuerte!$A:$A,RazónMuerte!D:D,"",0)</f>
        <v>Fatal injury</v>
      </c>
    </row>
    <row r="21" spans="1:12" x14ac:dyDescent="0.25">
      <c r="A21" t="s">
        <v>166</v>
      </c>
      <c r="B21" t="str">
        <f t="shared" si="0"/>
        <v>19</v>
      </c>
      <c r="C21" t="str">
        <f t="shared" si="1"/>
        <v>ENERO</v>
      </c>
      <c r="D21" s="27">
        <v>45282</v>
      </c>
      <c r="E21" s="20">
        <v>45310</v>
      </c>
      <c r="F21" t="s">
        <v>169</v>
      </c>
      <c r="G21">
        <f t="shared" si="2"/>
        <v>672</v>
      </c>
      <c r="H21" t="s">
        <v>170</v>
      </c>
      <c r="I21" t="s">
        <v>171</v>
      </c>
      <c r="J21" t="str">
        <f>_xlfn.XLOOKUP($I21,RazónMuerte!$A:$A,RazónMuerte!B:B,"",0)</f>
        <v>Enfermedad degenerativa articular</v>
      </c>
      <c r="K21">
        <f>_xlfn.XLOOKUP($I21,RazónMuerte!$A:$A,RazónMuerte!C:C,"",0)</f>
        <v>0</v>
      </c>
      <c r="L21" t="str">
        <f>_xlfn.XLOOKUP($I21,RazónMuerte!$A:$A,RazónMuerte!D:D,"",0)</f>
        <v>No fatal injury (chronic/medical)</v>
      </c>
    </row>
    <row r="22" spans="1:12" x14ac:dyDescent="0.25">
      <c r="A22" t="s">
        <v>172</v>
      </c>
      <c r="B22" t="str">
        <f t="shared" si="0"/>
        <v>20</v>
      </c>
      <c r="C22" t="str">
        <f t="shared" si="1"/>
        <v>ENERO</v>
      </c>
      <c r="D22" s="31"/>
      <c r="E22" s="31">
        <v>45311</v>
      </c>
      <c r="F22" s="30" t="s">
        <v>173</v>
      </c>
      <c r="G22">
        <f t="shared" si="2"/>
        <v>1087464</v>
      </c>
      <c r="H22" s="30" t="s">
        <v>174</v>
      </c>
      <c r="I22" s="30" t="s">
        <v>176</v>
      </c>
      <c r="J22" t="str">
        <f>_xlfn.XLOOKUP($I22,RazónMuerte!$A:$A,RazónMuerte!B:B,"",0)</f>
        <v>Otras / No especificada</v>
      </c>
      <c r="K22">
        <f>_xlfn.XLOOKUP($I22,RazónMuerte!$A:$A,RazónMuerte!C:C,"",0)</f>
        <v>0</v>
      </c>
      <c r="L22" t="str">
        <f>_xlfn.XLOOKUP($I22,RazónMuerte!$A:$A,RazónMuerte!D:D,"",0)</f>
        <v>No clasificado</v>
      </c>
    </row>
    <row r="23" spans="1:12" x14ac:dyDescent="0.25">
      <c r="A23" t="s">
        <v>177</v>
      </c>
      <c r="B23" t="str">
        <f t="shared" si="0"/>
        <v>22</v>
      </c>
      <c r="C23" t="str">
        <f t="shared" si="1"/>
        <v>ENERO</v>
      </c>
      <c r="D23" s="27">
        <v>45240</v>
      </c>
      <c r="E23" s="20">
        <v>45313</v>
      </c>
      <c r="F23" t="s">
        <v>178</v>
      </c>
      <c r="G23">
        <f t="shared" si="2"/>
        <v>1752</v>
      </c>
      <c r="H23" t="s">
        <v>179</v>
      </c>
      <c r="I23" t="s">
        <v>180</v>
      </c>
      <c r="J23" t="str">
        <f>_xlfn.XLOOKUP($I23,RazónMuerte!$A:$A,RazónMuerte!B:B,"",0)</f>
        <v>Enfermedad degenerativa articular</v>
      </c>
      <c r="K23">
        <f>_xlfn.XLOOKUP($I23,RazónMuerte!$A:$A,RazónMuerte!C:C,"",0)</f>
        <v>0</v>
      </c>
      <c r="L23" t="str">
        <f>_xlfn.XLOOKUP($I23,RazónMuerte!$A:$A,RazónMuerte!D:D,"",0)</f>
        <v>No fatal injury (chronic/medical)</v>
      </c>
    </row>
    <row r="24" spans="1:12" x14ac:dyDescent="0.25">
      <c r="A24" t="s">
        <v>177</v>
      </c>
      <c r="B24" t="str">
        <f t="shared" si="0"/>
        <v>22</v>
      </c>
      <c r="C24" t="str">
        <f t="shared" si="1"/>
        <v>ENERO</v>
      </c>
      <c r="D24" s="31"/>
      <c r="E24" s="31">
        <v>45313</v>
      </c>
      <c r="F24" s="30" t="s">
        <v>181</v>
      </c>
      <c r="G24">
        <f t="shared" si="2"/>
        <v>1087512</v>
      </c>
      <c r="H24" s="30" t="s">
        <v>182</v>
      </c>
      <c r="I24" s="30" t="s">
        <v>183</v>
      </c>
      <c r="J24" t="str">
        <f>_xlfn.XLOOKUP($I24,RazónMuerte!$A:$A,RazónMuerte!B:B,"",0)</f>
        <v>Fractura ósea</v>
      </c>
      <c r="K24" t="str">
        <f>_xlfn.XLOOKUP($I24,RazónMuerte!$A:$A,RazónMuerte!C:C,"",0)</f>
        <v>Sesamoideo</v>
      </c>
      <c r="L24" t="str">
        <f>_xlfn.XLOOKUP($I24,RazónMuerte!$A:$A,RazónMuerte!D:D,"",0)</f>
        <v>Fatal injury</v>
      </c>
    </row>
    <row r="25" spans="1:12" x14ac:dyDescent="0.25">
      <c r="A25" t="s">
        <v>177</v>
      </c>
      <c r="B25" t="str">
        <f t="shared" si="0"/>
        <v>22</v>
      </c>
      <c r="C25" t="str">
        <f t="shared" si="1"/>
        <v>ENERO</v>
      </c>
      <c r="D25" s="27">
        <v>45311</v>
      </c>
      <c r="E25" s="20">
        <v>45313</v>
      </c>
      <c r="F25" t="s">
        <v>184</v>
      </c>
      <c r="G25">
        <f t="shared" si="2"/>
        <v>48</v>
      </c>
      <c r="H25" t="s">
        <v>185</v>
      </c>
      <c r="I25" t="s">
        <v>95</v>
      </c>
      <c r="J25" t="str">
        <f>_xlfn.XLOOKUP($I25,RazónMuerte!$A:$A,RazónMuerte!B:B,"",0)</f>
        <v>Fractura ósea</v>
      </c>
      <c r="K25" t="str">
        <f>_xlfn.XLOOKUP($I25,RazónMuerte!$A:$A,RazónMuerte!C:C,"",0)</f>
        <v>Rodilla / Carpal</v>
      </c>
      <c r="L25" t="str">
        <f>_xlfn.XLOOKUP($I25,RazónMuerte!$A:$A,RazónMuerte!D:D,"",0)</f>
        <v>Fatal injury</v>
      </c>
    </row>
    <row r="26" spans="1:12" x14ac:dyDescent="0.25">
      <c r="A26" t="s">
        <v>186</v>
      </c>
      <c r="B26" t="str">
        <f t="shared" si="0"/>
        <v>26</v>
      </c>
      <c r="C26" t="str">
        <f t="shared" si="1"/>
        <v>ENERO</v>
      </c>
      <c r="D26" s="27">
        <v>45142</v>
      </c>
      <c r="E26" s="20">
        <v>45317</v>
      </c>
      <c r="F26" t="s">
        <v>187</v>
      </c>
      <c r="G26">
        <f t="shared" si="2"/>
        <v>4200</v>
      </c>
      <c r="H26" t="s">
        <v>188</v>
      </c>
      <c r="I26" t="s">
        <v>189</v>
      </c>
      <c r="J26" t="str">
        <f>_xlfn.XLOOKUP($I26,RazónMuerte!$A:$A,RazónMuerte!B:B,"",0)</f>
        <v>Otras / No especificada</v>
      </c>
      <c r="K26">
        <f>_xlfn.XLOOKUP($I26,RazónMuerte!$A:$A,RazónMuerte!C:C,"",0)</f>
        <v>0</v>
      </c>
      <c r="L26" t="str">
        <f>_xlfn.XLOOKUP($I26,RazónMuerte!$A:$A,RazónMuerte!D:D,"",0)</f>
        <v>No clasificado</v>
      </c>
    </row>
    <row r="27" spans="1:12" x14ac:dyDescent="0.25">
      <c r="A27" t="s">
        <v>190</v>
      </c>
      <c r="B27" t="str">
        <f t="shared" si="0"/>
        <v>31</v>
      </c>
      <c r="C27" t="str">
        <f t="shared" si="1"/>
        <v>ENERO</v>
      </c>
      <c r="D27" s="27">
        <v>45038</v>
      </c>
      <c r="E27" s="20">
        <v>45322</v>
      </c>
      <c r="F27" t="s">
        <v>191</v>
      </c>
      <c r="G27">
        <f t="shared" si="2"/>
        <v>6816</v>
      </c>
      <c r="H27" t="s">
        <v>192</v>
      </c>
      <c r="I27" t="s">
        <v>193</v>
      </c>
      <c r="J27" t="str">
        <f>_xlfn.XLOOKUP($I27,RazónMuerte!$A:$A,RazónMuerte!B:B,"",0)</f>
        <v>Fractura ósea</v>
      </c>
      <c r="K27" t="str">
        <f>_xlfn.XLOOKUP($I27,RazónMuerte!$A:$A,RazónMuerte!C:C,"",0)</f>
        <v>No especificado</v>
      </c>
      <c r="L27" t="str">
        <f>_xlfn.XLOOKUP($I27,RazónMuerte!$A:$A,RazónMuerte!D:D,"",0)</f>
        <v>Fatal injury</v>
      </c>
    </row>
    <row r="28" spans="1:12" x14ac:dyDescent="0.25">
      <c r="A28" t="s">
        <v>194</v>
      </c>
      <c r="B28" t="str">
        <f t="shared" si="0"/>
        <v>2</v>
      </c>
      <c r="C28" t="str">
        <f t="shared" si="1"/>
        <v>FEBRERO</v>
      </c>
      <c r="D28" s="27">
        <v>45323</v>
      </c>
      <c r="E28" s="20">
        <v>45324</v>
      </c>
      <c r="F28" t="s">
        <v>195</v>
      </c>
      <c r="G28">
        <f t="shared" si="2"/>
        <v>24</v>
      </c>
      <c r="H28" t="s">
        <v>196</v>
      </c>
      <c r="I28" t="s">
        <v>197</v>
      </c>
      <c r="J28" t="str">
        <f>_xlfn.XLOOKUP($I28,RazónMuerte!$A:$A,RazónMuerte!B:B,"",0)</f>
        <v>Lesión de ligamentos/tendones</v>
      </c>
      <c r="K28">
        <f>_xlfn.XLOOKUP($I28,RazónMuerte!$A:$A,RazónMuerte!C:C,"",0)</f>
        <v>0</v>
      </c>
      <c r="L28" t="str">
        <f>_xlfn.XLOOKUP($I28,RazónMuerte!$A:$A,RazónMuerte!D:D,"",0)</f>
        <v>No clasificado</v>
      </c>
    </row>
    <row r="29" spans="1:12" x14ac:dyDescent="0.25">
      <c r="A29" t="s">
        <v>200</v>
      </c>
      <c r="B29" t="str">
        <f t="shared" si="0"/>
        <v>5</v>
      </c>
      <c r="C29" t="str">
        <f t="shared" si="1"/>
        <v>FEBRERO</v>
      </c>
      <c r="D29" s="27">
        <v>45130</v>
      </c>
      <c r="E29" s="20">
        <v>45327</v>
      </c>
      <c r="F29" t="s">
        <v>201</v>
      </c>
      <c r="G29">
        <f t="shared" si="2"/>
        <v>4728</v>
      </c>
      <c r="H29" t="s">
        <v>202</v>
      </c>
      <c r="I29" t="s">
        <v>203</v>
      </c>
      <c r="J29" t="str">
        <f>_xlfn.XLOOKUP($I29,RazónMuerte!$A:$A,RazónMuerte!B:B,"",0)</f>
        <v>Enfermedad degenerativa articular</v>
      </c>
      <c r="K29">
        <f>_xlfn.XLOOKUP($I29,RazónMuerte!$A:$A,RazónMuerte!C:C,"",0)</f>
        <v>0</v>
      </c>
      <c r="L29" t="str">
        <f>_xlfn.XLOOKUP($I29,RazónMuerte!$A:$A,RazónMuerte!D:D,"",0)</f>
        <v>No fatal injury (chronic/medical)</v>
      </c>
    </row>
    <row r="30" spans="1:12" x14ac:dyDescent="0.25">
      <c r="A30" t="s">
        <v>204</v>
      </c>
      <c r="B30" t="str">
        <f t="shared" si="0"/>
        <v>7</v>
      </c>
      <c r="C30" t="str">
        <f t="shared" si="1"/>
        <v>FEBRERO</v>
      </c>
      <c r="D30" s="27">
        <v>45150</v>
      </c>
      <c r="E30" s="20">
        <v>45329</v>
      </c>
      <c r="F30" t="s">
        <v>205</v>
      </c>
      <c r="G30">
        <f t="shared" si="2"/>
        <v>4296</v>
      </c>
      <c r="H30" t="s">
        <v>206</v>
      </c>
      <c r="I30" t="s">
        <v>208</v>
      </c>
      <c r="J30" t="str">
        <f>_xlfn.XLOOKUP($I30,RazónMuerte!$A:$A,RazónMuerte!B:B,"",0)</f>
        <v>Otras / No especificada</v>
      </c>
      <c r="K30">
        <f>_xlfn.XLOOKUP($I30,RazónMuerte!$A:$A,RazónMuerte!C:C,"",0)</f>
        <v>0</v>
      </c>
      <c r="L30" t="str">
        <f>_xlfn.XLOOKUP($I30,RazónMuerte!$A:$A,RazónMuerte!D:D,"",0)</f>
        <v>No clasificado</v>
      </c>
    </row>
    <row r="31" spans="1:12" x14ac:dyDescent="0.25">
      <c r="A31" t="s">
        <v>204</v>
      </c>
      <c r="B31" t="str">
        <f t="shared" si="0"/>
        <v>7</v>
      </c>
      <c r="C31" t="str">
        <f t="shared" si="1"/>
        <v>FEBRERO</v>
      </c>
      <c r="D31" s="27">
        <v>45318</v>
      </c>
      <c r="E31" s="20">
        <v>45329</v>
      </c>
      <c r="F31" t="s">
        <v>209</v>
      </c>
      <c r="G31">
        <f t="shared" si="2"/>
        <v>264</v>
      </c>
      <c r="H31" t="s">
        <v>210</v>
      </c>
      <c r="I31" t="s">
        <v>211</v>
      </c>
      <c r="J31" t="str">
        <f>_xlfn.XLOOKUP($I31,RazónMuerte!$A:$A,RazónMuerte!B:B,"",0)</f>
        <v>Enfermedad degenerativa articular</v>
      </c>
      <c r="K31">
        <f>_xlfn.XLOOKUP($I31,RazónMuerte!$A:$A,RazónMuerte!C:C,"",0)</f>
        <v>0</v>
      </c>
      <c r="L31" t="str">
        <f>_xlfn.XLOOKUP($I31,RazónMuerte!$A:$A,RazónMuerte!D:D,"",0)</f>
        <v>No fatal injury (chronic/medical)</v>
      </c>
    </row>
    <row r="32" spans="1:12" x14ac:dyDescent="0.25">
      <c r="A32" t="s">
        <v>212</v>
      </c>
      <c r="B32" t="str">
        <f t="shared" si="0"/>
        <v>8</v>
      </c>
      <c r="C32" t="str">
        <f t="shared" si="1"/>
        <v>FEBRERO</v>
      </c>
      <c r="D32" s="27">
        <v>45325</v>
      </c>
      <c r="E32" s="20">
        <v>45330</v>
      </c>
      <c r="F32" t="s">
        <v>52</v>
      </c>
      <c r="G32">
        <f t="shared" si="2"/>
        <v>120</v>
      </c>
      <c r="H32" t="s">
        <v>213</v>
      </c>
      <c r="I32" t="s">
        <v>114</v>
      </c>
      <c r="J32" t="str">
        <f>_xlfn.XLOOKUP($I32,RazónMuerte!$A:$A,RazónMuerte!B:B,"",0)</f>
        <v>Enfermedad degenerativa articular</v>
      </c>
      <c r="K32">
        <f>_xlfn.XLOOKUP($I32,RazónMuerte!$A:$A,RazónMuerte!C:C,"",0)</f>
        <v>0</v>
      </c>
      <c r="L32" t="str">
        <f>_xlfn.XLOOKUP($I32,RazónMuerte!$A:$A,RazónMuerte!D:D,"",0)</f>
        <v>No fatal injury (chronic/medical)</v>
      </c>
    </row>
    <row r="33" spans="1:12" x14ac:dyDescent="0.25">
      <c r="A33" t="s">
        <v>198</v>
      </c>
      <c r="B33" t="str">
        <f t="shared" si="0"/>
        <v>9</v>
      </c>
      <c r="C33" t="str">
        <f t="shared" si="1"/>
        <v>FEBRERO</v>
      </c>
      <c r="D33" s="27">
        <v>44896</v>
      </c>
      <c r="E33" s="20">
        <v>45331</v>
      </c>
      <c r="F33" t="s">
        <v>63</v>
      </c>
      <c r="G33">
        <f t="shared" si="2"/>
        <v>10440</v>
      </c>
      <c r="H33" t="s">
        <v>199</v>
      </c>
      <c r="I33" t="s">
        <v>171</v>
      </c>
      <c r="J33" t="str">
        <f>_xlfn.XLOOKUP($I33,RazónMuerte!$A:$A,RazónMuerte!B:B,"",0)</f>
        <v>Enfermedad degenerativa articular</v>
      </c>
      <c r="K33">
        <f>_xlfn.XLOOKUP($I33,RazónMuerte!$A:$A,RazónMuerte!C:C,"",0)</f>
        <v>0</v>
      </c>
      <c r="L33" t="str">
        <f>_xlfn.XLOOKUP($I33,RazónMuerte!$A:$A,RazónMuerte!D:D,"",0)</f>
        <v>No fatal injury (chronic/medical)</v>
      </c>
    </row>
    <row r="34" spans="1:12" x14ac:dyDescent="0.25">
      <c r="A34" t="s">
        <v>214</v>
      </c>
      <c r="B34" t="str">
        <f t="shared" si="0"/>
        <v>12</v>
      </c>
      <c r="C34" t="str">
        <f t="shared" si="1"/>
        <v>FEBRERO</v>
      </c>
      <c r="D34" s="27">
        <v>45332</v>
      </c>
      <c r="E34" s="20">
        <v>45334</v>
      </c>
      <c r="F34" t="s">
        <v>215</v>
      </c>
      <c r="G34">
        <f t="shared" si="2"/>
        <v>48</v>
      </c>
      <c r="H34" t="s">
        <v>216</v>
      </c>
      <c r="I34" t="s">
        <v>14</v>
      </c>
      <c r="J34" t="str">
        <f>_xlfn.XLOOKUP($I34,RazónMuerte!$A:$A,RazónMuerte!B:B,"",0)</f>
        <v>Fractura ósea</v>
      </c>
      <c r="K34" t="str">
        <f>_xlfn.XLOOKUP($I34,RazónMuerte!$A:$A,RazónMuerte!C:C,"",0)</f>
        <v>Rodilla / Carpal</v>
      </c>
      <c r="L34" t="str">
        <f>_xlfn.XLOOKUP($I34,RazónMuerte!$A:$A,RazónMuerte!D:D,"",0)</f>
        <v>Fatal injury</v>
      </c>
    </row>
    <row r="35" spans="1:12" x14ac:dyDescent="0.25">
      <c r="A35" t="s">
        <v>217</v>
      </c>
      <c r="B35" t="str">
        <f t="shared" si="0"/>
        <v>13</v>
      </c>
      <c r="C35" t="str">
        <f t="shared" si="1"/>
        <v>FEBRERO</v>
      </c>
      <c r="D35" s="31"/>
      <c r="E35" s="31">
        <v>45335</v>
      </c>
      <c r="F35" s="30" t="s">
        <v>218</v>
      </c>
      <c r="G35">
        <f t="shared" si="2"/>
        <v>1088040</v>
      </c>
      <c r="H35" s="30" t="s">
        <v>219</v>
      </c>
      <c r="I35" s="30" t="s">
        <v>19</v>
      </c>
      <c r="J35" t="str">
        <f>_xlfn.XLOOKUP($I35,RazónMuerte!$A:$A,RazónMuerte!B:B,"",0)</f>
        <v>Enfermedad degenerativa articular</v>
      </c>
      <c r="K35">
        <f>_xlfn.XLOOKUP($I35,RazónMuerte!$A:$A,RazónMuerte!C:C,"",0)</f>
        <v>0</v>
      </c>
      <c r="L35" t="str">
        <f>_xlfn.XLOOKUP($I35,RazónMuerte!$A:$A,RazónMuerte!D:D,"",0)</f>
        <v>Fatal injury</v>
      </c>
    </row>
    <row r="36" spans="1:12" x14ac:dyDescent="0.25">
      <c r="A36" t="s">
        <v>217</v>
      </c>
      <c r="B36" t="str">
        <f t="shared" si="0"/>
        <v>13</v>
      </c>
      <c r="C36" t="str">
        <f t="shared" si="1"/>
        <v>FEBRERO</v>
      </c>
      <c r="D36" s="27">
        <v>45324</v>
      </c>
      <c r="E36" s="20">
        <v>45335</v>
      </c>
      <c r="F36" t="s">
        <v>220</v>
      </c>
      <c r="G36">
        <f t="shared" si="2"/>
        <v>264</v>
      </c>
      <c r="H36" t="s">
        <v>221</v>
      </c>
      <c r="I36" t="s">
        <v>222</v>
      </c>
      <c r="J36" t="str">
        <f>_xlfn.XLOOKUP($I36,RazónMuerte!$A:$A,RazónMuerte!B:B,"",0)</f>
        <v>Lesión de ligamentos/tendones</v>
      </c>
      <c r="K36">
        <f>_xlfn.XLOOKUP($I36,RazónMuerte!$A:$A,RazónMuerte!C:C,"",0)</f>
        <v>0</v>
      </c>
      <c r="L36" t="str">
        <f>_xlfn.XLOOKUP($I36,RazónMuerte!$A:$A,RazónMuerte!D:D,"",0)</f>
        <v>No clasificado</v>
      </c>
    </row>
    <row r="37" spans="1:12" x14ac:dyDescent="0.25">
      <c r="A37" t="s">
        <v>217</v>
      </c>
      <c r="B37" t="str">
        <f t="shared" si="0"/>
        <v>13</v>
      </c>
      <c r="C37" t="str">
        <f t="shared" si="1"/>
        <v>FEBRERO</v>
      </c>
      <c r="D37" s="27">
        <v>45333</v>
      </c>
      <c r="E37" s="20">
        <v>45335</v>
      </c>
      <c r="F37" t="s">
        <v>45</v>
      </c>
      <c r="G37">
        <f t="shared" si="2"/>
        <v>48</v>
      </c>
      <c r="H37" t="s">
        <v>223</v>
      </c>
      <c r="I37" t="s">
        <v>224</v>
      </c>
      <c r="J37" t="str">
        <f>_xlfn.XLOOKUP($I37,RazónMuerte!$A:$A,RazónMuerte!B:B,"",0)</f>
        <v>Fractura ósea</v>
      </c>
      <c r="K37" t="str">
        <f>_xlfn.XLOOKUP($I37,RazónMuerte!$A:$A,RazónMuerte!C:C,"",0)</f>
        <v>Sesamoideo</v>
      </c>
      <c r="L37" t="str">
        <f>_xlfn.XLOOKUP($I37,RazónMuerte!$A:$A,RazónMuerte!D:D,"",0)</f>
        <v>Fatal injury</v>
      </c>
    </row>
    <row r="38" spans="1:12" x14ac:dyDescent="0.25">
      <c r="A38" t="s">
        <v>217</v>
      </c>
      <c r="B38" t="str">
        <f t="shared" si="0"/>
        <v>13</v>
      </c>
      <c r="C38" t="str">
        <f t="shared" si="1"/>
        <v>FEBRERO</v>
      </c>
      <c r="D38" s="27">
        <v>45292</v>
      </c>
      <c r="E38" s="20">
        <v>45335</v>
      </c>
      <c r="F38" t="s">
        <v>62</v>
      </c>
      <c r="G38">
        <f t="shared" si="2"/>
        <v>1032</v>
      </c>
      <c r="H38" t="s">
        <v>225</v>
      </c>
      <c r="I38" t="s">
        <v>14</v>
      </c>
      <c r="J38" t="str">
        <f>_xlfn.XLOOKUP($I38,RazónMuerte!$A:$A,RazónMuerte!B:B,"",0)</f>
        <v>Fractura ósea</v>
      </c>
      <c r="K38" t="str">
        <f>_xlfn.XLOOKUP($I38,RazónMuerte!$A:$A,RazónMuerte!C:C,"",0)</f>
        <v>Rodilla / Carpal</v>
      </c>
      <c r="L38" t="str">
        <f>_xlfn.XLOOKUP($I38,RazónMuerte!$A:$A,RazónMuerte!D:D,"",0)</f>
        <v>Fatal injury</v>
      </c>
    </row>
    <row r="39" spans="1:12" x14ac:dyDescent="0.25">
      <c r="A39" t="s">
        <v>226</v>
      </c>
      <c r="B39" t="str">
        <f t="shared" si="0"/>
        <v>14</v>
      </c>
      <c r="C39" t="str">
        <f t="shared" si="1"/>
        <v>FEBRERO</v>
      </c>
      <c r="D39" s="27">
        <v>45305</v>
      </c>
      <c r="E39" s="20">
        <v>45336</v>
      </c>
      <c r="F39" t="s">
        <v>80</v>
      </c>
      <c r="G39">
        <f t="shared" si="2"/>
        <v>744</v>
      </c>
      <c r="H39" t="s">
        <v>227</v>
      </c>
      <c r="I39" t="s">
        <v>228</v>
      </c>
      <c r="J39" t="str">
        <f>_xlfn.XLOOKUP($I39,RazónMuerte!$A:$A,RazónMuerte!B:B,"",0)</f>
        <v>Enfermedad degenerativa articular</v>
      </c>
      <c r="K39">
        <f>_xlfn.XLOOKUP($I39,RazónMuerte!$A:$A,RazónMuerte!C:C,"",0)</f>
        <v>0</v>
      </c>
      <c r="L39" t="str">
        <f>_xlfn.XLOOKUP($I39,RazónMuerte!$A:$A,RazónMuerte!D:D,"",0)</f>
        <v>Fatal injury</v>
      </c>
    </row>
    <row r="40" spans="1:12" x14ac:dyDescent="0.25">
      <c r="A40" t="s">
        <v>229</v>
      </c>
      <c r="B40" t="str">
        <f t="shared" si="0"/>
        <v>16</v>
      </c>
      <c r="C40" t="str">
        <f t="shared" si="1"/>
        <v>FEBRERO</v>
      </c>
      <c r="D40" s="27">
        <v>45337</v>
      </c>
      <c r="E40" s="20">
        <v>45338</v>
      </c>
      <c r="F40" t="s">
        <v>21</v>
      </c>
      <c r="G40">
        <f t="shared" si="2"/>
        <v>24</v>
      </c>
      <c r="H40" t="s">
        <v>230</v>
      </c>
      <c r="I40" t="s">
        <v>23</v>
      </c>
      <c r="J40" t="str">
        <f>_xlfn.XLOOKUP($I40,RazónMuerte!$A:$A,RazónMuerte!B:B,"",0)</f>
        <v>Fractura ósea</v>
      </c>
      <c r="K40" t="str">
        <f>_xlfn.XLOOKUP($I40,RazónMuerte!$A:$A,RazónMuerte!C:C,"",0)</f>
        <v>Sesamoideo</v>
      </c>
      <c r="L40" t="str">
        <f>_xlfn.XLOOKUP($I40,RazónMuerte!$A:$A,RazónMuerte!D:D,"",0)</f>
        <v>Fatal injury</v>
      </c>
    </row>
    <row r="41" spans="1:12" x14ac:dyDescent="0.25">
      <c r="A41" t="s">
        <v>229</v>
      </c>
      <c r="B41" t="str">
        <f t="shared" si="0"/>
        <v>16</v>
      </c>
      <c r="C41" t="str">
        <f t="shared" si="1"/>
        <v>FEBRERO</v>
      </c>
      <c r="D41" s="31"/>
      <c r="E41" s="31">
        <v>45338</v>
      </c>
      <c r="F41" s="30" t="s">
        <v>35</v>
      </c>
      <c r="G41">
        <f t="shared" si="2"/>
        <v>1088112</v>
      </c>
      <c r="H41" s="30" t="s">
        <v>232</v>
      </c>
      <c r="I41" s="30" t="s">
        <v>231</v>
      </c>
      <c r="J41" t="str">
        <f>_xlfn.XLOOKUP($I41,RazónMuerte!$A:$A,RazónMuerte!B:B,"",0)</f>
        <v>Otras / No especificada</v>
      </c>
      <c r="K41">
        <f>_xlfn.XLOOKUP($I41,RazónMuerte!$A:$A,RazónMuerte!C:C,"",0)</f>
        <v>0</v>
      </c>
      <c r="L41" t="str">
        <f>_xlfn.XLOOKUP($I41,RazónMuerte!$A:$A,RazónMuerte!D:D,"",0)</f>
        <v>No clasificado</v>
      </c>
    </row>
    <row r="42" spans="1:12" x14ac:dyDescent="0.25">
      <c r="A42" t="s">
        <v>233</v>
      </c>
      <c r="B42" t="str">
        <f t="shared" si="0"/>
        <v>19</v>
      </c>
      <c r="C42" t="str">
        <f t="shared" si="1"/>
        <v>FEBRERO</v>
      </c>
      <c r="D42" s="27">
        <v>45204</v>
      </c>
      <c r="E42" s="20">
        <v>45341</v>
      </c>
      <c r="F42" t="s">
        <v>40</v>
      </c>
      <c r="G42">
        <f t="shared" si="2"/>
        <v>3288</v>
      </c>
      <c r="H42" t="s">
        <v>236</v>
      </c>
      <c r="I42" t="s">
        <v>237</v>
      </c>
      <c r="J42" t="str">
        <f>_xlfn.XLOOKUP($I42,RazónMuerte!$A:$A,RazónMuerte!B:B,"",0)</f>
        <v>Otras / No especificada</v>
      </c>
      <c r="K42">
        <f>_xlfn.XLOOKUP($I42,RazónMuerte!$A:$A,RazónMuerte!C:C,"",0)</f>
        <v>0</v>
      </c>
      <c r="L42" t="str">
        <f>_xlfn.XLOOKUP($I42,RazónMuerte!$A:$A,RazónMuerte!D:D,"",0)</f>
        <v>No clasificado</v>
      </c>
    </row>
    <row r="43" spans="1:12" x14ac:dyDescent="0.25">
      <c r="A43" t="s">
        <v>233</v>
      </c>
      <c r="B43" t="str">
        <f t="shared" si="0"/>
        <v>19</v>
      </c>
      <c r="C43" t="str">
        <f t="shared" si="1"/>
        <v>FEBRERO</v>
      </c>
      <c r="D43" s="27">
        <v>45241</v>
      </c>
      <c r="E43" s="20">
        <v>45341</v>
      </c>
      <c r="F43" t="s">
        <v>42</v>
      </c>
      <c r="G43">
        <f t="shared" si="2"/>
        <v>2400</v>
      </c>
      <c r="H43" t="s">
        <v>234</v>
      </c>
      <c r="I43" t="s">
        <v>235</v>
      </c>
      <c r="J43" t="str">
        <f>_xlfn.XLOOKUP($I43,RazónMuerte!$A:$A,RazónMuerte!B:B,"",0)</f>
        <v>Fractura ósea</v>
      </c>
      <c r="K43" t="str">
        <f>_xlfn.XLOOKUP($I43,RazónMuerte!$A:$A,RazónMuerte!C:C,"",0)</f>
        <v>Rodilla / Carpal</v>
      </c>
      <c r="L43" t="str">
        <f>_xlfn.XLOOKUP($I43,RazónMuerte!$A:$A,RazónMuerte!D:D,"",0)</f>
        <v>Fatal injury</v>
      </c>
    </row>
    <row r="44" spans="1:12" x14ac:dyDescent="0.25">
      <c r="A44" t="s">
        <v>238</v>
      </c>
      <c r="B44" t="str">
        <f t="shared" si="0"/>
        <v>22</v>
      </c>
      <c r="C44" t="str">
        <f t="shared" si="1"/>
        <v>FEBRERO</v>
      </c>
      <c r="D44" s="27">
        <v>45318</v>
      </c>
      <c r="E44" s="20">
        <v>45344</v>
      </c>
      <c r="F44" t="s">
        <v>239</v>
      </c>
      <c r="G44">
        <f t="shared" si="2"/>
        <v>624</v>
      </c>
      <c r="H44" t="s">
        <v>240</v>
      </c>
      <c r="I44" t="s">
        <v>235</v>
      </c>
      <c r="J44" t="str">
        <f>_xlfn.XLOOKUP($I44,RazónMuerte!$A:$A,RazónMuerte!B:B,"",0)</f>
        <v>Fractura ósea</v>
      </c>
      <c r="K44" t="str">
        <f>_xlfn.XLOOKUP($I44,RazónMuerte!$A:$A,RazónMuerte!C:C,"",0)</f>
        <v>Rodilla / Carpal</v>
      </c>
      <c r="L44" t="str">
        <f>_xlfn.XLOOKUP($I44,RazónMuerte!$A:$A,RazónMuerte!D:D,"",0)</f>
        <v>Fatal injury</v>
      </c>
    </row>
    <row r="45" spans="1:12" x14ac:dyDescent="0.25">
      <c r="A45" t="s">
        <v>241</v>
      </c>
      <c r="B45" t="str">
        <f t="shared" si="0"/>
        <v>23</v>
      </c>
      <c r="C45" t="str">
        <f t="shared" si="1"/>
        <v>FEBRERO</v>
      </c>
      <c r="D45" s="31"/>
      <c r="E45" s="31">
        <v>45345</v>
      </c>
      <c r="F45" s="30" t="s">
        <v>20</v>
      </c>
      <c r="G45">
        <f t="shared" si="2"/>
        <v>1088280</v>
      </c>
      <c r="H45" s="30" t="s">
        <v>242</v>
      </c>
      <c r="I45" s="30" t="s">
        <v>243</v>
      </c>
      <c r="J45" t="str">
        <f>_xlfn.XLOOKUP($I45,RazónMuerte!$A:$A,RazónMuerte!B:B,"",0)</f>
        <v>Otras / No especificada</v>
      </c>
      <c r="K45">
        <f>_xlfn.XLOOKUP($I45,RazónMuerte!$A:$A,RazónMuerte!C:C,"",0)</f>
        <v>0</v>
      </c>
      <c r="L45" t="str">
        <f>_xlfn.XLOOKUP($I45,RazónMuerte!$A:$A,RazónMuerte!D:D,"",0)</f>
        <v>Fatal injury</v>
      </c>
    </row>
    <row r="46" spans="1:12" x14ac:dyDescent="0.25">
      <c r="A46" t="s">
        <v>244</v>
      </c>
      <c r="B46" t="str">
        <f t="shared" si="0"/>
        <v>24</v>
      </c>
      <c r="C46" t="str">
        <f t="shared" si="1"/>
        <v>FEBRERO</v>
      </c>
      <c r="D46" s="27">
        <v>45292</v>
      </c>
      <c r="E46" s="20">
        <v>45346</v>
      </c>
      <c r="F46" t="s">
        <v>83</v>
      </c>
      <c r="G46">
        <f t="shared" si="2"/>
        <v>1296</v>
      </c>
      <c r="H46" t="s">
        <v>245</v>
      </c>
      <c r="I46" t="s">
        <v>87</v>
      </c>
      <c r="J46" t="str">
        <f>_xlfn.XLOOKUP($I46,RazónMuerte!$A:$A,RazónMuerte!B:B,"",0)</f>
        <v>Otras / No especificada</v>
      </c>
      <c r="K46">
        <f>_xlfn.XLOOKUP($I46,RazónMuerte!$A:$A,RazónMuerte!C:C,"",0)</f>
        <v>0</v>
      </c>
      <c r="L46" t="str">
        <f>_xlfn.XLOOKUP($I46,RazónMuerte!$A:$A,RazónMuerte!D:D,"",0)</f>
        <v>No clasificado</v>
      </c>
    </row>
    <row r="47" spans="1:12" x14ac:dyDescent="0.25">
      <c r="A47" t="s">
        <v>249</v>
      </c>
      <c r="B47" t="str">
        <f t="shared" si="0"/>
        <v>27</v>
      </c>
      <c r="C47" t="str">
        <f t="shared" si="1"/>
        <v>FEBRERO</v>
      </c>
      <c r="D47" s="31"/>
      <c r="E47" s="31">
        <v>45349</v>
      </c>
      <c r="F47" s="30" t="s">
        <v>248</v>
      </c>
      <c r="G47">
        <f t="shared" si="2"/>
        <v>1088376</v>
      </c>
      <c r="H47" s="30" t="s">
        <v>247</v>
      </c>
      <c r="I47" s="30" t="s">
        <v>246</v>
      </c>
      <c r="J47" t="str">
        <f>_xlfn.XLOOKUP($I47,RazónMuerte!$A:$A,RazónMuerte!B:B,"",0)</f>
        <v>Otras / No especificada</v>
      </c>
      <c r="K47">
        <f>_xlfn.XLOOKUP($I47,RazónMuerte!$A:$A,RazónMuerte!C:C,"",0)</f>
        <v>0</v>
      </c>
      <c r="L47" t="str">
        <f>_xlfn.XLOOKUP($I47,RazónMuerte!$A:$A,RazónMuerte!D:D,"",0)</f>
        <v>No clasificado</v>
      </c>
    </row>
    <row r="48" spans="1:12" x14ac:dyDescent="0.25">
      <c r="A48" t="s">
        <v>249</v>
      </c>
      <c r="B48" t="str">
        <f t="shared" si="0"/>
        <v>27</v>
      </c>
      <c r="C48" t="str">
        <f t="shared" si="1"/>
        <v>FEBRERO</v>
      </c>
      <c r="D48" s="31"/>
      <c r="E48" s="31">
        <v>45349</v>
      </c>
      <c r="F48" s="30" t="s">
        <v>7</v>
      </c>
      <c r="G48">
        <f t="shared" si="2"/>
        <v>1088376</v>
      </c>
      <c r="H48" s="30" t="s">
        <v>250</v>
      </c>
      <c r="I48" s="30" t="s">
        <v>251</v>
      </c>
      <c r="J48" t="str">
        <f>_xlfn.XLOOKUP($I48,RazónMuerte!$A:$A,RazónMuerte!B:B,"",0)</f>
        <v>Fractura ósea</v>
      </c>
      <c r="K48" t="str">
        <f>_xlfn.XLOOKUP($I48,RazónMuerte!$A:$A,RazónMuerte!C:C,"",0)</f>
        <v>Sesamoideo</v>
      </c>
      <c r="L48" t="str">
        <f>_xlfn.XLOOKUP($I48,RazónMuerte!$A:$A,RazónMuerte!D:D,"",0)</f>
        <v>Fatal injury</v>
      </c>
    </row>
    <row r="49" spans="1:12" x14ac:dyDescent="0.25">
      <c r="A49" t="s">
        <v>256</v>
      </c>
      <c r="B49" t="str">
        <f t="shared" si="0"/>
        <v>1</v>
      </c>
      <c r="C49" t="str">
        <f t="shared" si="1"/>
        <v>MARZO</v>
      </c>
      <c r="D49" s="27">
        <v>45289</v>
      </c>
      <c r="E49" s="20">
        <v>45352</v>
      </c>
      <c r="F49" t="s">
        <v>76</v>
      </c>
      <c r="G49">
        <f t="shared" si="2"/>
        <v>1512</v>
      </c>
      <c r="H49" t="s">
        <v>257</v>
      </c>
      <c r="I49" t="s">
        <v>258</v>
      </c>
      <c r="J49" t="str">
        <f>_xlfn.XLOOKUP($I49,RazónMuerte!$A:$A,RazónMuerte!B:B,"",0)</f>
        <v>Otras / No especificada</v>
      </c>
      <c r="K49">
        <f>_xlfn.XLOOKUP($I49,RazónMuerte!$A:$A,RazónMuerte!C:C,"",0)</f>
        <v>0</v>
      </c>
      <c r="L49" t="str">
        <f>_xlfn.XLOOKUP($I49,RazónMuerte!$A:$A,RazónMuerte!D:D,"",0)</f>
        <v>Fatal injury</v>
      </c>
    </row>
    <row r="50" spans="1:12" x14ac:dyDescent="0.25">
      <c r="A50" t="s">
        <v>252</v>
      </c>
      <c r="B50" t="str">
        <f t="shared" si="0"/>
        <v>4</v>
      </c>
      <c r="C50" t="str">
        <f t="shared" si="1"/>
        <v>MARZO</v>
      </c>
      <c r="D50" s="27">
        <v>45323</v>
      </c>
      <c r="E50" s="20">
        <v>45355</v>
      </c>
      <c r="F50" t="s">
        <v>253</v>
      </c>
      <c r="G50">
        <f t="shared" si="2"/>
        <v>768</v>
      </c>
      <c r="H50" t="s">
        <v>254</v>
      </c>
      <c r="I50" t="s">
        <v>255</v>
      </c>
      <c r="J50" t="str">
        <f>_xlfn.XLOOKUP($I50,RazónMuerte!$A:$A,RazónMuerte!B:B,"",0)</f>
        <v>Fractura ósea</v>
      </c>
      <c r="K50" t="str">
        <f>_xlfn.XLOOKUP($I50,RazónMuerte!$A:$A,RazónMuerte!C:C,"",0)</f>
        <v>Rodilla / Carpal</v>
      </c>
      <c r="L50" t="str">
        <f>_xlfn.XLOOKUP($I50,RazónMuerte!$A:$A,RazónMuerte!D:D,"",0)</f>
        <v>Fatal injury</v>
      </c>
    </row>
    <row r="51" spans="1:12" x14ac:dyDescent="0.25">
      <c r="A51" t="s">
        <v>259</v>
      </c>
      <c r="B51" t="str">
        <f t="shared" si="0"/>
        <v>6</v>
      </c>
      <c r="C51" t="str">
        <f t="shared" si="1"/>
        <v>MARZO</v>
      </c>
      <c r="D51" s="27">
        <v>45330</v>
      </c>
      <c r="E51" s="20">
        <v>45357</v>
      </c>
      <c r="F51" t="s">
        <v>261</v>
      </c>
      <c r="G51">
        <f t="shared" si="2"/>
        <v>648</v>
      </c>
      <c r="H51" t="s">
        <v>262</v>
      </c>
      <c r="I51" t="s">
        <v>263</v>
      </c>
      <c r="J51" t="str">
        <f>_xlfn.XLOOKUP($I51,RazónMuerte!$A:$A,RazónMuerte!B:B,"",0)</f>
        <v>Fractura ósea</v>
      </c>
      <c r="K51" t="str">
        <f>_xlfn.XLOOKUP($I51,RazónMuerte!$A:$A,RazónMuerte!C:C,"",0)</f>
        <v>Sesamoideo</v>
      </c>
      <c r="L51" t="str">
        <f>_xlfn.XLOOKUP($I51,RazónMuerte!$A:$A,RazónMuerte!D:D,"",0)</f>
        <v>Fatal injury</v>
      </c>
    </row>
    <row r="52" spans="1:12" x14ac:dyDescent="0.25">
      <c r="A52" t="s">
        <v>259</v>
      </c>
      <c r="B52" t="str">
        <f t="shared" si="0"/>
        <v>6</v>
      </c>
      <c r="C52" t="str">
        <f t="shared" si="1"/>
        <v>MARZO</v>
      </c>
      <c r="D52" s="27">
        <v>45186</v>
      </c>
      <c r="E52" s="20">
        <v>45357</v>
      </c>
      <c r="F52" t="s">
        <v>11</v>
      </c>
      <c r="G52">
        <f t="shared" si="2"/>
        <v>4104</v>
      </c>
      <c r="H52" t="s">
        <v>265</v>
      </c>
      <c r="I52" t="s">
        <v>264</v>
      </c>
      <c r="J52" t="str">
        <f>_xlfn.XLOOKUP($I52,RazónMuerte!$A:$A,RazónMuerte!B:B,"",0)</f>
        <v>Otras / No especificada</v>
      </c>
      <c r="K52">
        <f>_xlfn.XLOOKUP($I52,RazónMuerte!$A:$A,RazónMuerte!C:C,"",0)</f>
        <v>0</v>
      </c>
      <c r="L52" t="str">
        <f>_xlfn.XLOOKUP($I52,RazónMuerte!$A:$A,RazónMuerte!D:D,"",0)</f>
        <v>No clasificado</v>
      </c>
    </row>
    <row r="53" spans="1:12" x14ac:dyDescent="0.25">
      <c r="A53" t="s">
        <v>260</v>
      </c>
      <c r="B53" t="str">
        <f t="shared" si="0"/>
        <v>7</v>
      </c>
      <c r="C53" t="str">
        <f t="shared" si="1"/>
        <v>MARZO</v>
      </c>
      <c r="D53" s="27">
        <v>45150</v>
      </c>
      <c r="E53" s="20">
        <v>45358</v>
      </c>
      <c r="F53" t="s">
        <v>86</v>
      </c>
      <c r="G53">
        <f t="shared" si="2"/>
        <v>4992</v>
      </c>
      <c r="H53" t="s">
        <v>266</v>
      </c>
      <c r="I53" t="s">
        <v>267</v>
      </c>
      <c r="J53" t="str">
        <f>_xlfn.XLOOKUP($I53,RazónMuerte!$A:$A,RazónMuerte!B:B,"",0)</f>
        <v>Otras / No especificada</v>
      </c>
      <c r="K53">
        <f>_xlfn.XLOOKUP($I53,RazónMuerte!$A:$A,RazónMuerte!C:C,"",0)</f>
        <v>0</v>
      </c>
      <c r="L53" t="str">
        <f>_xlfn.XLOOKUP($I53,RazónMuerte!$A:$A,RazónMuerte!D:D,"",0)</f>
        <v>No clasificado</v>
      </c>
    </row>
    <row r="54" spans="1:12" x14ac:dyDescent="0.25">
      <c r="A54" t="s">
        <v>268</v>
      </c>
      <c r="B54" t="str">
        <f t="shared" si="0"/>
        <v>8</v>
      </c>
      <c r="C54" t="str">
        <f t="shared" si="1"/>
        <v>MARZO</v>
      </c>
      <c r="D54" s="27">
        <v>45347</v>
      </c>
      <c r="E54" s="20">
        <v>45359</v>
      </c>
      <c r="F54" t="s">
        <v>269</v>
      </c>
      <c r="G54">
        <f t="shared" si="2"/>
        <v>288</v>
      </c>
      <c r="H54" t="s">
        <v>270</v>
      </c>
      <c r="I54" t="s">
        <v>271</v>
      </c>
      <c r="J54" t="str">
        <f>_xlfn.XLOOKUP($I54,RazónMuerte!$A:$A,RazónMuerte!B:B,"",0)</f>
        <v>Otras / No especificada</v>
      </c>
      <c r="K54">
        <f>_xlfn.XLOOKUP($I54,RazónMuerte!$A:$A,RazónMuerte!C:C,"",0)</f>
        <v>0</v>
      </c>
      <c r="L54" t="str">
        <f>_xlfn.XLOOKUP($I54,RazónMuerte!$A:$A,RazónMuerte!D:D,"",0)</f>
        <v>Fatal injury</v>
      </c>
    </row>
    <row r="55" spans="1:12" x14ac:dyDescent="0.25">
      <c r="A55" t="s">
        <v>272</v>
      </c>
      <c r="B55" t="str">
        <f t="shared" si="0"/>
        <v>9</v>
      </c>
      <c r="C55" t="str">
        <f t="shared" si="1"/>
        <v>MARZO</v>
      </c>
      <c r="D55" s="27">
        <v>45345</v>
      </c>
      <c r="E55" s="20">
        <v>45360</v>
      </c>
      <c r="F55" t="s">
        <v>273</v>
      </c>
      <c r="G55">
        <f t="shared" si="2"/>
        <v>360</v>
      </c>
      <c r="H55" t="s">
        <v>274</v>
      </c>
      <c r="I55" t="s">
        <v>275</v>
      </c>
      <c r="J55" t="str">
        <f>_xlfn.XLOOKUP($I55,RazónMuerte!$A:$A,RazónMuerte!B:B,"",0)</f>
        <v>Fractura ósea</v>
      </c>
      <c r="K55" t="str">
        <f>_xlfn.XLOOKUP($I55,RazónMuerte!$A:$A,RazónMuerte!C:C,"",0)</f>
        <v>Caña / Cannon bone</v>
      </c>
      <c r="L55" t="str">
        <f>_xlfn.XLOOKUP($I55,RazónMuerte!$A:$A,RazónMuerte!D:D,"",0)</f>
        <v>Fatal injury</v>
      </c>
    </row>
    <row r="56" spans="1:12" x14ac:dyDescent="0.25">
      <c r="A56" t="s">
        <v>272</v>
      </c>
      <c r="B56" t="str">
        <f t="shared" si="0"/>
        <v>9</v>
      </c>
      <c r="C56" t="str">
        <f t="shared" si="1"/>
        <v>MARZO</v>
      </c>
      <c r="D56" s="31"/>
      <c r="E56" s="31">
        <v>45360</v>
      </c>
      <c r="F56" s="30" t="s">
        <v>278</v>
      </c>
      <c r="G56">
        <f t="shared" si="2"/>
        <v>1088640</v>
      </c>
      <c r="H56" s="30" t="s">
        <v>277</v>
      </c>
      <c r="I56" s="30" t="s">
        <v>276</v>
      </c>
      <c r="J56" t="str">
        <f>_xlfn.XLOOKUP($I56,RazónMuerte!$A:$A,RazónMuerte!B:B,"",0)</f>
        <v>Fractura ósea</v>
      </c>
      <c r="K56" t="str">
        <f>_xlfn.XLOOKUP($I56,RazónMuerte!$A:$A,RazónMuerte!C:C,"",0)</f>
        <v>No especificado</v>
      </c>
      <c r="L56" t="str">
        <f>_xlfn.XLOOKUP($I56,RazónMuerte!$A:$A,RazónMuerte!D:D,"",0)</f>
        <v>Fatal injury</v>
      </c>
    </row>
    <row r="57" spans="1:12" x14ac:dyDescent="0.25">
      <c r="A57" t="s">
        <v>272</v>
      </c>
      <c r="B57" t="str">
        <f t="shared" si="0"/>
        <v>9</v>
      </c>
      <c r="C57" t="str">
        <f t="shared" si="1"/>
        <v>MARZO</v>
      </c>
      <c r="D57" s="31"/>
      <c r="E57" s="31">
        <v>45360</v>
      </c>
      <c r="F57" s="30" t="s">
        <v>10</v>
      </c>
      <c r="G57">
        <f t="shared" si="2"/>
        <v>1088640</v>
      </c>
      <c r="H57" s="30" t="s">
        <v>279</v>
      </c>
      <c r="I57" s="30" t="s">
        <v>280</v>
      </c>
      <c r="J57" t="str">
        <f>_xlfn.XLOOKUP($I57,RazónMuerte!$A:$A,RazónMuerte!B:B,"",0)</f>
        <v>Otras / No especificada</v>
      </c>
      <c r="K57">
        <f>_xlfn.XLOOKUP($I57,RazónMuerte!$A:$A,RazónMuerte!C:C,"",0)</f>
        <v>0</v>
      </c>
      <c r="L57" t="str">
        <f>_xlfn.XLOOKUP($I57,RazónMuerte!$A:$A,RazónMuerte!D:D,"",0)</f>
        <v>No clasificado</v>
      </c>
    </row>
    <row r="58" spans="1:12" x14ac:dyDescent="0.25">
      <c r="A58" t="s">
        <v>281</v>
      </c>
      <c r="B58" t="str">
        <f t="shared" si="0"/>
        <v>11</v>
      </c>
      <c r="C58" t="str">
        <f t="shared" si="1"/>
        <v>MARZO</v>
      </c>
      <c r="D58" s="31"/>
      <c r="E58" s="31">
        <v>45362</v>
      </c>
      <c r="F58" s="30" t="s">
        <v>99</v>
      </c>
      <c r="G58">
        <f t="shared" si="2"/>
        <v>1088688</v>
      </c>
      <c r="H58" s="30" t="s">
        <v>282</v>
      </c>
      <c r="I58" s="30" t="s">
        <v>283</v>
      </c>
      <c r="J58" t="str">
        <f>_xlfn.XLOOKUP($I58,RazónMuerte!$A:$A,RazónMuerte!B:B,"",0)</f>
        <v>Otras / No especificada</v>
      </c>
      <c r="K58">
        <f>_xlfn.XLOOKUP($I58,RazónMuerte!$A:$A,RazónMuerte!C:C,"",0)</f>
        <v>0</v>
      </c>
      <c r="L58" t="str">
        <f>_xlfn.XLOOKUP($I58,RazónMuerte!$A:$A,RazónMuerte!D:D,"",0)</f>
        <v>No clasificado</v>
      </c>
    </row>
    <row r="59" spans="1:12" x14ac:dyDescent="0.25">
      <c r="A59" t="s">
        <v>284</v>
      </c>
      <c r="B59" t="str">
        <f t="shared" si="0"/>
        <v>12</v>
      </c>
      <c r="C59" t="str">
        <f t="shared" si="1"/>
        <v>MARZO</v>
      </c>
      <c r="D59" s="27">
        <v>45360</v>
      </c>
      <c r="E59" s="20">
        <v>45363</v>
      </c>
      <c r="F59" t="s">
        <v>36</v>
      </c>
      <c r="G59">
        <f t="shared" si="2"/>
        <v>72</v>
      </c>
      <c r="H59" t="s">
        <v>285</v>
      </c>
      <c r="I59" t="s">
        <v>286</v>
      </c>
      <c r="J59" t="str">
        <f>_xlfn.XLOOKUP($I59,RazónMuerte!$A:$A,RazónMuerte!B:B,"",0)</f>
        <v>Fractura ósea</v>
      </c>
      <c r="K59" t="str">
        <f>_xlfn.XLOOKUP($I59,RazónMuerte!$A:$A,RazónMuerte!C:C,"",0)</f>
        <v>Slab</v>
      </c>
      <c r="L59" t="str">
        <f>_xlfn.XLOOKUP($I59,RazónMuerte!$A:$A,RazónMuerte!D:D,"",0)</f>
        <v>Fatal injury</v>
      </c>
    </row>
    <row r="60" spans="1:12" x14ac:dyDescent="0.25">
      <c r="A60" t="s">
        <v>287</v>
      </c>
      <c r="B60" t="str">
        <f t="shared" si="0"/>
        <v>13</v>
      </c>
      <c r="C60" t="str">
        <f t="shared" si="1"/>
        <v>MARZO</v>
      </c>
      <c r="D60" s="27">
        <v>45359</v>
      </c>
      <c r="E60" s="20">
        <v>45364</v>
      </c>
      <c r="F60" t="s">
        <v>97</v>
      </c>
      <c r="G60">
        <f t="shared" si="2"/>
        <v>120</v>
      </c>
      <c r="H60" t="s">
        <v>288</v>
      </c>
      <c r="I60" t="s">
        <v>289</v>
      </c>
      <c r="J60" t="str">
        <f>_xlfn.XLOOKUP($I60,RazónMuerte!$A:$A,RazónMuerte!B:B,"",0)</f>
        <v>Otras / No especificada</v>
      </c>
      <c r="K60">
        <f>_xlfn.XLOOKUP($I60,RazónMuerte!$A:$A,RazónMuerte!C:C,"",0)</f>
        <v>0</v>
      </c>
      <c r="L60" t="str">
        <f>_xlfn.XLOOKUP($I60,RazónMuerte!$A:$A,RazónMuerte!D:D,"",0)</f>
        <v>No clasificado</v>
      </c>
    </row>
    <row r="61" spans="1:12" x14ac:dyDescent="0.25">
      <c r="A61" t="s">
        <v>290</v>
      </c>
      <c r="B61" t="str">
        <f t="shared" si="0"/>
        <v>15</v>
      </c>
      <c r="C61" t="str">
        <f t="shared" si="1"/>
        <v>MARZO</v>
      </c>
      <c r="D61" s="27">
        <v>45197</v>
      </c>
      <c r="E61" s="20">
        <v>45366</v>
      </c>
      <c r="F61" t="s">
        <v>99</v>
      </c>
      <c r="G61">
        <f t="shared" si="2"/>
        <v>4056</v>
      </c>
      <c r="H61" t="s">
        <v>291</v>
      </c>
      <c r="I61" t="s">
        <v>292</v>
      </c>
      <c r="J61" t="str">
        <f>_xlfn.XLOOKUP($I61,RazónMuerte!$A:$A,RazónMuerte!B:B,"",0)</f>
        <v>Otras / No especificada</v>
      </c>
      <c r="K61">
        <f>_xlfn.XLOOKUP($I61,RazónMuerte!$A:$A,RazónMuerte!C:C,"",0)</f>
        <v>0</v>
      </c>
      <c r="L61" t="str">
        <f>_xlfn.XLOOKUP($I61,RazónMuerte!$A:$A,RazónMuerte!D:D,"",0)</f>
        <v>No clasificado</v>
      </c>
    </row>
    <row r="62" spans="1:12" x14ac:dyDescent="0.25">
      <c r="A62" t="s">
        <v>293</v>
      </c>
      <c r="B62" t="str">
        <f t="shared" si="0"/>
        <v>16</v>
      </c>
      <c r="C62" t="str">
        <f t="shared" si="1"/>
        <v>MARZO</v>
      </c>
      <c r="D62" s="31"/>
      <c r="E62" s="31">
        <v>45367</v>
      </c>
      <c r="F62" s="30" t="s">
        <v>294</v>
      </c>
      <c r="G62">
        <f t="shared" si="2"/>
        <v>1088808</v>
      </c>
      <c r="H62" s="30" t="s">
        <v>295</v>
      </c>
      <c r="I62" s="30" t="s">
        <v>87</v>
      </c>
      <c r="J62" t="str">
        <f>_xlfn.XLOOKUP($I62,RazónMuerte!$A:$A,RazónMuerte!B:B,"",0)</f>
        <v>Otras / No especificada</v>
      </c>
      <c r="K62">
        <f>_xlfn.XLOOKUP($I62,RazónMuerte!$A:$A,RazónMuerte!C:C,"",0)</f>
        <v>0</v>
      </c>
      <c r="L62" t="str">
        <f>_xlfn.XLOOKUP($I62,RazónMuerte!$A:$A,RazónMuerte!D:D,"",0)</f>
        <v>No clasificado</v>
      </c>
    </row>
    <row r="63" spans="1:12" x14ac:dyDescent="0.25">
      <c r="A63" t="s">
        <v>296</v>
      </c>
      <c r="B63" t="str">
        <f t="shared" si="0"/>
        <v>20</v>
      </c>
      <c r="C63" t="str">
        <f t="shared" si="1"/>
        <v>MARZO</v>
      </c>
      <c r="D63" s="27">
        <v>45368</v>
      </c>
      <c r="E63" s="20">
        <v>45371</v>
      </c>
      <c r="F63" t="s">
        <v>73</v>
      </c>
      <c r="G63">
        <f t="shared" si="2"/>
        <v>72</v>
      </c>
      <c r="H63" t="s">
        <v>297</v>
      </c>
      <c r="I63" t="s">
        <v>298</v>
      </c>
      <c r="J63" t="str">
        <f>_xlfn.XLOOKUP($I63,RazónMuerte!$A:$A,RazónMuerte!B:B,"",0)</f>
        <v>Fractura ósea</v>
      </c>
      <c r="K63" t="str">
        <f>_xlfn.XLOOKUP($I63,RazónMuerte!$A:$A,RazónMuerte!C:C,"",0)</f>
        <v>Caña / Cannon bone</v>
      </c>
      <c r="L63" t="str">
        <f>_xlfn.XLOOKUP($I63,RazónMuerte!$A:$A,RazónMuerte!D:D,"",0)</f>
        <v>Fatal injury</v>
      </c>
    </row>
    <row r="64" spans="1:12" x14ac:dyDescent="0.25">
      <c r="A64" t="s">
        <v>299</v>
      </c>
      <c r="B64" t="str">
        <f t="shared" si="0"/>
        <v>27</v>
      </c>
      <c r="C64" t="str">
        <f t="shared" si="1"/>
        <v>MARZO</v>
      </c>
      <c r="D64" s="27">
        <v>45347</v>
      </c>
      <c r="E64" s="20">
        <v>45378</v>
      </c>
      <c r="F64" t="s">
        <v>300</v>
      </c>
      <c r="G64">
        <f t="shared" si="2"/>
        <v>744</v>
      </c>
      <c r="H64" t="s">
        <v>301</v>
      </c>
      <c r="I64" t="s">
        <v>101</v>
      </c>
      <c r="J64" t="str">
        <f>_xlfn.XLOOKUP($I64,RazónMuerte!$A:$A,RazónMuerte!B:B,"",0)</f>
        <v>Fractura ósea</v>
      </c>
      <c r="K64" t="str">
        <f>_xlfn.XLOOKUP($I64,RazónMuerte!$A:$A,RazónMuerte!C:C,"",0)</f>
        <v>Rodilla / Carpal</v>
      </c>
      <c r="L64" t="str">
        <f>_xlfn.XLOOKUP($I64,RazónMuerte!$A:$A,RazónMuerte!D:D,"",0)</f>
        <v>Fatal injury</v>
      </c>
    </row>
    <row r="65" spans="1:12" x14ac:dyDescent="0.25">
      <c r="A65" t="s">
        <v>302</v>
      </c>
      <c r="B65" t="str">
        <f t="shared" si="0"/>
        <v>28</v>
      </c>
      <c r="C65" t="str">
        <f t="shared" si="1"/>
        <v>MARZO</v>
      </c>
      <c r="D65" s="27">
        <v>45365</v>
      </c>
      <c r="E65" s="20">
        <v>45379</v>
      </c>
      <c r="F65" t="s">
        <v>88</v>
      </c>
      <c r="G65">
        <f t="shared" si="2"/>
        <v>336</v>
      </c>
      <c r="H65" t="s">
        <v>303</v>
      </c>
      <c r="I65" t="s">
        <v>304</v>
      </c>
      <c r="J65" t="str">
        <f>_xlfn.XLOOKUP($I65,RazónMuerte!$A:$A,RazónMuerte!B:B,"",0)</f>
        <v>Fractura ósea</v>
      </c>
      <c r="K65" t="str">
        <f>_xlfn.XLOOKUP($I65,RazónMuerte!$A:$A,RazónMuerte!C:C,"",0)</f>
        <v>Caña / Cannon bone</v>
      </c>
      <c r="L65" t="str">
        <f>_xlfn.XLOOKUP($I65,RazónMuerte!$A:$A,RazónMuerte!D:D,"",0)</f>
        <v>Fatal injury</v>
      </c>
    </row>
    <row r="66" spans="1:12" x14ac:dyDescent="0.25">
      <c r="A66" t="s">
        <v>305</v>
      </c>
      <c r="B66" t="str">
        <f t="shared" si="0"/>
        <v>1</v>
      </c>
      <c r="C66" t="str">
        <f t="shared" si="1"/>
        <v>ABRIL</v>
      </c>
      <c r="D66" s="27">
        <v>45341</v>
      </c>
      <c r="E66" s="20">
        <v>45383</v>
      </c>
      <c r="F66" t="s">
        <v>306</v>
      </c>
      <c r="G66">
        <f t="shared" si="2"/>
        <v>1008</v>
      </c>
      <c r="H66" t="s">
        <v>307</v>
      </c>
      <c r="I66" t="s">
        <v>308</v>
      </c>
      <c r="J66" t="str">
        <f>_xlfn.XLOOKUP($I66,RazónMuerte!$A:$A,RazónMuerte!B:B,"",0)</f>
        <v>Fractura ósea</v>
      </c>
      <c r="K66" t="str">
        <f>_xlfn.XLOOKUP($I66,RazónMuerte!$A:$A,RazónMuerte!C:C,"",0)</f>
        <v>Slab</v>
      </c>
      <c r="L66" t="str">
        <f>_xlfn.XLOOKUP($I66,RazónMuerte!$A:$A,RazónMuerte!D:D,"",0)</f>
        <v>Fatal injury</v>
      </c>
    </row>
    <row r="67" spans="1:12" x14ac:dyDescent="0.25">
      <c r="A67" t="s">
        <v>309</v>
      </c>
      <c r="B67" t="str">
        <f t="shared" ref="B67:B130" si="3">LEFT(A67,FIND("-",A67)-1)</f>
        <v>2</v>
      </c>
      <c r="C67" t="str">
        <f t="shared" ref="C67:C130" si="4">MID(A67,FIND("-",A67)+1,FIND("-",A67,FIND("-",A67)+1)-FIND("-",A67)-1)</f>
        <v>ABRIL</v>
      </c>
      <c r="D67" s="31"/>
      <c r="E67" s="31">
        <v>45384</v>
      </c>
      <c r="F67" s="30" t="s">
        <v>318</v>
      </c>
      <c r="G67">
        <f t="shared" ref="G67:G130" si="5">(E67-D67)*24</f>
        <v>1089216</v>
      </c>
      <c r="H67" s="30" t="s">
        <v>319</v>
      </c>
      <c r="I67" s="30" t="s">
        <v>320</v>
      </c>
      <c r="J67" t="str">
        <f>_xlfn.XLOOKUP($I67,RazónMuerte!$A:$A,RazónMuerte!B:B,"",0)</f>
        <v>Fractura ósea</v>
      </c>
      <c r="K67" t="str">
        <f>_xlfn.XLOOKUP($I67,RazónMuerte!$A:$A,RazónMuerte!C:C,"",0)</f>
        <v>No especificado</v>
      </c>
      <c r="L67" t="str">
        <f>_xlfn.XLOOKUP($I67,RazónMuerte!$A:$A,RazónMuerte!D:D,"",0)</f>
        <v>Fatal injury</v>
      </c>
    </row>
    <row r="68" spans="1:12" x14ac:dyDescent="0.25">
      <c r="A68" t="s">
        <v>309</v>
      </c>
      <c r="B68" t="str">
        <f t="shared" si="3"/>
        <v>2</v>
      </c>
      <c r="C68" t="str">
        <f t="shared" si="4"/>
        <v>ABRIL</v>
      </c>
      <c r="D68" s="31"/>
      <c r="E68" s="31">
        <v>45384</v>
      </c>
      <c r="F68" s="30" t="s">
        <v>315</v>
      </c>
      <c r="G68">
        <f t="shared" si="5"/>
        <v>1089216</v>
      </c>
      <c r="H68" s="30" t="s">
        <v>316</v>
      </c>
      <c r="I68" s="30" t="s">
        <v>317</v>
      </c>
      <c r="J68" t="str">
        <f>_xlfn.XLOOKUP($I68,RazónMuerte!$A:$A,RazónMuerte!B:B,"",0)</f>
        <v>Otras / No especificada</v>
      </c>
      <c r="K68">
        <f>_xlfn.XLOOKUP($I68,RazónMuerte!$A:$A,RazónMuerte!C:C,"",0)</f>
        <v>0</v>
      </c>
      <c r="L68" t="str">
        <f>_xlfn.XLOOKUP($I68,RazónMuerte!$A:$A,RazónMuerte!D:D,"",0)</f>
        <v>No clasificado</v>
      </c>
    </row>
    <row r="69" spans="1:12" x14ac:dyDescent="0.25">
      <c r="A69" t="s">
        <v>309</v>
      </c>
      <c r="B69" t="str">
        <f t="shared" si="3"/>
        <v>2</v>
      </c>
      <c r="C69" t="str">
        <f t="shared" si="4"/>
        <v>ABRIL</v>
      </c>
      <c r="D69" s="27">
        <v>45233</v>
      </c>
      <c r="E69" s="20">
        <v>45384</v>
      </c>
      <c r="F69" t="s">
        <v>310</v>
      </c>
      <c r="G69">
        <f t="shared" si="5"/>
        <v>3624</v>
      </c>
      <c r="H69" t="s">
        <v>311</v>
      </c>
      <c r="I69" t="s">
        <v>313</v>
      </c>
      <c r="J69" t="str">
        <f>_xlfn.XLOOKUP($I69,RazónMuerte!$A:$A,RazónMuerte!B:B,"",0)</f>
        <v>Fractura ósea</v>
      </c>
      <c r="K69" t="str">
        <f>_xlfn.XLOOKUP($I69,RazónMuerte!$A:$A,RazónMuerte!C:C,"",0)</f>
        <v>Rodilla / Carpal</v>
      </c>
      <c r="L69" t="str">
        <f>_xlfn.XLOOKUP($I69,RazónMuerte!$A:$A,RazónMuerte!D:D,"",0)</f>
        <v>Fatal injury</v>
      </c>
    </row>
    <row r="70" spans="1:12" x14ac:dyDescent="0.25">
      <c r="A70" t="s">
        <v>309</v>
      </c>
      <c r="B70" t="str">
        <f t="shared" si="3"/>
        <v>2</v>
      </c>
      <c r="C70" t="str">
        <f t="shared" si="4"/>
        <v>ABRIL</v>
      </c>
      <c r="D70" s="27">
        <v>45381</v>
      </c>
      <c r="E70" s="20">
        <v>45384</v>
      </c>
      <c r="F70" t="s">
        <v>96</v>
      </c>
      <c r="G70">
        <f t="shared" si="5"/>
        <v>72</v>
      </c>
      <c r="H70" t="s">
        <v>314</v>
      </c>
      <c r="I70" t="s">
        <v>78</v>
      </c>
      <c r="J70" t="str">
        <f>_xlfn.XLOOKUP($I70,RazónMuerte!$A:$A,RazónMuerte!B:B,"",0)</f>
        <v>Fractura ósea</v>
      </c>
      <c r="K70" t="str">
        <f>_xlfn.XLOOKUP($I70,RazónMuerte!$A:$A,RazónMuerte!C:C,"",0)</f>
        <v>Rodilla / Carpal</v>
      </c>
      <c r="L70" t="str">
        <f>_xlfn.XLOOKUP($I70,RazónMuerte!$A:$A,RazónMuerte!D:D,"",0)</f>
        <v>Fatal injury</v>
      </c>
    </row>
    <row r="71" spans="1:12" x14ac:dyDescent="0.25">
      <c r="A71" t="s">
        <v>309</v>
      </c>
      <c r="B71" t="str">
        <f t="shared" si="3"/>
        <v>2</v>
      </c>
      <c r="C71" t="str">
        <f t="shared" si="4"/>
        <v>ABRIL</v>
      </c>
      <c r="D71" s="31"/>
      <c r="E71" s="31">
        <v>45384</v>
      </c>
      <c r="F71" s="30" t="s">
        <v>116</v>
      </c>
      <c r="G71">
        <f t="shared" si="5"/>
        <v>1089216</v>
      </c>
      <c r="H71" s="30" t="s">
        <v>322</v>
      </c>
      <c r="I71" s="30" t="s">
        <v>321</v>
      </c>
      <c r="J71" t="str">
        <f>_xlfn.XLOOKUP($I71,RazónMuerte!$A:$A,RazónMuerte!B:B,"",0)</f>
        <v>Otras / No especificada</v>
      </c>
      <c r="K71">
        <f>_xlfn.XLOOKUP($I71,RazónMuerte!$A:$A,RazónMuerte!C:C,"",0)</f>
        <v>0</v>
      </c>
      <c r="L71" t="str">
        <f>_xlfn.XLOOKUP($I71,RazónMuerte!$A:$A,RazónMuerte!D:D,"",0)</f>
        <v>No clasificado</v>
      </c>
    </row>
    <row r="72" spans="1:12" x14ac:dyDescent="0.25">
      <c r="A72" t="s">
        <v>323</v>
      </c>
      <c r="B72" t="str">
        <f t="shared" si="3"/>
        <v>5</v>
      </c>
      <c r="C72" t="str">
        <f t="shared" si="4"/>
        <v>ABRIL</v>
      </c>
      <c r="D72" s="27">
        <v>45296</v>
      </c>
      <c r="E72" s="20">
        <v>45387</v>
      </c>
      <c r="F72" t="s">
        <v>71</v>
      </c>
      <c r="G72">
        <f t="shared" si="5"/>
        <v>2184</v>
      </c>
      <c r="H72" t="s">
        <v>324</v>
      </c>
      <c r="I72" t="s">
        <v>325</v>
      </c>
      <c r="J72" t="str">
        <f>_xlfn.XLOOKUP($I72,RazónMuerte!$A:$A,RazónMuerte!B:B,"",0)</f>
        <v>Fractura ósea</v>
      </c>
      <c r="K72" t="str">
        <f>_xlfn.XLOOKUP($I72,RazónMuerte!$A:$A,RazónMuerte!C:C,"",0)</f>
        <v>Rodilla / Carpal</v>
      </c>
      <c r="L72" t="str">
        <f>_xlfn.XLOOKUP($I72,RazónMuerte!$A:$A,RazónMuerte!D:D,"",0)</f>
        <v>Fatal injury</v>
      </c>
    </row>
    <row r="73" spans="1:12" x14ac:dyDescent="0.25">
      <c r="A73" t="s">
        <v>382</v>
      </c>
      <c r="B73" t="str">
        <f t="shared" si="3"/>
        <v>6</v>
      </c>
      <c r="C73" t="str">
        <f t="shared" si="4"/>
        <v>ABRIL</v>
      </c>
      <c r="D73" s="27">
        <v>45388</v>
      </c>
      <c r="E73" s="20">
        <v>45388</v>
      </c>
      <c r="F73" t="s">
        <v>383</v>
      </c>
      <c r="G73">
        <f t="shared" si="5"/>
        <v>0</v>
      </c>
      <c r="H73" t="s">
        <v>384</v>
      </c>
      <c r="I73" t="s">
        <v>385</v>
      </c>
      <c r="J73" t="str">
        <f>_xlfn.XLOOKUP($I73,RazónMuerte!$A:$A,RazónMuerte!B:B,"",0)</f>
        <v>Otras / No especificada</v>
      </c>
      <c r="K73">
        <f>_xlfn.XLOOKUP($I73,RazónMuerte!$A:$A,RazónMuerte!C:C,"",0)</f>
        <v>0</v>
      </c>
      <c r="L73" t="str">
        <f>_xlfn.XLOOKUP($I73,RazónMuerte!$A:$A,RazónMuerte!D:D,"",0)</f>
        <v>No clasificado</v>
      </c>
    </row>
    <row r="74" spans="1:12" x14ac:dyDescent="0.25">
      <c r="A74" t="s">
        <v>326</v>
      </c>
      <c r="B74" t="str">
        <f t="shared" si="3"/>
        <v>15</v>
      </c>
      <c r="C74" t="str">
        <f t="shared" si="4"/>
        <v>ABRIL</v>
      </c>
      <c r="D74" s="27">
        <v>45394</v>
      </c>
      <c r="E74" s="20">
        <v>45397</v>
      </c>
      <c r="F74" t="s">
        <v>10</v>
      </c>
      <c r="G74">
        <f t="shared" si="5"/>
        <v>72</v>
      </c>
      <c r="H74" t="s">
        <v>327</v>
      </c>
      <c r="I74" t="s">
        <v>78</v>
      </c>
      <c r="J74" t="str">
        <f>_xlfn.XLOOKUP($I74,RazónMuerte!$A:$A,RazónMuerte!B:B,"",0)</f>
        <v>Fractura ósea</v>
      </c>
      <c r="K74" t="str">
        <f>_xlfn.XLOOKUP($I74,RazónMuerte!$A:$A,RazónMuerte!C:C,"",0)</f>
        <v>Rodilla / Carpal</v>
      </c>
      <c r="L74" t="str">
        <f>_xlfn.XLOOKUP($I74,RazónMuerte!$A:$A,RazónMuerte!D:D,"",0)</f>
        <v>Fatal injury</v>
      </c>
    </row>
    <row r="75" spans="1:12" x14ac:dyDescent="0.25">
      <c r="A75" t="s">
        <v>328</v>
      </c>
      <c r="B75" t="str">
        <f t="shared" si="3"/>
        <v>19</v>
      </c>
      <c r="C75" t="str">
        <f t="shared" si="4"/>
        <v>ABRIL</v>
      </c>
      <c r="D75" s="27">
        <v>45400</v>
      </c>
      <c r="E75" s="20">
        <v>45401</v>
      </c>
      <c r="F75" t="s">
        <v>329</v>
      </c>
      <c r="G75">
        <f t="shared" si="5"/>
        <v>24</v>
      </c>
      <c r="H75" t="s">
        <v>330</v>
      </c>
      <c r="I75" t="s">
        <v>60</v>
      </c>
      <c r="J75" t="str">
        <f>_xlfn.XLOOKUP($I75,RazónMuerte!$A:$A,RazónMuerte!B:B,"",0)</f>
        <v>Fractura ósea</v>
      </c>
      <c r="K75" t="str">
        <f>_xlfn.XLOOKUP($I75,RazónMuerte!$A:$A,RazónMuerte!C:C,"",0)</f>
        <v>Caña / Cannon bone</v>
      </c>
      <c r="L75" t="str">
        <f>_xlfn.XLOOKUP($I75,RazónMuerte!$A:$A,RazónMuerte!D:D,"",0)</f>
        <v>Fatal injury</v>
      </c>
    </row>
    <row r="76" spans="1:12" x14ac:dyDescent="0.25">
      <c r="A76" t="s">
        <v>331</v>
      </c>
      <c r="B76" t="str">
        <f t="shared" si="3"/>
        <v>20</v>
      </c>
      <c r="C76" t="str">
        <f t="shared" si="4"/>
        <v>ABRIL</v>
      </c>
      <c r="D76" s="35">
        <v>45136</v>
      </c>
      <c r="E76" s="20">
        <v>45402</v>
      </c>
      <c r="F76" t="s">
        <v>332</v>
      </c>
      <c r="G76">
        <f t="shared" si="5"/>
        <v>6384</v>
      </c>
      <c r="H76" t="s">
        <v>333</v>
      </c>
      <c r="I76" t="s">
        <v>334</v>
      </c>
      <c r="J76" t="str">
        <f>_xlfn.XLOOKUP($I76,RazónMuerte!$A:$A,RazónMuerte!B:B,"",0)</f>
        <v>Otras / No especificada</v>
      </c>
      <c r="K76">
        <f>_xlfn.XLOOKUP($I76,RazónMuerte!$A:$A,RazónMuerte!C:C,"",0)</f>
        <v>0</v>
      </c>
      <c r="L76" t="str">
        <f>_xlfn.XLOOKUP($I76,RazónMuerte!$A:$A,RazónMuerte!D:D,"",0)</f>
        <v>No fatal injury (chronic/medical)</v>
      </c>
    </row>
    <row r="77" spans="1:12" x14ac:dyDescent="0.25">
      <c r="A77" t="s">
        <v>335</v>
      </c>
      <c r="B77" t="str">
        <f t="shared" si="3"/>
        <v>23</v>
      </c>
      <c r="C77" t="str">
        <f t="shared" si="4"/>
        <v>ABRIL</v>
      </c>
      <c r="D77" s="27">
        <v>45389</v>
      </c>
      <c r="E77" s="20">
        <v>45405</v>
      </c>
      <c r="F77" t="s">
        <v>6</v>
      </c>
      <c r="G77">
        <f t="shared" si="5"/>
        <v>384</v>
      </c>
      <c r="H77" t="s">
        <v>336</v>
      </c>
      <c r="I77" t="s">
        <v>337</v>
      </c>
      <c r="J77" t="str">
        <f>_xlfn.XLOOKUP($I77,RazónMuerte!$A:$A,RazónMuerte!B:B,"",0)</f>
        <v>Fractura ósea</v>
      </c>
      <c r="K77" t="str">
        <f>_xlfn.XLOOKUP($I77,RazónMuerte!$A:$A,RazónMuerte!C:C,"",0)</f>
        <v>Rodilla / Carpal</v>
      </c>
      <c r="L77" t="str">
        <f>_xlfn.XLOOKUP($I77,RazónMuerte!$A:$A,RazónMuerte!D:D,"",0)</f>
        <v>Fatal injury</v>
      </c>
    </row>
    <row r="78" spans="1:12" x14ac:dyDescent="0.25">
      <c r="A78" t="s">
        <v>338</v>
      </c>
      <c r="B78" t="str">
        <f t="shared" si="3"/>
        <v>26</v>
      </c>
      <c r="C78" t="str">
        <f t="shared" si="4"/>
        <v>ABRIL</v>
      </c>
      <c r="D78" s="27">
        <v>45351</v>
      </c>
      <c r="E78" s="20">
        <v>45408</v>
      </c>
      <c r="F78" t="s">
        <v>31</v>
      </c>
      <c r="G78">
        <f t="shared" si="5"/>
        <v>1368</v>
      </c>
      <c r="H78" t="s">
        <v>339</v>
      </c>
      <c r="I78" t="s">
        <v>340</v>
      </c>
      <c r="J78" t="str">
        <f>_xlfn.XLOOKUP($I78,RazónMuerte!$A:$A,RazónMuerte!B:B,"",0)</f>
        <v>Fractura ósea</v>
      </c>
      <c r="K78" t="str">
        <f>_xlfn.XLOOKUP($I78,RazónMuerte!$A:$A,RazónMuerte!C:C,"",0)</f>
        <v>Rodilla / Carpal</v>
      </c>
      <c r="L78" t="str">
        <f>_xlfn.XLOOKUP($I78,RazónMuerte!$A:$A,RazónMuerte!D:D,"",0)</f>
        <v>Fatal injury</v>
      </c>
    </row>
    <row r="79" spans="1:12" x14ac:dyDescent="0.25">
      <c r="A79" t="s">
        <v>343</v>
      </c>
      <c r="B79" t="str">
        <f t="shared" si="3"/>
        <v>27</v>
      </c>
      <c r="C79" t="str">
        <f t="shared" si="4"/>
        <v>ABRIL</v>
      </c>
      <c r="D79" s="27">
        <v>45409</v>
      </c>
      <c r="E79" s="20">
        <v>45409</v>
      </c>
      <c r="F79" t="s">
        <v>98</v>
      </c>
      <c r="G79">
        <f t="shared" si="5"/>
        <v>0</v>
      </c>
      <c r="H79" t="s">
        <v>344</v>
      </c>
      <c r="I79" t="s">
        <v>345</v>
      </c>
      <c r="J79" t="str">
        <f>_xlfn.XLOOKUP($I79,RazónMuerte!$A:$A,RazónMuerte!B:B,"",0)</f>
        <v>Fractura ósea</v>
      </c>
      <c r="K79" t="str">
        <f>_xlfn.XLOOKUP($I79,RazónMuerte!$A:$A,RazónMuerte!C:C,"",0)</f>
        <v>Sesamoideo</v>
      </c>
      <c r="L79" t="str">
        <f>_xlfn.XLOOKUP($I79,RazónMuerte!$A:$A,RazónMuerte!D:D,"",0)</f>
        <v>Fatal injury</v>
      </c>
    </row>
    <row r="80" spans="1:12" x14ac:dyDescent="0.25">
      <c r="A80" t="s">
        <v>341</v>
      </c>
      <c r="B80" t="str">
        <f t="shared" si="3"/>
        <v>29</v>
      </c>
      <c r="C80" t="str">
        <f t="shared" si="4"/>
        <v>ABRIL</v>
      </c>
      <c r="D80" s="31"/>
      <c r="E80" s="31">
        <v>45411</v>
      </c>
      <c r="F80" s="30" t="s">
        <v>53</v>
      </c>
      <c r="G80">
        <f t="shared" si="5"/>
        <v>1089864</v>
      </c>
      <c r="H80" s="30" t="s">
        <v>342</v>
      </c>
      <c r="I80" s="30" t="s">
        <v>78</v>
      </c>
      <c r="J80" t="str">
        <f>_xlfn.XLOOKUP($I80,RazónMuerte!$A:$A,RazónMuerte!B:B,"",0)</f>
        <v>Fractura ósea</v>
      </c>
      <c r="K80" t="str">
        <f>_xlfn.XLOOKUP($I80,RazónMuerte!$A:$A,RazónMuerte!C:C,"",0)</f>
        <v>Rodilla / Carpal</v>
      </c>
      <c r="L80" t="str">
        <f>_xlfn.XLOOKUP($I80,RazónMuerte!$A:$A,RazónMuerte!D:D,"",0)</f>
        <v>Fatal injury</v>
      </c>
    </row>
    <row r="81" spans="1:12" x14ac:dyDescent="0.25">
      <c r="A81" t="s">
        <v>346</v>
      </c>
      <c r="B81" t="str">
        <f t="shared" si="3"/>
        <v>1</v>
      </c>
      <c r="C81" t="str">
        <f t="shared" si="4"/>
        <v>MAYO</v>
      </c>
      <c r="D81" s="31"/>
      <c r="E81" s="31">
        <v>45413</v>
      </c>
      <c r="F81" s="30" t="s">
        <v>11</v>
      </c>
      <c r="G81">
        <f t="shared" si="5"/>
        <v>1089912</v>
      </c>
      <c r="H81" s="30" t="s">
        <v>347</v>
      </c>
      <c r="I81" s="30" t="s">
        <v>348</v>
      </c>
      <c r="J81" t="str">
        <f>_xlfn.XLOOKUP($I81,RazónMuerte!$A:$A,RazónMuerte!B:B,"",0)</f>
        <v>Otras / No especificada</v>
      </c>
      <c r="K81">
        <f>_xlfn.XLOOKUP($I81,RazónMuerte!$A:$A,RazónMuerte!C:C,"",0)</f>
        <v>0</v>
      </c>
      <c r="L81" t="str">
        <f>_xlfn.XLOOKUP($I81,RazónMuerte!$A:$A,RazónMuerte!D:D,"",0)</f>
        <v>No clasificado</v>
      </c>
    </row>
    <row r="82" spans="1:12" x14ac:dyDescent="0.25">
      <c r="A82" t="s">
        <v>346</v>
      </c>
      <c r="B82" t="str">
        <f t="shared" si="3"/>
        <v>1</v>
      </c>
      <c r="C82" t="str">
        <f t="shared" si="4"/>
        <v>MAYO</v>
      </c>
      <c r="D82" s="27">
        <v>45396</v>
      </c>
      <c r="E82" s="20">
        <v>45413</v>
      </c>
      <c r="F82" t="s">
        <v>349</v>
      </c>
      <c r="G82">
        <f t="shared" si="5"/>
        <v>408</v>
      </c>
      <c r="H82" t="s">
        <v>350</v>
      </c>
      <c r="I82" t="s">
        <v>351</v>
      </c>
      <c r="J82" t="str">
        <f>_xlfn.XLOOKUP($I82,RazónMuerte!$A:$A,RazónMuerte!B:B,"",0)</f>
        <v>Fractura ósea</v>
      </c>
      <c r="K82" t="str">
        <f>_xlfn.XLOOKUP($I82,RazónMuerte!$A:$A,RazónMuerte!C:C,"",0)</f>
        <v>No especificado</v>
      </c>
      <c r="L82" t="str">
        <f>_xlfn.XLOOKUP($I82,RazónMuerte!$A:$A,RazónMuerte!D:D,"",0)</f>
        <v>Fatal injury</v>
      </c>
    </row>
    <row r="83" spans="1:12" x14ac:dyDescent="0.25">
      <c r="A83" t="s">
        <v>346</v>
      </c>
      <c r="B83" t="str">
        <f t="shared" si="3"/>
        <v>1</v>
      </c>
      <c r="C83" t="str">
        <f t="shared" si="4"/>
        <v>MAYO</v>
      </c>
      <c r="D83" s="27">
        <v>45375</v>
      </c>
      <c r="E83" s="20">
        <v>45413</v>
      </c>
      <c r="F83" t="s">
        <v>353</v>
      </c>
      <c r="G83">
        <f t="shared" si="5"/>
        <v>912</v>
      </c>
      <c r="H83" t="s">
        <v>352</v>
      </c>
      <c r="I83" t="s">
        <v>354</v>
      </c>
      <c r="J83" t="str">
        <f>_xlfn.XLOOKUP($I83,RazónMuerte!$A:$A,RazónMuerte!B:B,"",0)</f>
        <v>Fractura ósea</v>
      </c>
      <c r="K83" t="str">
        <f>_xlfn.XLOOKUP($I83,RazónMuerte!$A:$A,RazónMuerte!C:C,"",0)</f>
        <v>Rodilla / Carpal</v>
      </c>
      <c r="L83" t="str">
        <f>_xlfn.XLOOKUP($I83,RazónMuerte!$A:$A,RazónMuerte!D:D,"",0)</f>
        <v>Fatal injury</v>
      </c>
    </row>
    <row r="84" spans="1:12" x14ac:dyDescent="0.25">
      <c r="A84" t="s">
        <v>355</v>
      </c>
      <c r="B84" t="str">
        <f t="shared" si="3"/>
        <v>3</v>
      </c>
      <c r="C84" t="str">
        <f t="shared" si="4"/>
        <v>MAYO</v>
      </c>
      <c r="D84" s="27">
        <v>45414</v>
      </c>
      <c r="E84" s="20">
        <v>45415</v>
      </c>
      <c r="F84" t="s">
        <v>356</v>
      </c>
      <c r="G84">
        <f t="shared" si="5"/>
        <v>24</v>
      </c>
      <c r="H84" t="s">
        <v>357</v>
      </c>
      <c r="I84" t="s">
        <v>358</v>
      </c>
      <c r="J84" t="str">
        <f>_xlfn.XLOOKUP($I84,RazónMuerte!$A:$A,RazónMuerte!B:B,"",0)</f>
        <v>Otras / No especificada</v>
      </c>
      <c r="K84">
        <f>_xlfn.XLOOKUP($I84,RazónMuerte!$A:$A,RazónMuerte!C:C,"",0)</f>
        <v>0</v>
      </c>
      <c r="L84" t="str">
        <f>_xlfn.XLOOKUP($I84,RazónMuerte!$A:$A,RazónMuerte!D:D,"",0)</f>
        <v>No clasificado</v>
      </c>
    </row>
    <row r="85" spans="1:12" x14ac:dyDescent="0.25">
      <c r="A85" t="s">
        <v>359</v>
      </c>
      <c r="B85" t="str">
        <f t="shared" si="3"/>
        <v>4</v>
      </c>
      <c r="C85" t="str">
        <f t="shared" si="4"/>
        <v>MAYO</v>
      </c>
      <c r="D85" s="27">
        <v>45158</v>
      </c>
      <c r="E85" s="20">
        <v>45416</v>
      </c>
      <c r="F85" t="s">
        <v>360</v>
      </c>
      <c r="G85">
        <f t="shared" si="5"/>
        <v>6192</v>
      </c>
      <c r="H85" t="s">
        <v>361</v>
      </c>
      <c r="I85" t="s">
        <v>362</v>
      </c>
      <c r="J85" t="str">
        <f>_xlfn.XLOOKUP($I85,RazónMuerte!$A:$A,RazónMuerte!B:B,"",0)</f>
        <v>Otras / No especificada</v>
      </c>
      <c r="K85">
        <f>_xlfn.XLOOKUP($I85,RazónMuerte!$A:$A,RazónMuerte!C:C,"",0)</f>
        <v>0</v>
      </c>
      <c r="L85" t="str">
        <f>_xlfn.XLOOKUP($I85,RazónMuerte!$A:$A,RazónMuerte!D:D,"",0)</f>
        <v>No clasificado</v>
      </c>
    </row>
    <row r="86" spans="1:12" x14ac:dyDescent="0.25">
      <c r="A86" t="s">
        <v>363</v>
      </c>
      <c r="B86" t="str">
        <f t="shared" si="3"/>
        <v>6</v>
      </c>
      <c r="C86" t="str">
        <f t="shared" si="4"/>
        <v>MAYO</v>
      </c>
      <c r="D86" s="31"/>
      <c r="E86" s="31">
        <v>45418</v>
      </c>
      <c r="F86" s="30" t="s">
        <v>155</v>
      </c>
      <c r="G86">
        <f t="shared" si="5"/>
        <v>1090032</v>
      </c>
      <c r="H86" s="30" t="s">
        <v>364</v>
      </c>
      <c r="I86" s="30" t="s">
        <v>365</v>
      </c>
      <c r="J86" t="str">
        <f>_xlfn.XLOOKUP($I86,RazónMuerte!$A:$A,RazónMuerte!B:B,"",0)</f>
        <v>Fractura ósea</v>
      </c>
      <c r="K86" t="str">
        <f>_xlfn.XLOOKUP($I86,RazónMuerte!$A:$A,RazónMuerte!C:C,"",0)</f>
        <v>No especificado</v>
      </c>
      <c r="L86" t="str">
        <f>_xlfn.XLOOKUP($I86,RazónMuerte!$A:$A,RazónMuerte!D:D,"",0)</f>
        <v>Fatal injury</v>
      </c>
    </row>
    <row r="87" spans="1:12" x14ac:dyDescent="0.25">
      <c r="A87" t="s">
        <v>363</v>
      </c>
      <c r="B87" t="str">
        <f t="shared" si="3"/>
        <v>6</v>
      </c>
      <c r="C87" t="str">
        <f t="shared" si="4"/>
        <v>MAYO</v>
      </c>
      <c r="D87" s="27">
        <v>45401</v>
      </c>
      <c r="E87" s="20">
        <v>45418</v>
      </c>
      <c r="F87" t="s">
        <v>124</v>
      </c>
      <c r="G87">
        <f t="shared" si="5"/>
        <v>408</v>
      </c>
      <c r="H87" t="s">
        <v>366</v>
      </c>
      <c r="I87" t="s">
        <v>367</v>
      </c>
      <c r="J87" t="str">
        <f>_xlfn.XLOOKUP($I87,RazónMuerte!$A:$A,RazónMuerte!B:B,"",0)</f>
        <v>Fractura ósea</v>
      </c>
      <c r="K87" t="str">
        <f>_xlfn.XLOOKUP($I87,RazónMuerte!$A:$A,RazónMuerte!C:C,"",0)</f>
        <v>Rodilla / Carpal</v>
      </c>
      <c r="L87" t="str">
        <f>_xlfn.XLOOKUP($I87,RazónMuerte!$A:$A,RazónMuerte!D:D,"",0)</f>
        <v>Fatal injury</v>
      </c>
    </row>
    <row r="88" spans="1:12" x14ac:dyDescent="0.25">
      <c r="A88" t="s">
        <v>371</v>
      </c>
      <c r="B88" t="str">
        <f t="shared" si="3"/>
        <v>7</v>
      </c>
      <c r="C88" t="str">
        <f t="shared" si="4"/>
        <v>MAYO</v>
      </c>
      <c r="D88" s="27">
        <v>45337</v>
      </c>
      <c r="E88" s="20">
        <v>45419</v>
      </c>
      <c r="F88" t="s">
        <v>368</v>
      </c>
      <c r="G88">
        <f t="shared" si="5"/>
        <v>1968</v>
      </c>
      <c r="H88" t="s">
        <v>369</v>
      </c>
      <c r="I88" t="s">
        <v>370</v>
      </c>
      <c r="J88" t="str">
        <f>_xlfn.XLOOKUP($I88,RazónMuerte!$A:$A,RazónMuerte!B:B,"",0)</f>
        <v>Enfermedad degenerativa articular</v>
      </c>
      <c r="K88">
        <f>_xlfn.XLOOKUP($I88,RazónMuerte!$A:$A,RazónMuerte!C:C,"",0)</f>
        <v>0</v>
      </c>
      <c r="L88" t="str">
        <f>_xlfn.XLOOKUP($I88,RazónMuerte!$A:$A,RazónMuerte!D:D,"",0)</f>
        <v>No fatal injury (chronic/medical)</v>
      </c>
    </row>
    <row r="89" spans="1:12" x14ac:dyDescent="0.25">
      <c r="A89" t="s">
        <v>371</v>
      </c>
      <c r="B89" t="str">
        <f t="shared" si="3"/>
        <v>7</v>
      </c>
      <c r="C89" t="str">
        <f t="shared" si="4"/>
        <v>MAYO</v>
      </c>
      <c r="D89" s="27">
        <v>45409</v>
      </c>
      <c r="E89" s="20">
        <v>45419</v>
      </c>
      <c r="F89" t="s">
        <v>43</v>
      </c>
      <c r="G89">
        <f t="shared" si="5"/>
        <v>240</v>
      </c>
      <c r="H89" t="s">
        <v>372</v>
      </c>
      <c r="I89" t="s">
        <v>373</v>
      </c>
      <c r="J89" t="str">
        <f>_xlfn.XLOOKUP($I89,RazónMuerte!$A:$A,RazónMuerte!B:B,"",0)</f>
        <v>Fractura ósea</v>
      </c>
      <c r="K89" t="str">
        <f>_xlfn.XLOOKUP($I89,RazónMuerte!$A:$A,RazónMuerte!C:C,"",0)</f>
        <v>Caña / Cannon bone</v>
      </c>
      <c r="L89" t="str">
        <f>_xlfn.XLOOKUP($I89,RazónMuerte!$A:$A,RazónMuerte!D:D,"",0)</f>
        <v>Fatal injury</v>
      </c>
    </row>
    <row r="90" spans="1:12" x14ac:dyDescent="0.25">
      <c r="A90" t="s">
        <v>371</v>
      </c>
      <c r="B90" t="str">
        <f t="shared" si="3"/>
        <v>7</v>
      </c>
      <c r="C90" t="str">
        <f t="shared" si="4"/>
        <v>MAYO</v>
      </c>
      <c r="D90" s="27">
        <v>45416</v>
      </c>
      <c r="E90" s="20">
        <v>45419</v>
      </c>
      <c r="F90" t="s">
        <v>110</v>
      </c>
      <c r="G90">
        <f t="shared" si="5"/>
        <v>72</v>
      </c>
      <c r="H90" t="s">
        <v>375</v>
      </c>
      <c r="I90" t="s">
        <v>374</v>
      </c>
      <c r="J90" t="str">
        <f>_xlfn.XLOOKUP($I90,RazónMuerte!$A:$A,RazónMuerte!B:B,"",0)</f>
        <v>Enfermedad degenerativa articular</v>
      </c>
      <c r="K90">
        <f>_xlfn.XLOOKUP($I90,RazónMuerte!$A:$A,RazónMuerte!C:C,"",0)</f>
        <v>0</v>
      </c>
      <c r="L90" t="str">
        <f>_xlfn.XLOOKUP($I90,RazónMuerte!$A:$A,RazónMuerte!D:D,"",0)</f>
        <v>Fatal injury</v>
      </c>
    </row>
    <row r="91" spans="1:12" x14ac:dyDescent="0.25">
      <c r="A91" t="s">
        <v>376</v>
      </c>
      <c r="B91" t="str">
        <f t="shared" si="3"/>
        <v>10</v>
      </c>
      <c r="C91" t="str">
        <f t="shared" si="4"/>
        <v>MAYO</v>
      </c>
      <c r="D91" s="27">
        <v>45416</v>
      </c>
      <c r="E91" s="20">
        <v>45422</v>
      </c>
      <c r="F91" t="s">
        <v>377</v>
      </c>
      <c r="G91">
        <f t="shared" si="5"/>
        <v>144</v>
      </c>
      <c r="H91" t="s">
        <v>378</v>
      </c>
      <c r="I91" t="s">
        <v>379</v>
      </c>
      <c r="J91" t="str">
        <f>_xlfn.XLOOKUP($I91,RazónMuerte!$A:$A,RazónMuerte!B:B,"",0)</f>
        <v>Fractura ósea</v>
      </c>
      <c r="K91" t="str">
        <f>_xlfn.XLOOKUP($I91,RazónMuerte!$A:$A,RazónMuerte!C:C,"",0)</f>
        <v>Sesamoideo</v>
      </c>
      <c r="L91" t="str">
        <f>_xlfn.XLOOKUP($I91,RazónMuerte!$A:$A,RazónMuerte!D:D,"",0)</f>
        <v>Fatal injury</v>
      </c>
    </row>
    <row r="92" spans="1:12" x14ac:dyDescent="0.25">
      <c r="A92" t="s">
        <v>376</v>
      </c>
      <c r="B92" t="str">
        <f t="shared" si="3"/>
        <v>10</v>
      </c>
      <c r="C92" t="str">
        <f t="shared" si="4"/>
        <v>MAYO</v>
      </c>
      <c r="D92" s="27">
        <v>45421</v>
      </c>
      <c r="E92" s="20">
        <v>45422</v>
      </c>
      <c r="F92" t="s">
        <v>89</v>
      </c>
      <c r="G92">
        <f t="shared" si="5"/>
        <v>24</v>
      </c>
      <c r="H92" t="s">
        <v>380</v>
      </c>
      <c r="I92" t="s">
        <v>381</v>
      </c>
      <c r="J92" t="str">
        <f>_xlfn.XLOOKUP($I92,RazónMuerte!$A:$A,RazónMuerte!B:B,"",0)</f>
        <v>Fractura ósea</v>
      </c>
      <c r="K92" t="str">
        <f>_xlfn.XLOOKUP($I92,RazónMuerte!$A:$A,RazónMuerte!C:C,"",0)</f>
        <v>Sesamoideo</v>
      </c>
      <c r="L92" t="str">
        <f>_xlfn.XLOOKUP($I92,RazónMuerte!$A:$A,RazónMuerte!D:D,"",0)</f>
        <v>Fatal injury</v>
      </c>
    </row>
    <row r="93" spans="1:12" x14ac:dyDescent="0.25">
      <c r="A93" t="s">
        <v>386</v>
      </c>
      <c r="B93" t="str">
        <f t="shared" si="3"/>
        <v>11</v>
      </c>
      <c r="C93" t="str">
        <f t="shared" si="4"/>
        <v>MAYO</v>
      </c>
      <c r="D93" s="27">
        <v>45421</v>
      </c>
      <c r="E93" s="20">
        <v>45423</v>
      </c>
      <c r="F93" t="s">
        <v>387</v>
      </c>
      <c r="G93">
        <f t="shared" si="5"/>
        <v>48</v>
      </c>
      <c r="H93" t="s">
        <v>388</v>
      </c>
      <c r="I93" t="s">
        <v>78</v>
      </c>
      <c r="J93" t="str">
        <f>_xlfn.XLOOKUP($I93,RazónMuerte!$A:$A,RazónMuerte!B:B,"",0)</f>
        <v>Fractura ósea</v>
      </c>
      <c r="K93" t="str">
        <f>_xlfn.XLOOKUP($I93,RazónMuerte!$A:$A,RazónMuerte!C:C,"",0)</f>
        <v>Rodilla / Carpal</v>
      </c>
      <c r="L93" t="str">
        <f>_xlfn.XLOOKUP($I93,RazónMuerte!$A:$A,RazónMuerte!D:D,"",0)</f>
        <v>Fatal injury</v>
      </c>
    </row>
    <row r="94" spans="1:12" x14ac:dyDescent="0.25">
      <c r="A94" t="s">
        <v>386</v>
      </c>
      <c r="B94" t="str">
        <f t="shared" si="3"/>
        <v>11</v>
      </c>
      <c r="C94" t="str">
        <f t="shared" si="4"/>
        <v>MAYO</v>
      </c>
      <c r="D94" s="27">
        <v>45422</v>
      </c>
      <c r="E94" s="20">
        <v>45423</v>
      </c>
      <c r="F94" t="s">
        <v>389</v>
      </c>
      <c r="G94">
        <f t="shared" si="5"/>
        <v>24</v>
      </c>
      <c r="H94" t="s">
        <v>390</v>
      </c>
      <c r="I94" t="s">
        <v>391</v>
      </c>
      <c r="J94" t="str">
        <f>_xlfn.XLOOKUP($I94,RazónMuerte!$A:$A,RazónMuerte!B:B,"",0)</f>
        <v>Fractura ósea</v>
      </c>
      <c r="K94" t="str">
        <f>_xlfn.XLOOKUP($I94,RazónMuerte!$A:$A,RazónMuerte!C:C,"",0)</f>
        <v>No especificado</v>
      </c>
      <c r="L94" t="str">
        <f>_xlfn.XLOOKUP($I94,RazónMuerte!$A:$A,RazónMuerte!D:D,"",0)</f>
        <v>Fatal injury</v>
      </c>
    </row>
    <row r="95" spans="1:12" x14ac:dyDescent="0.25">
      <c r="A95" t="s">
        <v>386</v>
      </c>
      <c r="B95" t="str">
        <f t="shared" si="3"/>
        <v>11</v>
      </c>
      <c r="C95" t="str">
        <f t="shared" si="4"/>
        <v>MAYO</v>
      </c>
      <c r="D95" s="27">
        <v>45346</v>
      </c>
      <c r="E95" s="20">
        <v>45423</v>
      </c>
      <c r="F95" t="s">
        <v>392</v>
      </c>
      <c r="G95">
        <f t="shared" si="5"/>
        <v>1848</v>
      </c>
      <c r="H95" t="s">
        <v>393</v>
      </c>
      <c r="I95" t="s">
        <v>394</v>
      </c>
      <c r="J95" t="str">
        <f>_xlfn.XLOOKUP($I95,RazónMuerte!$A:$A,RazónMuerte!B:B,"",0)</f>
        <v>Fractura ósea</v>
      </c>
      <c r="K95" t="str">
        <f>_xlfn.XLOOKUP($I95,RazónMuerte!$A:$A,RazónMuerte!C:C,"",0)</f>
        <v>Sesamoideo</v>
      </c>
      <c r="L95" t="str">
        <f>_xlfn.XLOOKUP($I95,RazónMuerte!$A:$A,RazónMuerte!D:D,"",0)</f>
        <v>Fatal injury</v>
      </c>
    </row>
    <row r="96" spans="1:12" x14ac:dyDescent="0.25">
      <c r="A96" t="s">
        <v>395</v>
      </c>
      <c r="B96" t="str">
        <f t="shared" si="3"/>
        <v>15</v>
      </c>
      <c r="C96" t="str">
        <f t="shared" si="4"/>
        <v>MAYO</v>
      </c>
      <c r="D96" s="27">
        <v>45368</v>
      </c>
      <c r="E96" s="20">
        <v>45427</v>
      </c>
      <c r="F96" t="s">
        <v>396</v>
      </c>
      <c r="G96">
        <f t="shared" si="5"/>
        <v>1416</v>
      </c>
      <c r="H96" t="s">
        <v>397</v>
      </c>
      <c r="I96" t="s">
        <v>78</v>
      </c>
      <c r="J96" t="str">
        <f>_xlfn.XLOOKUP($I96,RazónMuerte!$A:$A,RazónMuerte!B:B,"",0)</f>
        <v>Fractura ósea</v>
      </c>
      <c r="K96" t="str">
        <f>_xlfn.XLOOKUP($I96,RazónMuerte!$A:$A,RazónMuerte!C:C,"",0)</f>
        <v>Rodilla / Carpal</v>
      </c>
      <c r="L96" t="str">
        <f>_xlfn.XLOOKUP($I96,RazónMuerte!$A:$A,RazónMuerte!D:D,"",0)</f>
        <v>Fatal injury</v>
      </c>
    </row>
    <row r="97" spans="1:12" x14ac:dyDescent="0.25">
      <c r="A97" t="s">
        <v>395</v>
      </c>
      <c r="B97" t="str">
        <f t="shared" si="3"/>
        <v>15</v>
      </c>
      <c r="C97" t="str">
        <f t="shared" si="4"/>
        <v>MAYO</v>
      </c>
      <c r="D97" s="27">
        <v>45262</v>
      </c>
      <c r="E97" s="20">
        <v>45427</v>
      </c>
      <c r="F97" t="s">
        <v>51</v>
      </c>
      <c r="G97">
        <f t="shared" si="5"/>
        <v>3960</v>
      </c>
      <c r="H97" t="s">
        <v>399</v>
      </c>
      <c r="I97" t="s">
        <v>398</v>
      </c>
      <c r="J97" t="str">
        <f>_xlfn.XLOOKUP($I97,RazónMuerte!$A:$A,RazónMuerte!B:B,"",0)</f>
        <v>Fractura ósea</v>
      </c>
      <c r="K97" t="str">
        <f>_xlfn.XLOOKUP($I97,RazónMuerte!$A:$A,RazónMuerte!C:C,"",0)</f>
        <v>Rodilla / Carpal</v>
      </c>
      <c r="L97" t="str">
        <f>_xlfn.XLOOKUP($I97,RazónMuerte!$A:$A,RazónMuerte!D:D,"",0)</f>
        <v>Fatal injury</v>
      </c>
    </row>
    <row r="98" spans="1:12" x14ac:dyDescent="0.25">
      <c r="A98" t="s">
        <v>400</v>
      </c>
      <c r="B98" t="str">
        <f t="shared" si="3"/>
        <v>17</v>
      </c>
      <c r="C98" t="str">
        <f t="shared" si="4"/>
        <v>MAYO</v>
      </c>
      <c r="D98" s="27">
        <v>45402</v>
      </c>
      <c r="E98" s="20">
        <v>45429</v>
      </c>
      <c r="F98" t="s">
        <v>31</v>
      </c>
      <c r="G98">
        <f t="shared" si="5"/>
        <v>648</v>
      </c>
      <c r="H98" t="s">
        <v>401</v>
      </c>
      <c r="I98" t="s">
        <v>402</v>
      </c>
      <c r="J98" t="str">
        <f>_xlfn.XLOOKUP($I98,RazónMuerte!$A:$A,RazónMuerte!B:B,"",0)</f>
        <v>Otras / No especificada</v>
      </c>
      <c r="K98">
        <f>_xlfn.XLOOKUP($I98,RazónMuerte!$A:$A,RazónMuerte!C:C,"",0)</f>
        <v>0</v>
      </c>
      <c r="L98" t="str">
        <f>_xlfn.XLOOKUP($I98,RazónMuerte!$A:$A,RazónMuerte!D:D,"",0)</f>
        <v>Fatal injury</v>
      </c>
    </row>
    <row r="99" spans="1:12" x14ac:dyDescent="0.25">
      <c r="A99" t="s">
        <v>400</v>
      </c>
      <c r="B99" t="str">
        <f t="shared" si="3"/>
        <v>17</v>
      </c>
      <c r="C99" t="str">
        <f t="shared" si="4"/>
        <v>MAYO</v>
      </c>
      <c r="D99" s="27">
        <v>45407</v>
      </c>
      <c r="E99" s="20">
        <v>45429</v>
      </c>
      <c r="F99" t="s">
        <v>62</v>
      </c>
      <c r="G99">
        <f t="shared" si="5"/>
        <v>528</v>
      </c>
      <c r="H99" t="s">
        <v>403</v>
      </c>
      <c r="I99" t="s">
        <v>78</v>
      </c>
      <c r="J99" t="str">
        <f>_xlfn.XLOOKUP($I99,RazónMuerte!$A:$A,RazónMuerte!B:B,"",0)</f>
        <v>Fractura ósea</v>
      </c>
      <c r="K99" t="str">
        <f>_xlfn.XLOOKUP($I99,RazónMuerte!$A:$A,RazónMuerte!C:C,"",0)</f>
        <v>Rodilla / Carpal</v>
      </c>
      <c r="L99" t="str">
        <f>_xlfn.XLOOKUP($I99,RazónMuerte!$A:$A,RazónMuerte!D:D,"",0)</f>
        <v>Fatal injury</v>
      </c>
    </row>
    <row r="100" spans="1:12" x14ac:dyDescent="0.25">
      <c r="A100" t="s">
        <v>400</v>
      </c>
      <c r="B100" t="str">
        <f t="shared" si="3"/>
        <v>17</v>
      </c>
      <c r="C100" t="str">
        <f t="shared" si="4"/>
        <v>MAYO</v>
      </c>
      <c r="D100" s="31"/>
      <c r="E100" s="31">
        <v>45429</v>
      </c>
      <c r="F100" s="30" t="s">
        <v>5</v>
      </c>
      <c r="G100">
        <f t="shared" si="5"/>
        <v>1090296</v>
      </c>
      <c r="H100" s="30" t="s">
        <v>404</v>
      </c>
      <c r="I100" s="30" t="s">
        <v>405</v>
      </c>
      <c r="J100" t="str">
        <f>_xlfn.XLOOKUP($I100,RazónMuerte!$A:$A,RazónMuerte!B:B,"",0)</f>
        <v>Otras / No especificada</v>
      </c>
      <c r="K100">
        <f>_xlfn.XLOOKUP($I100,RazónMuerte!$A:$A,RazónMuerte!C:C,"",0)</f>
        <v>0</v>
      </c>
      <c r="L100" t="str">
        <f>_xlfn.XLOOKUP($I100,RazónMuerte!$A:$A,RazónMuerte!D:D,"",0)</f>
        <v>No clasificado</v>
      </c>
    </row>
    <row r="101" spans="1:12" x14ac:dyDescent="0.25">
      <c r="A101" t="s">
        <v>400</v>
      </c>
      <c r="B101" t="str">
        <f t="shared" si="3"/>
        <v>17</v>
      </c>
      <c r="C101" t="str">
        <f t="shared" si="4"/>
        <v>MAYO</v>
      </c>
      <c r="D101" s="31"/>
      <c r="E101" s="31">
        <v>45429</v>
      </c>
      <c r="F101" s="30" t="s">
        <v>155</v>
      </c>
      <c r="G101">
        <f t="shared" si="5"/>
        <v>1090296</v>
      </c>
      <c r="H101" s="30" t="s">
        <v>412</v>
      </c>
      <c r="I101" s="30" t="s">
        <v>413</v>
      </c>
      <c r="J101" t="str">
        <f>_xlfn.XLOOKUP($I101,RazónMuerte!$A:$A,RazónMuerte!B:B,"",0)</f>
        <v>Fractura ósea</v>
      </c>
      <c r="K101" t="str">
        <f>_xlfn.XLOOKUP($I101,RazónMuerte!$A:$A,RazónMuerte!C:C,"",0)</f>
        <v>Caña / Cannon bone</v>
      </c>
      <c r="L101" t="str">
        <f>_xlfn.XLOOKUP($I101,RazónMuerte!$A:$A,RazónMuerte!D:D,"",0)</f>
        <v>Fatal injury</v>
      </c>
    </row>
    <row r="102" spans="1:12" x14ac:dyDescent="0.25">
      <c r="A102" t="s">
        <v>406</v>
      </c>
      <c r="B102" t="str">
        <f t="shared" si="3"/>
        <v>20</v>
      </c>
      <c r="C102" t="str">
        <f t="shared" si="4"/>
        <v>MAYO</v>
      </c>
      <c r="D102" s="27">
        <v>45323</v>
      </c>
      <c r="E102" s="20">
        <v>45432</v>
      </c>
      <c r="F102" t="s">
        <v>407</v>
      </c>
      <c r="G102">
        <f t="shared" si="5"/>
        <v>2616</v>
      </c>
      <c r="H102" t="s">
        <v>408</v>
      </c>
      <c r="I102" t="s">
        <v>409</v>
      </c>
      <c r="J102" t="str">
        <f>_xlfn.XLOOKUP($I102,RazónMuerte!$A:$A,RazónMuerte!B:B,"",0)</f>
        <v>Otras / No especificada</v>
      </c>
      <c r="K102">
        <f>_xlfn.XLOOKUP($I102,RazónMuerte!$A:$A,RazónMuerte!C:C,"",0)</f>
        <v>0</v>
      </c>
      <c r="L102" t="str">
        <f>_xlfn.XLOOKUP($I102,RazónMuerte!$A:$A,RazónMuerte!D:D,"",0)</f>
        <v>No fatal injury (chronic/medical)</v>
      </c>
    </row>
    <row r="103" spans="1:12" x14ac:dyDescent="0.25">
      <c r="A103" t="s">
        <v>406</v>
      </c>
      <c r="B103" t="str">
        <f t="shared" si="3"/>
        <v>20</v>
      </c>
      <c r="C103" t="str">
        <f t="shared" si="4"/>
        <v>MAYO</v>
      </c>
      <c r="D103" s="27">
        <v>44836</v>
      </c>
      <c r="E103" s="20">
        <v>45432</v>
      </c>
      <c r="F103" t="s">
        <v>11</v>
      </c>
      <c r="G103">
        <f t="shared" si="5"/>
        <v>14304</v>
      </c>
      <c r="H103" t="s">
        <v>410</v>
      </c>
      <c r="I103" t="s">
        <v>411</v>
      </c>
      <c r="J103" t="str">
        <f>_xlfn.XLOOKUP($I103,RazónMuerte!$A:$A,RazónMuerte!B:B,"",0)</f>
        <v>Otras / No especificada</v>
      </c>
      <c r="K103">
        <f>_xlfn.XLOOKUP($I103,RazónMuerte!$A:$A,RazónMuerte!C:C,"",0)</f>
        <v>0</v>
      </c>
      <c r="L103" t="str">
        <f>_xlfn.XLOOKUP($I103,RazónMuerte!$A:$A,RazónMuerte!D:D,"",0)</f>
        <v>No clasificado</v>
      </c>
    </row>
    <row r="104" spans="1:12" x14ac:dyDescent="0.25">
      <c r="A104" t="s">
        <v>422</v>
      </c>
      <c r="B104" t="str">
        <f t="shared" si="3"/>
        <v>22</v>
      </c>
      <c r="C104" t="str">
        <f t="shared" si="4"/>
        <v>MAYO</v>
      </c>
      <c r="D104" s="31"/>
      <c r="E104" s="31">
        <v>45434</v>
      </c>
      <c r="F104" s="30" t="s">
        <v>423</v>
      </c>
      <c r="G104">
        <f t="shared" si="5"/>
        <v>1090416</v>
      </c>
      <c r="H104" s="30" t="s">
        <v>424</v>
      </c>
      <c r="I104" s="30" t="s">
        <v>425</v>
      </c>
      <c r="J104" t="str">
        <f>_xlfn.XLOOKUP($I104,RazónMuerte!$A:$A,RazónMuerte!B:B,"",0)</f>
        <v>Lesión de ligamentos/tendones</v>
      </c>
      <c r="K104">
        <f>_xlfn.XLOOKUP($I104,RazónMuerte!$A:$A,RazónMuerte!C:C,"",0)</f>
        <v>0</v>
      </c>
      <c r="L104" t="str">
        <f>_xlfn.XLOOKUP($I104,RazónMuerte!$A:$A,RazónMuerte!D:D,"",0)</f>
        <v>Fatal injury</v>
      </c>
    </row>
    <row r="105" spans="1:12" x14ac:dyDescent="0.25">
      <c r="A105" t="s">
        <v>414</v>
      </c>
      <c r="B105" t="str">
        <f t="shared" si="3"/>
        <v>27</v>
      </c>
      <c r="C105" t="str">
        <f t="shared" si="4"/>
        <v>MAYO</v>
      </c>
      <c r="D105" s="27">
        <v>45435</v>
      </c>
      <c r="E105" s="20">
        <v>45439</v>
      </c>
      <c r="F105" t="s">
        <v>415</v>
      </c>
      <c r="G105">
        <f t="shared" si="5"/>
        <v>96</v>
      </c>
      <c r="H105" t="s">
        <v>416</v>
      </c>
      <c r="I105" t="s">
        <v>417</v>
      </c>
      <c r="J105" t="str">
        <f>_xlfn.XLOOKUP($I105,RazónMuerte!$A:$A,RazónMuerte!B:B,"",0)</f>
        <v>Lesión de ligamentos/tendones</v>
      </c>
      <c r="K105">
        <f>_xlfn.XLOOKUP($I105,RazónMuerte!$A:$A,RazónMuerte!C:C,"",0)</f>
        <v>0</v>
      </c>
      <c r="L105" t="str">
        <f>_xlfn.XLOOKUP($I105,RazónMuerte!$A:$A,RazónMuerte!D:D,"",0)</f>
        <v>No clasificado</v>
      </c>
    </row>
    <row r="106" spans="1:12" x14ac:dyDescent="0.25">
      <c r="A106" t="s">
        <v>414</v>
      </c>
      <c r="B106" t="str">
        <f t="shared" si="3"/>
        <v>27</v>
      </c>
      <c r="C106" t="str">
        <f t="shared" si="4"/>
        <v>MAYO</v>
      </c>
      <c r="D106" s="27">
        <v>45393</v>
      </c>
      <c r="E106" s="20">
        <v>45439</v>
      </c>
      <c r="F106" t="s">
        <v>31</v>
      </c>
      <c r="G106">
        <f t="shared" si="5"/>
        <v>1104</v>
      </c>
      <c r="H106" t="s">
        <v>418</v>
      </c>
      <c r="I106" t="s">
        <v>419</v>
      </c>
      <c r="J106" t="str">
        <f>_xlfn.XLOOKUP($I106,RazónMuerte!$A:$A,RazónMuerte!B:B,"",0)</f>
        <v>Fractura ósea</v>
      </c>
      <c r="K106" t="str">
        <f>_xlfn.XLOOKUP($I106,RazónMuerte!$A:$A,RazónMuerte!C:C,"",0)</f>
        <v>Rodilla / Carpal</v>
      </c>
      <c r="L106" t="str">
        <f>_xlfn.XLOOKUP($I106,RazónMuerte!$A:$A,RazónMuerte!D:D,"",0)</f>
        <v>Fatal injury</v>
      </c>
    </row>
    <row r="107" spans="1:12" x14ac:dyDescent="0.25">
      <c r="A107" t="s">
        <v>414</v>
      </c>
      <c r="B107" t="str">
        <f t="shared" si="3"/>
        <v>27</v>
      </c>
      <c r="C107" t="str">
        <f t="shared" si="4"/>
        <v>MAYO</v>
      </c>
      <c r="D107" s="27">
        <v>45341</v>
      </c>
      <c r="E107" s="20">
        <v>45439</v>
      </c>
      <c r="F107" t="s">
        <v>159</v>
      </c>
      <c r="G107">
        <f t="shared" si="5"/>
        <v>2352</v>
      </c>
      <c r="H107" t="s">
        <v>420</v>
      </c>
      <c r="I107" t="s">
        <v>421</v>
      </c>
      <c r="J107" t="str">
        <f>_xlfn.XLOOKUP($I107,RazónMuerte!$A:$A,RazónMuerte!B:B,"",0)</f>
        <v>Otras / No especificada</v>
      </c>
      <c r="K107">
        <f>_xlfn.XLOOKUP($I107,RazónMuerte!$A:$A,RazónMuerte!C:C,"",0)</f>
        <v>0</v>
      </c>
      <c r="L107" t="str">
        <f>_xlfn.XLOOKUP($I107,RazónMuerte!$A:$A,RazónMuerte!D:D,"",0)</f>
        <v>No clasificado</v>
      </c>
    </row>
    <row r="108" spans="1:12" x14ac:dyDescent="0.25">
      <c r="A108" t="s">
        <v>426</v>
      </c>
      <c r="B108" t="str">
        <f t="shared" si="3"/>
        <v>29</v>
      </c>
      <c r="C108" t="str">
        <f t="shared" si="4"/>
        <v>MAYO</v>
      </c>
      <c r="D108" s="27">
        <v>45395</v>
      </c>
      <c r="E108" s="20">
        <v>45441</v>
      </c>
      <c r="F108" t="s">
        <v>52</v>
      </c>
      <c r="G108">
        <f t="shared" si="5"/>
        <v>1104</v>
      </c>
      <c r="H108" t="s">
        <v>427</v>
      </c>
      <c r="I108" t="s">
        <v>428</v>
      </c>
      <c r="J108" t="str">
        <f>_xlfn.XLOOKUP($I108,RazónMuerte!$A:$A,RazónMuerte!B:B,"",0)</f>
        <v>Enfermedad degenerativa articular</v>
      </c>
      <c r="K108">
        <f>_xlfn.XLOOKUP($I108,RazónMuerte!$A:$A,RazónMuerte!C:C,"",0)</f>
        <v>0</v>
      </c>
      <c r="L108" t="str">
        <f>_xlfn.XLOOKUP($I108,RazónMuerte!$A:$A,RazónMuerte!D:D,"",0)</f>
        <v>No fatal injury (chronic/medical)</v>
      </c>
    </row>
    <row r="109" spans="1:12" x14ac:dyDescent="0.25">
      <c r="A109" t="s">
        <v>426</v>
      </c>
      <c r="B109" t="str">
        <f t="shared" si="3"/>
        <v>29</v>
      </c>
      <c r="C109" t="str">
        <f t="shared" si="4"/>
        <v>MAYO</v>
      </c>
      <c r="D109" s="27">
        <v>45439</v>
      </c>
      <c r="E109" s="20">
        <v>45441</v>
      </c>
      <c r="F109" t="s">
        <v>31</v>
      </c>
      <c r="G109">
        <f t="shared" si="5"/>
        <v>48</v>
      </c>
      <c r="H109" t="s">
        <v>429</v>
      </c>
      <c r="I109" t="s">
        <v>430</v>
      </c>
      <c r="J109" t="str">
        <f>_xlfn.XLOOKUP($I109,RazónMuerte!$A:$A,RazónMuerte!B:B,"",0)</f>
        <v>Fractura ósea</v>
      </c>
      <c r="K109" t="str">
        <f>_xlfn.XLOOKUP($I109,RazónMuerte!$A:$A,RazónMuerte!C:C,"",0)</f>
        <v>No especificado</v>
      </c>
      <c r="L109" t="str">
        <f>_xlfn.XLOOKUP($I109,RazónMuerte!$A:$A,RazónMuerte!D:D,"",0)</f>
        <v>Fatal injury</v>
      </c>
    </row>
    <row r="110" spans="1:12" x14ac:dyDescent="0.25">
      <c r="A110" t="s">
        <v>426</v>
      </c>
      <c r="B110" t="str">
        <f t="shared" si="3"/>
        <v>29</v>
      </c>
      <c r="C110" t="str">
        <f t="shared" si="4"/>
        <v>MAYO</v>
      </c>
      <c r="D110" s="27">
        <v>45429</v>
      </c>
      <c r="E110" s="20">
        <v>45441</v>
      </c>
      <c r="F110" t="s">
        <v>431</v>
      </c>
      <c r="G110">
        <f t="shared" si="5"/>
        <v>288</v>
      </c>
      <c r="H110" t="s">
        <v>432</v>
      </c>
      <c r="I110" t="s">
        <v>433</v>
      </c>
      <c r="J110" t="str">
        <f>_xlfn.XLOOKUP($I110,RazónMuerte!$A:$A,RazónMuerte!B:B,"",0)</f>
        <v>Fractura ósea</v>
      </c>
      <c r="K110" t="str">
        <f>_xlfn.XLOOKUP($I110,RazónMuerte!$A:$A,RazónMuerte!C:C,"",0)</f>
        <v>No especificado</v>
      </c>
      <c r="L110" t="str">
        <f>_xlfn.XLOOKUP($I110,RazónMuerte!$A:$A,RazónMuerte!D:D,"",0)</f>
        <v>Fatal injury</v>
      </c>
    </row>
    <row r="111" spans="1:12" x14ac:dyDescent="0.25">
      <c r="A111" t="s">
        <v>434</v>
      </c>
      <c r="B111" t="str">
        <f t="shared" si="3"/>
        <v>31</v>
      </c>
      <c r="C111" t="str">
        <f t="shared" si="4"/>
        <v>MAYO</v>
      </c>
      <c r="D111" s="31"/>
      <c r="E111" s="31">
        <v>45443</v>
      </c>
      <c r="F111" s="30" t="s">
        <v>436</v>
      </c>
      <c r="G111">
        <f t="shared" si="5"/>
        <v>1090632</v>
      </c>
      <c r="H111" s="30" t="s">
        <v>437</v>
      </c>
      <c r="I111" s="30" t="s">
        <v>438</v>
      </c>
      <c r="J111" t="str">
        <f>_xlfn.XLOOKUP($I111,RazónMuerte!$A:$A,RazónMuerte!B:B,"",0)</f>
        <v>Enfermedad degenerativa articular</v>
      </c>
      <c r="K111">
        <f>_xlfn.XLOOKUP($I111,RazónMuerte!$A:$A,RazónMuerte!C:C,"",0)</f>
        <v>0</v>
      </c>
      <c r="L111" t="str">
        <f>_xlfn.XLOOKUP($I111,RazónMuerte!$A:$A,RazónMuerte!D:D,"",0)</f>
        <v>No fatal injury (chronic/medical)</v>
      </c>
    </row>
    <row r="112" spans="1:12" x14ac:dyDescent="0.25">
      <c r="A112" t="s">
        <v>434</v>
      </c>
      <c r="B112" t="str">
        <f t="shared" si="3"/>
        <v>31</v>
      </c>
      <c r="C112" t="str">
        <f t="shared" si="4"/>
        <v>MAYO</v>
      </c>
      <c r="D112" s="27">
        <v>45424</v>
      </c>
      <c r="E112" s="20">
        <v>45443</v>
      </c>
      <c r="F112" t="s">
        <v>423</v>
      </c>
      <c r="G112">
        <f t="shared" si="5"/>
        <v>456</v>
      </c>
      <c r="H112" t="s">
        <v>435</v>
      </c>
      <c r="I112" t="s">
        <v>439</v>
      </c>
      <c r="J112" t="str">
        <f>_xlfn.XLOOKUP($I112,RazónMuerte!$A:$A,RazónMuerte!B:B,"",0)</f>
        <v>Fractura ósea</v>
      </c>
      <c r="K112" t="str">
        <f>_xlfn.XLOOKUP($I112,RazónMuerte!$A:$A,RazónMuerte!C:C,"",0)</f>
        <v>No especificado</v>
      </c>
      <c r="L112" t="str">
        <f>_xlfn.XLOOKUP($I112,RazónMuerte!$A:$A,RazónMuerte!D:D,"",0)</f>
        <v>Fatal injury</v>
      </c>
    </row>
    <row r="113" spans="1:12" x14ac:dyDescent="0.25">
      <c r="A113" t="s">
        <v>440</v>
      </c>
      <c r="B113" t="str">
        <f t="shared" si="3"/>
        <v>3</v>
      </c>
      <c r="C113" t="str">
        <f t="shared" si="4"/>
        <v>JUNIO</v>
      </c>
      <c r="D113" s="27">
        <v>45396</v>
      </c>
      <c r="E113" s="20">
        <v>45446</v>
      </c>
      <c r="F113" t="s">
        <v>184</v>
      </c>
      <c r="G113">
        <f t="shared" si="5"/>
        <v>1200</v>
      </c>
      <c r="H113" t="s">
        <v>441</v>
      </c>
      <c r="I113" t="s">
        <v>255</v>
      </c>
      <c r="J113" t="str">
        <f>_xlfn.XLOOKUP($I113,RazónMuerte!$A:$A,RazónMuerte!B:B,"",0)</f>
        <v>Fractura ósea</v>
      </c>
      <c r="K113" t="str">
        <f>_xlfn.XLOOKUP($I113,RazónMuerte!$A:$A,RazónMuerte!C:C,"",0)</f>
        <v>Rodilla / Carpal</v>
      </c>
      <c r="L113" t="str">
        <f>_xlfn.XLOOKUP($I113,RazónMuerte!$A:$A,RazónMuerte!D:D,"",0)</f>
        <v>Fatal injury</v>
      </c>
    </row>
    <row r="114" spans="1:12" x14ac:dyDescent="0.25">
      <c r="A114" t="s">
        <v>442</v>
      </c>
      <c r="B114" t="str">
        <f t="shared" si="3"/>
        <v>10</v>
      </c>
      <c r="C114" t="str">
        <f t="shared" si="4"/>
        <v>JUNIO</v>
      </c>
      <c r="D114" s="27">
        <v>45444</v>
      </c>
      <c r="E114" s="20">
        <v>45453</v>
      </c>
      <c r="F114" t="s">
        <v>155</v>
      </c>
      <c r="G114">
        <f t="shared" si="5"/>
        <v>216</v>
      </c>
      <c r="H114" t="s">
        <v>443</v>
      </c>
      <c r="I114" t="s">
        <v>444</v>
      </c>
      <c r="J114" t="str">
        <f>_xlfn.XLOOKUP($I114,RazónMuerte!$A:$A,RazónMuerte!B:B,"",0)</f>
        <v>Otras / No especificada</v>
      </c>
      <c r="K114">
        <f>_xlfn.XLOOKUP($I114,RazónMuerte!$A:$A,RazónMuerte!C:C,"",0)</f>
        <v>0</v>
      </c>
      <c r="L114" t="str">
        <f>_xlfn.XLOOKUP($I114,RazónMuerte!$A:$A,RazónMuerte!D:D,"",0)</f>
        <v>Fatal injury</v>
      </c>
    </row>
    <row r="115" spans="1:12" x14ac:dyDescent="0.25">
      <c r="A115" t="s">
        <v>445</v>
      </c>
      <c r="B115" t="str">
        <f t="shared" si="3"/>
        <v>11</v>
      </c>
      <c r="C115" t="str">
        <f t="shared" si="4"/>
        <v>JUNIO</v>
      </c>
      <c r="D115" s="27">
        <v>45436</v>
      </c>
      <c r="E115" s="20">
        <v>45454</v>
      </c>
      <c r="F115" t="s">
        <v>29</v>
      </c>
      <c r="G115">
        <f t="shared" si="5"/>
        <v>432</v>
      </c>
      <c r="H115" t="s">
        <v>446</v>
      </c>
      <c r="I115" t="s">
        <v>447</v>
      </c>
      <c r="J115" t="str">
        <f>_xlfn.XLOOKUP($I115,RazónMuerte!$A:$A,RazónMuerte!B:B,"",0)</f>
        <v>Fractura ósea</v>
      </c>
      <c r="K115" t="str">
        <f>_xlfn.XLOOKUP($I115,RazónMuerte!$A:$A,RazónMuerte!C:C,"",0)</f>
        <v>No especificado</v>
      </c>
      <c r="L115" t="str">
        <f>_xlfn.XLOOKUP($I115,RazónMuerte!$A:$A,RazónMuerte!D:D,"",0)</f>
        <v>Fatal injury</v>
      </c>
    </row>
    <row r="116" spans="1:12" x14ac:dyDescent="0.25">
      <c r="A116" t="s">
        <v>448</v>
      </c>
      <c r="B116" t="str">
        <f t="shared" si="3"/>
        <v>13</v>
      </c>
      <c r="C116" t="str">
        <f t="shared" si="4"/>
        <v>JUNIO</v>
      </c>
      <c r="D116" s="31"/>
      <c r="E116" s="31">
        <v>45456</v>
      </c>
      <c r="F116" s="30" t="s">
        <v>104</v>
      </c>
      <c r="G116">
        <f t="shared" si="5"/>
        <v>1090944</v>
      </c>
      <c r="H116" s="30" t="s">
        <v>449</v>
      </c>
      <c r="I116" s="30" t="s">
        <v>450</v>
      </c>
      <c r="J116" t="str">
        <f>_xlfn.XLOOKUP($I116,RazónMuerte!$A:$A,RazónMuerte!B:B,"",0)</f>
        <v>Enfermedad degenerativa articular</v>
      </c>
      <c r="K116">
        <f>_xlfn.XLOOKUP($I116,RazónMuerte!$A:$A,RazónMuerte!C:C,"",0)</f>
        <v>0</v>
      </c>
      <c r="L116" t="str">
        <f>_xlfn.XLOOKUP($I116,RazónMuerte!$A:$A,RazónMuerte!D:D,"",0)</f>
        <v>No fatal injury (chronic/medical)</v>
      </c>
    </row>
    <row r="117" spans="1:12" x14ac:dyDescent="0.25">
      <c r="A117" t="s">
        <v>448</v>
      </c>
      <c r="B117" t="str">
        <f t="shared" si="3"/>
        <v>13</v>
      </c>
      <c r="C117" t="str">
        <f t="shared" si="4"/>
        <v>JUNIO</v>
      </c>
      <c r="D117" s="27">
        <v>45409</v>
      </c>
      <c r="E117" s="20">
        <v>45456</v>
      </c>
      <c r="F117" t="s">
        <v>98</v>
      </c>
      <c r="G117">
        <f t="shared" si="5"/>
        <v>1128</v>
      </c>
      <c r="H117" t="s">
        <v>452</v>
      </c>
      <c r="I117" t="s">
        <v>451</v>
      </c>
      <c r="J117" t="str">
        <f>_xlfn.XLOOKUP($I117,RazónMuerte!$A:$A,RazónMuerte!B:B,"",0)</f>
        <v>Fractura ósea</v>
      </c>
      <c r="K117" t="str">
        <f>_xlfn.XLOOKUP($I117,RazónMuerte!$A:$A,RazónMuerte!C:C,"",0)</f>
        <v>Sesamoideo</v>
      </c>
      <c r="L117" t="str">
        <f>_xlfn.XLOOKUP($I117,RazónMuerte!$A:$A,RazónMuerte!D:D,"",0)</f>
        <v>Fatal injury</v>
      </c>
    </row>
    <row r="118" spans="1:12" x14ac:dyDescent="0.25">
      <c r="A118" t="s">
        <v>453</v>
      </c>
      <c r="B118" t="str">
        <f t="shared" si="3"/>
        <v>14</v>
      </c>
      <c r="C118" t="str">
        <f t="shared" si="4"/>
        <v>JUNIO</v>
      </c>
      <c r="D118" s="27">
        <v>45451</v>
      </c>
      <c r="E118" s="20">
        <v>45457</v>
      </c>
      <c r="F118" t="s">
        <v>356</v>
      </c>
      <c r="G118">
        <f t="shared" si="5"/>
        <v>144</v>
      </c>
      <c r="H118" t="s">
        <v>454</v>
      </c>
      <c r="I118" t="s">
        <v>455</v>
      </c>
      <c r="J118" t="str">
        <f>_xlfn.XLOOKUP($I118,RazónMuerte!$A:$A,RazónMuerte!B:B,"",0)</f>
        <v>Enfermedad degenerativa articular</v>
      </c>
      <c r="K118">
        <f>_xlfn.XLOOKUP($I118,RazónMuerte!$A:$A,RazónMuerte!C:C,"",0)</f>
        <v>0</v>
      </c>
      <c r="L118" t="str">
        <f>_xlfn.XLOOKUP($I118,RazónMuerte!$A:$A,RazónMuerte!D:D,"",0)</f>
        <v>Fatal injury</v>
      </c>
    </row>
    <row r="119" spans="1:12" x14ac:dyDescent="0.25">
      <c r="A119" t="s">
        <v>456</v>
      </c>
      <c r="B119" t="str">
        <f t="shared" si="3"/>
        <v>15</v>
      </c>
      <c r="C119" t="str">
        <f t="shared" si="4"/>
        <v>JUNIO</v>
      </c>
      <c r="D119" s="27">
        <v>45416</v>
      </c>
      <c r="E119" s="20">
        <v>45458</v>
      </c>
      <c r="F119" t="s">
        <v>457</v>
      </c>
      <c r="G119">
        <f t="shared" si="5"/>
        <v>1008</v>
      </c>
      <c r="H119" t="s">
        <v>458</v>
      </c>
      <c r="I119" t="s">
        <v>459</v>
      </c>
      <c r="J119" t="str">
        <f>_xlfn.XLOOKUP($I119,RazónMuerte!$A:$A,RazónMuerte!B:B,"",0)</f>
        <v>Fractura ósea</v>
      </c>
      <c r="K119" t="str">
        <f>_xlfn.XLOOKUP($I119,RazónMuerte!$A:$A,RazónMuerte!C:C,"",0)</f>
        <v>Slab</v>
      </c>
      <c r="L119" t="str">
        <f>_xlfn.XLOOKUP($I119,RazónMuerte!$A:$A,RazónMuerte!D:D,"",0)</f>
        <v>Fatal injury</v>
      </c>
    </row>
    <row r="120" spans="1:12" x14ac:dyDescent="0.25">
      <c r="A120" t="s">
        <v>456</v>
      </c>
      <c r="B120" t="str">
        <f t="shared" si="3"/>
        <v>15</v>
      </c>
      <c r="C120" t="str">
        <f t="shared" si="4"/>
        <v>JUNIO</v>
      </c>
      <c r="D120" s="31"/>
      <c r="E120" s="31">
        <v>45458</v>
      </c>
      <c r="F120" s="30" t="s">
        <v>93</v>
      </c>
      <c r="G120">
        <f t="shared" si="5"/>
        <v>1090992</v>
      </c>
      <c r="H120" s="30" t="s">
        <v>460</v>
      </c>
      <c r="I120" s="30" t="s">
        <v>461</v>
      </c>
      <c r="J120" t="str">
        <f>_xlfn.XLOOKUP($I120,RazónMuerte!$A:$A,RazónMuerte!B:B,"",0)</f>
        <v>Fractura ósea</v>
      </c>
      <c r="K120" t="str">
        <f>_xlfn.XLOOKUP($I120,RazónMuerte!$A:$A,RazónMuerte!C:C,"",0)</f>
        <v>Slab</v>
      </c>
      <c r="L120" t="str">
        <f>_xlfn.XLOOKUP($I120,RazónMuerte!$A:$A,RazónMuerte!D:D,"",0)</f>
        <v>Fatal injury</v>
      </c>
    </row>
    <row r="121" spans="1:12" x14ac:dyDescent="0.25">
      <c r="A121" t="s">
        <v>462</v>
      </c>
      <c r="B121" t="str">
        <f t="shared" si="3"/>
        <v>16</v>
      </c>
      <c r="C121" t="str">
        <f t="shared" si="4"/>
        <v>JUNIO</v>
      </c>
      <c r="D121" s="27">
        <v>45316</v>
      </c>
      <c r="E121" s="20">
        <v>45459</v>
      </c>
      <c r="F121" t="s">
        <v>11</v>
      </c>
      <c r="G121">
        <f t="shared" si="5"/>
        <v>3432</v>
      </c>
      <c r="H121" t="s">
        <v>463</v>
      </c>
      <c r="I121" t="s">
        <v>57</v>
      </c>
      <c r="J121" t="str">
        <f>_xlfn.XLOOKUP($I121,RazónMuerte!$A:$A,RazónMuerte!B:B,"",0)</f>
        <v>Otras / No especificada</v>
      </c>
      <c r="K121">
        <f>_xlfn.XLOOKUP($I121,RazónMuerte!$A:$A,RazónMuerte!C:C,"",0)</f>
        <v>0</v>
      </c>
      <c r="L121" t="str">
        <f>_xlfn.XLOOKUP($I121,RazónMuerte!$A:$A,RazónMuerte!D:D,"",0)</f>
        <v>No clasificado</v>
      </c>
    </row>
    <row r="122" spans="1:12" x14ac:dyDescent="0.25">
      <c r="A122" t="s">
        <v>464</v>
      </c>
      <c r="B122" t="str">
        <f t="shared" si="3"/>
        <v>17</v>
      </c>
      <c r="C122" t="str">
        <f t="shared" si="4"/>
        <v>JUNIO</v>
      </c>
      <c r="D122" s="27">
        <v>45451</v>
      </c>
      <c r="E122" s="20">
        <v>45460</v>
      </c>
      <c r="F122" t="s">
        <v>107</v>
      </c>
      <c r="G122">
        <f t="shared" si="5"/>
        <v>216</v>
      </c>
      <c r="H122" t="s">
        <v>465</v>
      </c>
      <c r="I122" t="s">
        <v>255</v>
      </c>
      <c r="J122" t="str">
        <f>_xlfn.XLOOKUP($I122,RazónMuerte!$A:$A,RazónMuerte!B:B,"",0)</f>
        <v>Fractura ósea</v>
      </c>
      <c r="K122" t="str">
        <f>_xlfn.XLOOKUP($I122,RazónMuerte!$A:$A,RazónMuerte!C:C,"",0)</f>
        <v>Rodilla / Carpal</v>
      </c>
      <c r="L122" t="str">
        <f>_xlfn.XLOOKUP($I122,RazónMuerte!$A:$A,RazónMuerte!D:D,"",0)</f>
        <v>Fatal injury</v>
      </c>
    </row>
    <row r="123" spans="1:12" x14ac:dyDescent="0.25">
      <c r="A123" t="s">
        <v>466</v>
      </c>
      <c r="B123" t="str">
        <f t="shared" si="3"/>
        <v>18</v>
      </c>
      <c r="C123" t="str">
        <f t="shared" si="4"/>
        <v>JUNIO</v>
      </c>
      <c r="D123" s="31"/>
      <c r="E123" s="31">
        <v>45461</v>
      </c>
      <c r="F123" s="30" t="s">
        <v>423</v>
      </c>
      <c r="G123">
        <f t="shared" si="5"/>
        <v>1091064</v>
      </c>
      <c r="H123" s="30" t="s">
        <v>467</v>
      </c>
      <c r="I123" s="30" t="s">
        <v>468</v>
      </c>
      <c r="J123" t="str">
        <f>_xlfn.XLOOKUP($I123,RazónMuerte!$A:$A,RazónMuerte!B:B,"",0)</f>
        <v>Enfermedad degenerativa articular</v>
      </c>
      <c r="K123">
        <f>_xlfn.XLOOKUP($I123,RazónMuerte!$A:$A,RazónMuerte!C:C,"",0)</f>
        <v>0</v>
      </c>
      <c r="L123" t="str">
        <f>_xlfn.XLOOKUP($I123,RazónMuerte!$A:$A,RazónMuerte!D:D,"",0)</f>
        <v>Fatal injury</v>
      </c>
    </row>
    <row r="124" spans="1:12" x14ac:dyDescent="0.25">
      <c r="A124" t="s">
        <v>469</v>
      </c>
      <c r="B124" t="str">
        <f t="shared" si="3"/>
        <v>19</v>
      </c>
      <c r="C124" t="str">
        <f t="shared" si="4"/>
        <v>JUNIO</v>
      </c>
      <c r="D124" s="27">
        <v>45437</v>
      </c>
      <c r="E124" s="20">
        <v>45462</v>
      </c>
      <c r="F124" t="s">
        <v>470</v>
      </c>
      <c r="G124">
        <f t="shared" si="5"/>
        <v>600</v>
      </c>
      <c r="H124" t="s">
        <v>471</v>
      </c>
      <c r="I124" t="s">
        <v>472</v>
      </c>
      <c r="J124" t="str">
        <f>_xlfn.XLOOKUP($I124,RazónMuerte!$A:$A,RazónMuerte!B:B,"",0)</f>
        <v>Otras / No especificada</v>
      </c>
      <c r="K124">
        <f>_xlfn.XLOOKUP($I124,RazónMuerte!$A:$A,RazónMuerte!C:C,"",0)</f>
        <v>0</v>
      </c>
      <c r="L124" t="str">
        <f>_xlfn.XLOOKUP($I124,RazónMuerte!$A:$A,RazónMuerte!D:D,"",0)</f>
        <v>No clasificado</v>
      </c>
    </row>
    <row r="125" spans="1:12" x14ac:dyDescent="0.25">
      <c r="A125" t="s">
        <v>469</v>
      </c>
      <c r="B125" t="str">
        <f t="shared" si="3"/>
        <v>19</v>
      </c>
      <c r="C125" t="str">
        <f t="shared" si="4"/>
        <v>JUNIO</v>
      </c>
      <c r="D125" s="31"/>
      <c r="E125" s="31">
        <v>45462</v>
      </c>
      <c r="F125" s="30" t="s">
        <v>473</v>
      </c>
      <c r="G125">
        <f t="shared" si="5"/>
        <v>1091088</v>
      </c>
      <c r="H125" s="30" t="s">
        <v>474</v>
      </c>
      <c r="I125" s="30" t="s">
        <v>475</v>
      </c>
      <c r="J125" t="str">
        <f>_xlfn.XLOOKUP($I125,RazónMuerte!$A:$A,RazónMuerte!B:B,"",0)</f>
        <v>Otras / No especificada</v>
      </c>
      <c r="K125">
        <f>_xlfn.XLOOKUP($I125,RazónMuerte!$A:$A,RazónMuerte!C:C,"",0)</f>
        <v>0</v>
      </c>
      <c r="L125" t="str">
        <f>_xlfn.XLOOKUP($I125,RazónMuerte!$A:$A,RazónMuerte!D:D,"",0)</f>
        <v>No clasificado</v>
      </c>
    </row>
    <row r="126" spans="1:12" x14ac:dyDescent="0.25">
      <c r="A126" t="s">
        <v>476</v>
      </c>
      <c r="B126" t="str">
        <f t="shared" si="3"/>
        <v>21</v>
      </c>
      <c r="C126" t="str">
        <f t="shared" si="4"/>
        <v>JUNIO</v>
      </c>
      <c r="D126" s="27">
        <v>45463</v>
      </c>
      <c r="E126" s="20">
        <v>45464</v>
      </c>
      <c r="F126" t="s">
        <v>77</v>
      </c>
      <c r="G126">
        <f t="shared" si="5"/>
        <v>24</v>
      </c>
      <c r="H126" t="s">
        <v>477</v>
      </c>
      <c r="I126" t="s">
        <v>478</v>
      </c>
      <c r="J126" t="str">
        <f>_xlfn.XLOOKUP($I126,RazónMuerte!$A:$A,RazónMuerte!B:B,"",0)</f>
        <v>Enfermedad degenerativa articular</v>
      </c>
      <c r="K126">
        <f>_xlfn.XLOOKUP($I126,RazónMuerte!$A:$A,RazónMuerte!C:C,"",0)</f>
        <v>0</v>
      </c>
      <c r="L126" t="str">
        <f>_xlfn.XLOOKUP($I126,RazónMuerte!$A:$A,RazónMuerte!D:D,"",0)</f>
        <v>No fatal injury (chronic/medical)</v>
      </c>
    </row>
    <row r="127" spans="1:12" x14ac:dyDescent="0.25">
      <c r="A127" t="s">
        <v>479</v>
      </c>
      <c r="B127" t="str">
        <f t="shared" si="3"/>
        <v>22</v>
      </c>
      <c r="C127" t="str">
        <f t="shared" si="4"/>
        <v>JUNIO</v>
      </c>
      <c r="D127" s="27">
        <v>45459</v>
      </c>
      <c r="E127" s="20">
        <v>45465</v>
      </c>
      <c r="F127" t="s">
        <v>480</v>
      </c>
      <c r="G127">
        <f t="shared" si="5"/>
        <v>144</v>
      </c>
      <c r="H127" t="s">
        <v>481</v>
      </c>
      <c r="I127" t="s">
        <v>78</v>
      </c>
      <c r="J127" t="str">
        <f>_xlfn.XLOOKUP($I127,RazónMuerte!$A:$A,RazónMuerte!B:B,"",0)</f>
        <v>Fractura ósea</v>
      </c>
      <c r="K127" t="str">
        <f>_xlfn.XLOOKUP($I127,RazónMuerte!$A:$A,RazónMuerte!C:C,"",0)</f>
        <v>Rodilla / Carpal</v>
      </c>
      <c r="L127" t="str">
        <f>_xlfn.XLOOKUP($I127,RazónMuerte!$A:$A,RazónMuerte!D:D,"",0)</f>
        <v>Fatal injury</v>
      </c>
    </row>
    <row r="128" spans="1:12" x14ac:dyDescent="0.25">
      <c r="A128" t="s">
        <v>485</v>
      </c>
      <c r="B128" t="str">
        <f t="shared" si="3"/>
        <v>24</v>
      </c>
      <c r="C128" t="str">
        <f t="shared" si="4"/>
        <v>JUNIO</v>
      </c>
      <c r="D128" s="27">
        <v>45094</v>
      </c>
      <c r="E128" s="20">
        <v>45467</v>
      </c>
      <c r="F128" t="s">
        <v>484</v>
      </c>
      <c r="G128">
        <f t="shared" si="5"/>
        <v>8952</v>
      </c>
      <c r="H128" t="s">
        <v>483</v>
      </c>
      <c r="I128" t="s">
        <v>482</v>
      </c>
      <c r="J128" t="str">
        <f>_xlfn.XLOOKUP($I128,RazónMuerte!$A:$A,RazónMuerte!B:B,"",0)</f>
        <v>Enfermedad degenerativa articular</v>
      </c>
      <c r="K128">
        <f>_xlfn.XLOOKUP($I128,RazónMuerte!$A:$A,RazónMuerte!C:C,"",0)</f>
        <v>0</v>
      </c>
      <c r="L128" t="str">
        <f>_xlfn.XLOOKUP($I128,RazónMuerte!$A:$A,RazónMuerte!D:D,"",0)</f>
        <v>No fatal injury (chronic/medical)</v>
      </c>
    </row>
    <row r="129" spans="1:12" x14ac:dyDescent="0.25">
      <c r="A129" t="s">
        <v>486</v>
      </c>
      <c r="B129" t="str">
        <f t="shared" si="3"/>
        <v>25</v>
      </c>
      <c r="C129" t="str">
        <f t="shared" si="4"/>
        <v>JUNIO</v>
      </c>
      <c r="D129" s="27">
        <v>45435</v>
      </c>
      <c r="E129" s="20">
        <v>45468</v>
      </c>
      <c r="F129" t="s">
        <v>329</v>
      </c>
      <c r="G129">
        <f t="shared" si="5"/>
        <v>792</v>
      </c>
      <c r="H129" t="s">
        <v>487</v>
      </c>
      <c r="I129" t="s">
        <v>488</v>
      </c>
      <c r="J129" t="str">
        <f>_xlfn.XLOOKUP($I129,RazónMuerte!$A:$A,RazónMuerte!B:B,"",0)</f>
        <v>Fractura ósea</v>
      </c>
      <c r="K129" t="str">
        <f>_xlfn.XLOOKUP($I129,RazónMuerte!$A:$A,RazónMuerte!C:C,"",0)</f>
        <v>Sesamoideo</v>
      </c>
      <c r="L129" t="str">
        <f>_xlfn.XLOOKUP($I129,RazónMuerte!$A:$A,RazónMuerte!D:D,"",0)</f>
        <v>Fatal injury</v>
      </c>
    </row>
    <row r="130" spans="1:12" x14ac:dyDescent="0.25">
      <c r="A130" t="s">
        <v>489</v>
      </c>
      <c r="B130" t="str">
        <f t="shared" si="3"/>
        <v>26</v>
      </c>
      <c r="C130" t="str">
        <f t="shared" si="4"/>
        <v>JUNIO</v>
      </c>
      <c r="D130" s="27">
        <v>45136</v>
      </c>
      <c r="E130" s="20">
        <v>45469</v>
      </c>
      <c r="F130" t="s">
        <v>4</v>
      </c>
      <c r="G130">
        <f t="shared" si="5"/>
        <v>7992</v>
      </c>
      <c r="H130" t="s">
        <v>492</v>
      </c>
      <c r="I130" t="s">
        <v>491</v>
      </c>
      <c r="J130" t="str">
        <f>_xlfn.XLOOKUP($I130,RazónMuerte!$A:$A,RazónMuerte!B:B,"",0)</f>
        <v>Fractura ósea</v>
      </c>
      <c r="K130" t="str">
        <f>_xlfn.XLOOKUP($I130,RazónMuerte!$A:$A,RazónMuerte!C:C,"",0)</f>
        <v>Sesamoideo</v>
      </c>
      <c r="L130" t="str">
        <f>_xlfn.XLOOKUP($I130,RazónMuerte!$A:$A,RazónMuerte!D:D,"",0)</f>
        <v>Fatal injury</v>
      </c>
    </row>
    <row r="131" spans="1:12" x14ac:dyDescent="0.25">
      <c r="A131" t="s">
        <v>493</v>
      </c>
      <c r="B131" t="str">
        <f t="shared" ref="B131:B194" si="6">LEFT(A131,FIND("-",A131)-1)</f>
        <v>29</v>
      </c>
      <c r="C131" t="str">
        <f t="shared" ref="C131:C194" si="7">MID(A131,FIND("-",A131)+1,FIND("-",A131,FIND("-",A131)+1)-FIND("-",A131)-1)</f>
        <v>JUNIO</v>
      </c>
      <c r="D131" s="31"/>
      <c r="E131" s="31">
        <v>45472</v>
      </c>
      <c r="F131" s="30" t="s">
        <v>294</v>
      </c>
      <c r="G131">
        <f t="shared" ref="G131:G194" si="8">(E131-D131)*24</f>
        <v>1091328</v>
      </c>
      <c r="H131" s="30" t="s">
        <v>494</v>
      </c>
      <c r="I131" s="30" t="s">
        <v>495</v>
      </c>
      <c r="J131" t="str">
        <f>_xlfn.XLOOKUP($I131,RazónMuerte!$A:$A,RazónMuerte!B:B,"",0)</f>
        <v>Fractura ósea</v>
      </c>
      <c r="K131" t="str">
        <f>_xlfn.XLOOKUP($I131,RazónMuerte!$A:$A,RazónMuerte!C:C,"",0)</f>
        <v>No especificado</v>
      </c>
      <c r="L131" t="str">
        <f>_xlfn.XLOOKUP($I131,RazónMuerte!$A:$A,RazónMuerte!D:D,"",0)</f>
        <v>Fatal injury</v>
      </c>
    </row>
    <row r="132" spans="1:12" x14ac:dyDescent="0.25">
      <c r="A132" t="s">
        <v>496</v>
      </c>
      <c r="B132" t="str">
        <f t="shared" si="6"/>
        <v>3</v>
      </c>
      <c r="C132" t="str">
        <f t="shared" si="7"/>
        <v>JULIO</v>
      </c>
      <c r="D132" s="27">
        <v>45472</v>
      </c>
      <c r="E132" s="20">
        <v>45476</v>
      </c>
      <c r="F132" t="s">
        <v>218</v>
      </c>
      <c r="G132">
        <f t="shared" si="8"/>
        <v>96</v>
      </c>
      <c r="H132" t="s">
        <v>497</v>
      </c>
      <c r="I132" t="s">
        <v>498</v>
      </c>
      <c r="J132" t="str">
        <f>_xlfn.XLOOKUP($I132,RazónMuerte!$A:$A,RazónMuerte!B:B,"",0)</f>
        <v>Fractura ósea</v>
      </c>
      <c r="K132" t="str">
        <f>_xlfn.XLOOKUP($I132,RazónMuerte!$A:$A,RazónMuerte!C:C,"",0)</f>
        <v>Rodilla / Carpal</v>
      </c>
      <c r="L132" t="str">
        <f>_xlfn.XLOOKUP($I132,RazónMuerte!$A:$A,RazónMuerte!D:D,"",0)</f>
        <v>Fatal injury</v>
      </c>
    </row>
    <row r="133" spans="1:12" x14ac:dyDescent="0.25">
      <c r="A133" t="s">
        <v>496</v>
      </c>
      <c r="B133" t="str">
        <f t="shared" si="6"/>
        <v>3</v>
      </c>
      <c r="C133" t="str">
        <f t="shared" si="7"/>
        <v>JULIO</v>
      </c>
      <c r="D133" s="31"/>
      <c r="E133" s="31">
        <v>45476</v>
      </c>
      <c r="F133" s="30" t="s">
        <v>499</v>
      </c>
      <c r="G133">
        <f t="shared" si="8"/>
        <v>1091424</v>
      </c>
      <c r="H133" s="30" t="s">
        <v>500</v>
      </c>
      <c r="I133" s="30" t="s">
        <v>501</v>
      </c>
      <c r="J133" t="str">
        <f>_xlfn.XLOOKUP($I133,RazónMuerte!$A:$A,RazónMuerte!B:B,"",0)</f>
        <v>Fractura ósea</v>
      </c>
      <c r="K133" t="str">
        <f>_xlfn.XLOOKUP($I133,RazónMuerte!$A:$A,RazónMuerte!C:C,"",0)</f>
        <v>No especificado</v>
      </c>
      <c r="L133" t="str">
        <f>_xlfn.XLOOKUP($I133,RazónMuerte!$A:$A,RazónMuerte!D:D,"",0)</f>
        <v>Fatal injury</v>
      </c>
    </row>
    <row r="134" spans="1:12" x14ac:dyDescent="0.25">
      <c r="A134" t="s">
        <v>505</v>
      </c>
      <c r="B134" t="str">
        <f t="shared" si="6"/>
        <v>4</v>
      </c>
      <c r="C134" t="str">
        <f t="shared" si="7"/>
        <v>JULIO</v>
      </c>
      <c r="D134" s="27">
        <v>45451</v>
      </c>
      <c r="E134" s="20">
        <v>45477</v>
      </c>
      <c r="F134" t="s">
        <v>504</v>
      </c>
      <c r="G134">
        <f t="shared" si="8"/>
        <v>624</v>
      </c>
      <c r="H134" t="s">
        <v>503</v>
      </c>
      <c r="I134" t="s">
        <v>502</v>
      </c>
      <c r="J134" t="str">
        <f>_xlfn.XLOOKUP($I134,RazónMuerte!$A:$A,RazónMuerte!B:B,"",0)</f>
        <v>Enfermedad degenerativa articular</v>
      </c>
      <c r="K134">
        <f>_xlfn.XLOOKUP($I134,RazónMuerte!$A:$A,RazónMuerte!C:C,"",0)</f>
        <v>0</v>
      </c>
      <c r="L134" t="str">
        <f>_xlfn.XLOOKUP($I134,RazónMuerte!$A:$A,RazónMuerte!D:D,"",0)</f>
        <v>No fatal injury (chronic/medical)</v>
      </c>
    </row>
    <row r="135" spans="1:12" x14ac:dyDescent="0.25">
      <c r="A135" t="s">
        <v>506</v>
      </c>
      <c r="B135" t="str">
        <f t="shared" si="6"/>
        <v>5</v>
      </c>
      <c r="C135" t="str">
        <f t="shared" si="7"/>
        <v>JULIO</v>
      </c>
      <c r="D135" s="27">
        <v>45477</v>
      </c>
      <c r="E135" s="20">
        <v>45478</v>
      </c>
      <c r="F135" t="s">
        <v>5</v>
      </c>
      <c r="G135">
        <f t="shared" si="8"/>
        <v>24</v>
      </c>
      <c r="H135" t="s">
        <v>507</v>
      </c>
      <c r="I135" t="s">
        <v>255</v>
      </c>
      <c r="J135" t="str">
        <f>_xlfn.XLOOKUP($I135,RazónMuerte!$A:$A,RazónMuerte!B:B,"",0)</f>
        <v>Fractura ósea</v>
      </c>
      <c r="K135" t="str">
        <f>_xlfn.XLOOKUP($I135,RazónMuerte!$A:$A,RazónMuerte!C:C,"",0)</f>
        <v>Rodilla / Carpal</v>
      </c>
      <c r="L135" t="str">
        <f>_xlfn.XLOOKUP($I135,RazónMuerte!$A:$A,RazónMuerte!D:D,"",0)</f>
        <v>Fatal injury</v>
      </c>
    </row>
    <row r="136" spans="1:12" x14ac:dyDescent="0.25">
      <c r="A136" t="s">
        <v>536</v>
      </c>
      <c r="B136" t="str">
        <f t="shared" si="6"/>
        <v>6</v>
      </c>
      <c r="C136" t="str">
        <f t="shared" si="7"/>
        <v>JULIO</v>
      </c>
      <c r="D136" s="27">
        <v>45479</v>
      </c>
      <c r="E136" s="20">
        <v>45479</v>
      </c>
      <c r="F136" t="s">
        <v>537</v>
      </c>
      <c r="G136">
        <f t="shared" si="8"/>
        <v>0</v>
      </c>
      <c r="H136" t="s">
        <v>538</v>
      </c>
      <c r="I136" t="s">
        <v>539</v>
      </c>
      <c r="J136" t="str">
        <f>_xlfn.XLOOKUP($I136,RazónMuerte!$A:$A,RazónMuerte!B:B,"",0)</f>
        <v>Otras / No especificada</v>
      </c>
      <c r="K136">
        <f>_xlfn.XLOOKUP($I136,RazónMuerte!$A:$A,RazónMuerte!C:C,"",0)</f>
        <v>0</v>
      </c>
      <c r="L136" t="str">
        <f>_xlfn.XLOOKUP($I136,RazónMuerte!$A:$A,RazónMuerte!D:D,"",0)</f>
        <v>No clasificado</v>
      </c>
    </row>
    <row r="137" spans="1:12" x14ac:dyDescent="0.25">
      <c r="A137" t="s">
        <v>540</v>
      </c>
      <c r="B137" t="str">
        <f t="shared" si="6"/>
        <v>7</v>
      </c>
      <c r="C137" t="str">
        <f t="shared" si="7"/>
        <v>JULIO</v>
      </c>
      <c r="D137" s="27">
        <v>45480</v>
      </c>
      <c r="E137" s="20">
        <v>45480</v>
      </c>
      <c r="F137" t="s">
        <v>541</v>
      </c>
      <c r="G137">
        <f t="shared" si="8"/>
        <v>0</v>
      </c>
      <c r="H137" t="s">
        <v>542</v>
      </c>
      <c r="I137" t="s">
        <v>543</v>
      </c>
      <c r="J137" t="str">
        <f>_xlfn.XLOOKUP($I137,RazónMuerte!$A:$A,RazónMuerte!B:B,"",0)</f>
        <v>Fractura ósea</v>
      </c>
      <c r="K137" t="str">
        <f>_xlfn.XLOOKUP($I137,RazónMuerte!$A:$A,RazónMuerte!C:C,"",0)</f>
        <v>No especificado</v>
      </c>
      <c r="L137" t="str">
        <f>_xlfn.XLOOKUP($I137,RazónMuerte!$A:$A,RazónMuerte!D:D,"",0)</f>
        <v>Fatal injury</v>
      </c>
    </row>
    <row r="138" spans="1:12" x14ac:dyDescent="0.25">
      <c r="A138" t="s">
        <v>508</v>
      </c>
      <c r="B138" t="str">
        <f t="shared" si="6"/>
        <v>8</v>
      </c>
      <c r="C138" t="str">
        <f t="shared" si="7"/>
        <v>JULIO</v>
      </c>
      <c r="D138" s="20">
        <v>45480</v>
      </c>
      <c r="E138" s="20">
        <v>45481</v>
      </c>
      <c r="F138" t="s">
        <v>31</v>
      </c>
      <c r="G138">
        <f t="shared" si="8"/>
        <v>24</v>
      </c>
      <c r="H138" t="s">
        <v>509</v>
      </c>
      <c r="I138" t="s">
        <v>101</v>
      </c>
      <c r="J138" t="str">
        <f>_xlfn.XLOOKUP($I138,RazónMuerte!$A:$A,RazónMuerte!B:B,"",0)</f>
        <v>Fractura ósea</v>
      </c>
      <c r="K138" t="str">
        <f>_xlfn.XLOOKUP($I138,RazónMuerte!$A:$A,RazónMuerte!C:C,"",0)</f>
        <v>Rodilla / Carpal</v>
      </c>
      <c r="L138" t="str">
        <f>_xlfn.XLOOKUP($I138,RazónMuerte!$A:$A,RazónMuerte!D:D,"",0)</f>
        <v>Fatal injury</v>
      </c>
    </row>
    <row r="139" spans="1:12" x14ac:dyDescent="0.25">
      <c r="A139" t="s">
        <v>508</v>
      </c>
      <c r="B139" t="str">
        <f t="shared" si="6"/>
        <v>8</v>
      </c>
      <c r="C139" t="str">
        <f t="shared" si="7"/>
        <v>JULIO</v>
      </c>
      <c r="D139" s="27">
        <v>45436</v>
      </c>
      <c r="E139" s="20">
        <v>45481</v>
      </c>
      <c r="F139" t="s">
        <v>53</v>
      </c>
      <c r="G139">
        <f t="shared" si="8"/>
        <v>1080</v>
      </c>
      <c r="H139" t="s">
        <v>510</v>
      </c>
      <c r="I139" t="s">
        <v>511</v>
      </c>
      <c r="J139" t="str">
        <f>_xlfn.XLOOKUP($I139,RazónMuerte!$A:$A,RazónMuerte!B:B,"",0)</f>
        <v>Fractura ósea</v>
      </c>
      <c r="K139" t="str">
        <f>_xlfn.XLOOKUP($I139,RazónMuerte!$A:$A,RazónMuerte!C:C,"",0)</f>
        <v>Rodilla / Carpal</v>
      </c>
      <c r="L139" t="str">
        <f>_xlfn.XLOOKUP($I139,RazónMuerte!$A:$A,RazónMuerte!D:D,"",0)</f>
        <v>Fatal injury</v>
      </c>
    </row>
    <row r="140" spans="1:12" x14ac:dyDescent="0.25">
      <c r="A140" t="s">
        <v>512</v>
      </c>
      <c r="B140" t="str">
        <f t="shared" si="6"/>
        <v>9</v>
      </c>
      <c r="C140" t="str">
        <f t="shared" si="7"/>
        <v>JULIO</v>
      </c>
      <c r="D140" s="27">
        <v>45439</v>
      </c>
      <c r="E140" s="20">
        <v>45482</v>
      </c>
      <c r="F140" t="s">
        <v>109</v>
      </c>
      <c r="G140">
        <f t="shared" si="8"/>
        <v>1032</v>
      </c>
      <c r="H140" t="s">
        <v>513</v>
      </c>
      <c r="I140" t="s">
        <v>514</v>
      </c>
      <c r="J140" t="str">
        <f>_xlfn.XLOOKUP($I140,RazónMuerte!$A:$A,RazónMuerte!B:B,"",0)</f>
        <v>Enfermedad degenerativa articular</v>
      </c>
      <c r="K140">
        <f>_xlfn.XLOOKUP($I140,RazónMuerte!$A:$A,RazónMuerte!C:C,"",0)</f>
        <v>0</v>
      </c>
      <c r="L140" t="str">
        <f>_xlfn.XLOOKUP($I140,RazónMuerte!$A:$A,RazónMuerte!D:D,"",0)</f>
        <v>No fatal injury (chronic/medical)</v>
      </c>
    </row>
    <row r="141" spans="1:12" x14ac:dyDescent="0.25">
      <c r="A141" t="s">
        <v>515</v>
      </c>
      <c r="B141" t="str">
        <f t="shared" si="6"/>
        <v>10</v>
      </c>
      <c r="C141" t="str">
        <f t="shared" si="7"/>
        <v>JULIO</v>
      </c>
      <c r="D141" s="31"/>
      <c r="E141" s="31">
        <v>45483</v>
      </c>
      <c r="F141" s="30" t="s">
        <v>516</v>
      </c>
      <c r="G141">
        <f t="shared" si="8"/>
        <v>1091592</v>
      </c>
      <c r="H141" s="30" t="s">
        <v>517</v>
      </c>
      <c r="I141" s="30" t="s">
        <v>518</v>
      </c>
      <c r="J141" t="str">
        <f>_xlfn.XLOOKUP($I141,RazónMuerte!$A:$A,RazónMuerte!B:B,"",0)</f>
        <v>Otras / No especificada</v>
      </c>
      <c r="K141">
        <f>_xlfn.XLOOKUP($I141,RazónMuerte!$A:$A,RazónMuerte!C:C,"",0)</f>
        <v>0</v>
      </c>
      <c r="L141" t="str">
        <f>_xlfn.XLOOKUP($I141,RazónMuerte!$A:$A,RazónMuerte!D:D,"",0)</f>
        <v>No clasificado</v>
      </c>
    </row>
    <row r="142" spans="1:12" x14ac:dyDescent="0.25">
      <c r="A142" t="s">
        <v>515</v>
      </c>
      <c r="B142" t="str">
        <f t="shared" si="6"/>
        <v>10</v>
      </c>
      <c r="C142" t="str">
        <f t="shared" si="7"/>
        <v>JULIO</v>
      </c>
      <c r="D142" s="20">
        <v>45480</v>
      </c>
      <c r="E142" s="20">
        <v>45483</v>
      </c>
      <c r="F142" t="s">
        <v>74</v>
      </c>
      <c r="G142">
        <f t="shared" si="8"/>
        <v>72</v>
      </c>
      <c r="H142" t="s">
        <v>520</v>
      </c>
      <c r="I142" t="s">
        <v>519</v>
      </c>
      <c r="J142" t="str">
        <f>_xlfn.XLOOKUP($I142,RazónMuerte!$A:$A,RazónMuerte!B:B,"",0)</f>
        <v>Otras / No especificada</v>
      </c>
      <c r="K142">
        <f>_xlfn.XLOOKUP($I142,RazónMuerte!$A:$A,RazónMuerte!C:C,"",0)</f>
        <v>0</v>
      </c>
      <c r="L142" t="str">
        <f>_xlfn.XLOOKUP($I142,RazónMuerte!$A:$A,RazónMuerte!D:D,"",0)</f>
        <v>Fatal injury</v>
      </c>
    </row>
    <row r="143" spans="1:12" x14ac:dyDescent="0.25">
      <c r="A143" t="s">
        <v>521</v>
      </c>
      <c r="B143" t="str">
        <f t="shared" si="6"/>
        <v>11</v>
      </c>
      <c r="C143" t="str">
        <f t="shared" si="7"/>
        <v>JULIO</v>
      </c>
      <c r="D143" s="27">
        <v>45473</v>
      </c>
      <c r="E143" s="20">
        <v>45484</v>
      </c>
      <c r="F143" t="s">
        <v>129</v>
      </c>
      <c r="G143">
        <f t="shared" si="8"/>
        <v>264</v>
      </c>
      <c r="H143" t="s">
        <v>522</v>
      </c>
      <c r="I143" t="s">
        <v>523</v>
      </c>
      <c r="J143" t="str">
        <f>_xlfn.XLOOKUP($I143,RazónMuerte!$A:$A,RazónMuerte!B:B,"",0)</f>
        <v>Otras / No especificada</v>
      </c>
      <c r="K143">
        <f>_xlfn.XLOOKUP($I143,RazónMuerte!$A:$A,RazónMuerte!C:C,"",0)</f>
        <v>0</v>
      </c>
      <c r="L143" t="str">
        <f>_xlfn.XLOOKUP($I143,RazónMuerte!$A:$A,RazónMuerte!D:D,"",0)</f>
        <v>No clasificado</v>
      </c>
    </row>
    <row r="144" spans="1:12" x14ac:dyDescent="0.25">
      <c r="A144" t="s">
        <v>525</v>
      </c>
      <c r="B144" t="str">
        <f t="shared" si="6"/>
        <v>15</v>
      </c>
      <c r="C144" t="str">
        <f t="shared" si="7"/>
        <v>JULIO</v>
      </c>
      <c r="D144" s="27">
        <v>45478</v>
      </c>
      <c r="E144" s="20">
        <v>45488</v>
      </c>
      <c r="F144" t="s">
        <v>99</v>
      </c>
      <c r="G144">
        <f t="shared" si="8"/>
        <v>240</v>
      </c>
      <c r="H144" t="s">
        <v>524</v>
      </c>
      <c r="I144" t="s">
        <v>526</v>
      </c>
      <c r="J144" t="str">
        <f>_xlfn.XLOOKUP($I144,RazónMuerte!$A:$A,RazónMuerte!B:B,"",0)</f>
        <v>Fractura ósea</v>
      </c>
      <c r="K144" t="str">
        <f>_xlfn.XLOOKUP($I144,RazónMuerte!$A:$A,RazónMuerte!C:C,"",0)</f>
        <v>Slab</v>
      </c>
      <c r="L144" t="str">
        <f>_xlfn.XLOOKUP($I144,RazónMuerte!$A:$A,RazónMuerte!D:D,"",0)</f>
        <v>Fatal injury</v>
      </c>
    </row>
    <row r="145" spans="1:12" x14ac:dyDescent="0.25">
      <c r="A145" t="s">
        <v>525</v>
      </c>
      <c r="B145" t="str">
        <f t="shared" si="6"/>
        <v>15</v>
      </c>
      <c r="C145" t="str">
        <f t="shared" si="7"/>
        <v>JULIO</v>
      </c>
      <c r="D145" s="27">
        <v>45452</v>
      </c>
      <c r="E145" s="20">
        <v>45488</v>
      </c>
      <c r="F145" t="s">
        <v>529</v>
      </c>
      <c r="G145">
        <f t="shared" si="8"/>
        <v>864</v>
      </c>
      <c r="H145" t="s">
        <v>528</v>
      </c>
      <c r="I145" t="s">
        <v>527</v>
      </c>
      <c r="J145" t="str">
        <f>_xlfn.XLOOKUP($I145,RazónMuerte!$A:$A,RazónMuerte!B:B,"",0)</f>
        <v>Otras / No especificada</v>
      </c>
      <c r="K145">
        <f>_xlfn.XLOOKUP($I145,RazónMuerte!$A:$A,RazónMuerte!C:C,"",0)</f>
        <v>0</v>
      </c>
      <c r="L145" t="str">
        <f>_xlfn.XLOOKUP($I145,RazónMuerte!$A:$A,RazónMuerte!D:D,"",0)</f>
        <v>No clasificado</v>
      </c>
    </row>
    <row r="146" spans="1:12" x14ac:dyDescent="0.25">
      <c r="A146" t="s">
        <v>530</v>
      </c>
      <c r="B146" t="str">
        <f t="shared" si="6"/>
        <v>17</v>
      </c>
      <c r="C146" t="str">
        <f t="shared" si="7"/>
        <v>JULIO</v>
      </c>
      <c r="D146" s="31"/>
      <c r="E146" s="31">
        <v>45490</v>
      </c>
      <c r="F146" s="30" t="s">
        <v>294</v>
      </c>
      <c r="G146">
        <f t="shared" si="8"/>
        <v>1091760</v>
      </c>
      <c r="H146" s="30" t="s">
        <v>531</v>
      </c>
      <c r="I146" s="30" t="s">
        <v>532</v>
      </c>
      <c r="J146" t="str">
        <f>_xlfn.XLOOKUP($I146,RazónMuerte!$A:$A,RazónMuerte!B:B,"",0)</f>
        <v>Otras / No especificada</v>
      </c>
      <c r="K146">
        <f>_xlfn.XLOOKUP($I146,RazónMuerte!$A:$A,RazónMuerte!C:C,"",0)</f>
        <v>0</v>
      </c>
      <c r="L146" t="str">
        <f>_xlfn.XLOOKUP($I146,RazónMuerte!$A:$A,RazónMuerte!D:D,"",0)</f>
        <v>No clasificado</v>
      </c>
    </row>
    <row r="147" spans="1:12" x14ac:dyDescent="0.25">
      <c r="A147" t="s">
        <v>533</v>
      </c>
      <c r="B147" t="str">
        <f t="shared" si="6"/>
        <v>18</v>
      </c>
      <c r="C147" t="str">
        <f t="shared" si="7"/>
        <v>JULIO</v>
      </c>
      <c r="D147" s="31"/>
      <c r="E147" s="31">
        <v>45491</v>
      </c>
      <c r="F147" s="30" t="s">
        <v>155</v>
      </c>
      <c r="G147">
        <f t="shared" si="8"/>
        <v>1091784</v>
      </c>
      <c r="H147" s="30" t="s">
        <v>534</v>
      </c>
      <c r="I147" s="30" t="s">
        <v>535</v>
      </c>
      <c r="J147" t="str">
        <f>_xlfn.XLOOKUP($I147,RazónMuerte!$A:$A,RazónMuerte!B:B,"",0)</f>
        <v>Fractura ósea</v>
      </c>
      <c r="K147" t="str">
        <f>_xlfn.XLOOKUP($I147,RazónMuerte!$A:$A,RazónMuerte!C:C,"",0)</f>
        <v>Slab</v>
      </c>
      <c r="L147" t="str">
        <f>_xlfn.XLOOKUP($I147,RazónMuerte!$A:$A,RazónMuerte!D:D,"",0)</f>
        <v>Fatal injury</v>
      </c>
    </row>
    <row r="148" spans="1:12" x14ac:dyDescent="0.25">
      <c r="A148" t="s">
        <v>584</v>
      </c>
      <c r="B148" t="str">
        <f t="shared" si="6"/>
        <v>19</v>
      </c>
      <c r="C148" t="str">
        <f t="shared" si="7"/>
        <v>JULIO</v>
      </c>
      <c r="D148" s="27">
        <v>45435</v>
      </c>
      <c r="E148" s="20">
        <v>45492</v>
      </c>
      <c r="F148" t="s">
        <v>44</v>
      </c>
      <c r="G148">
        <f t="shared" si="8"/>
        <v>1368</v>
      </c>
      <c r="H148" t="s">
        <v>587</v>
      </c>
      <c r="I148" t="s">
        <v>588</v>
      </c>
      <c r="J148" t="str">
        <f>_xlfn.XLOOKUP($I148,RazónMuerte!$A:$A,RazónMuerte!B:B,"",0)</f>
        <v>Fractura ósea</v>
      </c>
      <c r="K148" t="str">
        <f>_xlfn.XLOOKUP($I148,RazónMuerte!$A:$A,RazónMuerte!C:C,"",0)</f>
        <v>No especificado</v>
      </c>
      <c r="L148" t="str">
        <f>_xlfn.XLOOKUP($I148,RazónMuerte!$A:$A,RazónMuerte!D:D,"",0)</f>
        <v>Fatal injury</v>
      </c>
    </row>
    <row r="149" spans="1:12" x14ac:dyDescent="0.25">
      <c r="A149" t="s">
        <v>584</v>
      </c>
      <c r="B149" t="str">
        <f t="shared" si="6"/>
        <v>19</v>
      </c>
      <c r="C149" t="str">
        <f t="shared" si="7"/>
        <v>JULIO</v>
      </c>
      <c r="D149" s="27">
        <v>45492</v>
      </c>
      <c r="E149" s="20">
        <v>45492</v>
      </c>
      <c r="F149" t="s">
        <v>93</v>
      </c>
      <c r="G149">
        <f t="shared" si="8"/>
        <v>0</v>
      </c>
      <c r="H149" t="s">
        <v>585</v>
      </c>
      <c r="I149" t="s">
        <v>586</v>
      </c>
      <c r="J149" t="str">
        <f>_xlfn.XLOOKUP($I149,RazónMuerte!$A:$A,RazónMuerte!B:B,"",0)</f>
        <v>Fractura ósea</v>
      </c>
      <c r="K149" t="str">
        <f>_xlfn.XLOOKUP($I149,RazónMuerte!$A:$A,RazónMuerte!C:C,"",0)</f>
        <v>Rodilla / Carpal</v>
      </c>
      <c r="L149" t="str">
        <f>_xlfn.XLOOKUP($I149,RazónMuerte!$A:$A,RazónMuerte!D:D,"",0)</f>
        <v>Fatal injury</v>
      </c>
    </row>
    <row r="150" spans="1:12" x14ac:dyDescent="0.25">
      <c r="A150" t="s">
        <v>544</v>
      </c>
      <c r="B150" t="str">
        <f t="shared" si="6"/>
        <v>20</v>
      </c>
      <c r="C150" t="str">
        <f t="shared" si="7"/>
        <v>JULIO</v>
      </c>
      <c r="D150" s="27">
        <v>45493</v>
      </c>
      <c r="E150" s="20">
        <v>45493</v>
      </c>
      <c r="F150" t="s">
        <v>96</v>
      </c>
      <c r="G150">
        <f t="shared" si="8"/>
        <v>0</v>
      </c>
      <c r="H150" t="s">
        <v>545</v>
      </c>
      <c r="I150" t="s">
        <v>546</v>
      </c>
      <c r="J150" t="str">
        <f>_xlfn.XLOOKUP($I150,RazónMuerte!$A:$A,RazónMuerte!B:B,"",0)</f>
        <v>Fractura ósea</v>
      </c>
      <c r="K150" t="str">
        <f>_xlfn.XLOOKUP($I150,RazónMuerte!$A:$A,RazónMuerte!C:C,"",0)</f>
        <v>Sesamoideo</v>
      </c>
      <c r="L150" t="str">
        <f>_xlfn.XLOOKUP($I150,RazónMuerte!$A:$A,RazónMuerte!D:D,"",0)</f>
        <v>Fatal injury</v>
      </c>
    </row>
    <row r="151" spans="1:12" x14ac:dyDescent="0.25">
      <c r="A151" t="s">
        <v>547</v>
      </c>
      <c r="B151" t="str">
        <f t="shared" si="6"/>
        <v>22</v>
      </c>
      <c r="C151" t="str">
        <f t="shared" si="7"/>
        <v>JULIO</v>
      </c>
      <c r="D151" s="27">
        <v>45494</v>
      </c>
      <c r="E151" s="20">
        <v>45495</v>
      </c>
      <c r="F151" t="s">
        <v>549</v>
      </c>
      <c r="G151">
        <f t="shared" si="8"/>
        <v>24</v>
      </c>
      <c r="H151" t="s">
        <v>550</v>
      </c>
      <c r="I151" t="s">
        <v>551</v>
      </c>
      <c r="J151" t="str">
        <f>_xlfn.XLOOKUP($I151,RazónMuerte!$A:$A,RazónMuerte!B:B,"",0)</f>
        <v>Otras / No especificada</v>
      </c>
      <c r="K151">
        <f>_xlfn.XLOOKUP($I151,RazónMuerte!$A:$A,RazónMuerte!C:C,"",0)</f>
        <v>0</v>
      </c>
      <c r="L151" t="str">
        <f>_xlfn.XLOOKUP($I151,RazónMuerte!$A:$A,RazónMuerte!D:D,"",0)</f>
        <v>No clasificado</v>
      </c>
    </row>
    <row r="152" spans="1:12" x14ac:dyDescent="0.25">
      <c r="A152" t="s">
        <v>547</v>
      </c>
      <c r="B152" t="str">
        <f t="shared" si="6"/>
        <v>22</v>
      </c>
      <c r="C152" t="str">
        <f t="shared" si="7"/>
        <v>JULIO</v>
      </c>
      <c r="D152" s="31"/>
      <c r="E152" s="31">
        <v>45495</v>
      </c>
      <c r="F152" s="30" t="s">
        <v>5</v>
      </c>
      <c r="G152">
        <f t="shared" si="8"/>
        <v>1091880</v>
      </c>
      <c r="H152" s="30" t="s">
        <v>548</v>
      </c>
      <c r="I152" s="30" t="s">
        <v>56</v>
      </c>
      <c r="J152" t="str">
        <f>_xlfn.XLOOKUP($I152,RazónMuerte!$A:$A,RazónMuerte!B:B,"",0)</f>
        <v>Otras / No especificada</v>
      </c>
      <c r="K152">
        <f>_xlfn.XLOOKUP($I152,RazónMuerte!$A:$A,RazónMuerte!C:C,"",0)</f>
        <v>0</v>
      </c>
      <c r="L152" t="str">
        <f>_xlfn.XLOOKUP($I152,RazónMuerte!$A:$A,RazónMuerte!D:D,"",0)</f>
        <v>No clasificado</v>
      </c>
    </row>
    <row r="153" spans="1:12" x14ac:dyDescent="0.25">
      <c r="A153" t="s">
        <v>552</v>
      </c>
      <c r="B153" t="str">
        <f t="shared" si="6"/>
        <v>23</v>
      </c>
      <c r="C153" t="str">
        <f t="shared" si="7"/>
        <v>JULIO</v>
      </c>
      <c r="D153" s="27">
        <v>45443</v>
      </c>
      <c r="E153" s="20">
        <v>45496</v>
      </c>
      <c r="F153" t="s">
        <v>218</v>
      </c>
      <c r="G153">
        <f t="shared" si="8"/>
        <v>1272</v>
      </c>
      <c r="H153" t="s">
        <v>553</v>
      </c>
      <c r="I153" t="s">
        <v>554</v>
      </c>
      <c r="J153" t="str">
        <f>_xlfn.XLOOKUP($I153,RazónMuerte!$A:$A,RazónMuerte!B:B,"",0)</f>
        <v>Fractura ósea</v>
      </c>
      <c r="K153" t="str">
        <f>_xlfn.XLOOKUP($I153,RazónMuerte!$A:$A,RazónMuerte!C:C,"",0)</f>
        <v>Rodilla / Carpal</v>
      </c>
      <c r="L153" t="str">
        <f>_xlfn.XLOOKUP($I153,RazónMuerte!$A:$A,RazónMuerte!D:D,"",0)</f>
        <v>Fatal injury</v>
      </c>
    </row>
    <row r="154" spans="1:12" x14ac:dyDescent="0.25">
      <c r="A154" t="s">
        <v>552</v>
      </c>
      <c r="B154" t="str">
        <f t="shared" si="6"/>
        <v>23</v>
      </c>
      <c r="C154" t="str">
        <f t="shared" si="7"/>
        <v>JULIO</v>
      </c>
      <c r="D154" s="27">
        <v>45495</v>
      </c>
      <c r="E154" s="20">
        <v>45496</v>
      </c>
      <c r="F154" t="s">
        <v>18</v>
      </c>
      <c r="G154">
        <f t="shared" si="8"/>
        <v>24</v>
      </c>
      <c r="H154" t="s">
        <v>555</v>
      </c>
      <c r="I154" t="s">
        <v>556</v>
      </c>
      <c r="J154" t="str">
        <f>_xlfn.XLOOKUP($I154,RazónMuerte!$A:$A,RazónMuerte!B:B,"",0)</f>
        <v>Fractura ósea</v>
      </c>
      <c r="K154" t="str">
        <f>_xlfn.XLOOKUP($I154,RazónMuerte!$A:$A,RazónMuerte!C:C,"",0)</f>
        <v>Sesamoideo</v>
      </c>
      <c r="L154" t="str">
        <f>_xlfn.XLOOKUP($I154,RazónMuerte!$A:$A,RazónMuerte!D:D,"",0)</f>
        <v>Fatal injury</v>
      </c>
    </row>
    <row r="155" spans="1:12" x14ac:dyDescent="0.25">
      <c r="A155" t="s">
        <v>557</v>
      </c>
      <c r="B155" t="str">
        <f t="shared" si="6"/>
        <v>24</v>
      </c>
      <c r="C155" t="str">
        <f t="shared" si="7"/>
        <v>JULIO</v>
      </c>
      <c r="D155" s="27">
        <v>45465</v>
      </c>
      <c r="E155" s="20">
        <v>45497</v>
      </c>
      <c r="F155" t="s">
        <v>558</v>
      </c>
      <c r="G155">
        <f t="shared" si="8"/>
        <v>768</v>
      </c>
      <c r="H155" t="s">
        <v>559</v>
      </c>
      <c r="I155" t="s">
        <v>560</v>
      </c>
      <c r="J155" t="str">
        <f>_xlfn.XLOOKUP($I155,RazónMuerte!$A:$A,RazónMuerte!B:B,"",0)</f>
        <v>Otras / No especificada</v>
      </c>
      <c r="K155">
        <f>_xlfn.XLOOKUP($I155,RazónMuerte!$A:$A,RazónMuerte!C:C,"",0)</f>
        <v>0</v>
      </c>
      <c r="L155" t="str">
        <f>_xlfn.XLOOKUP($I155,RazónMuerte!$A:$A,RazónMuerte!D:D,"",0)</f>
        <v>Fatal injury</v>
      </c>
    </row>
    <row r="156" spans="1:12" x14ac:dyDescent="0.25">
      <c r="A156" t="s">
        <v>561</v>
      </c>
      <c r="B156" t="str">
        <f t="shared" si="6"/>
        <v>26</v>
      </c>
      <c r="C156" t="str">
        <f t="shared" si="7"/>
        <v>JULIO</v>
      </c>
      <c r="D156" s="27">
        <v>45491</v>
      </c>
      <c r="E156" s="20">
        <v>45499</v>
      </c>
      <c r="F156" t="s">
        <v>562</v>
      </c>
      <c r="G156">
        <f t="shared" si="8"/>
        <v>192</v>
      </c>
      <c r="H156" t="s">
        <v>563</v>
      </c>
      <c r="I156" t="s">
        <v>564</v>
      </c>
      <c r="J156" t="str">
        <f>_xlfn.XLOOKUP($I156,RazónMuerte!$A:$A,RazónMuerte!B:B,"",0)</f>
        <v>Fractura ósea</v>
      </c>
      <c r="K156" t="str">
        <f>_xlfn.XLOOKUP($I156,RazónMuerte!$A:$A,RazónMuerte!C:C,"",0)</f>
        <v>Sesamoideo</v>
      </c>
      <c r="L156" t="str">
        <f>_xlfn.XLOOKUP($I156,RazónMuerte!$A:$A,RazónMuerte!D:D,"",0)</f>
        <v>Fatal injury</v>
      </c>
    </row>
    <row r="157" spans="1:12" x14ac:dyDescent="0.25">
      <c r="A157" t="s">
        <v>561</v>
      </c>
      <c r="B157" t="str">
        <f t="shared" si="6"/>
        <v>26</v>
      </c>
      <c r="C157" t="str">
        <f t="shared" si="7"/>
        <v>JULIO</v>
      </c>
      <c r="D157" s="31"/>
      <c r="E157" s="31">
        <v>45499</v>
      </c>
      <c r="F157" s="30" t="s">
        <v>387</v>
      </c>
      <c r="G157">
        <f t="shared" si="8"/>
        <v>1091976</v>
      </c>
      <c r="H157" s="30" t="s">
        <v>565</v>
      </c>
      <c r="I157" s="30" t="s">
        <v>101</v>
      </c>
      <c r="J157" t="str">
        <f>_xlfn.XLOOKUP($I157,RazónMuerte!$A:$A,RazónMuerte!B:B,"",0)</f>
        <v>Fractura ósea</v>
      </c>
      <c r="K157" t="str">
        <f>_xlfn.XLOOKUP($I157,RazónMuerte!$A:$A,RazónMuerte!C:C,"",0)</f>
        <v>Rodilla / Carpal</v>
      </c>
      <c r="L157" t="str">
        <f>_xlfn.XLOOKUP($I157,RazónMuerte!$A:$A,RazónMuerte!D:D,"",0)</f>
        <v>Fatal injury</v>
      </c>
    </row>
    <row r="158" spans="1:12" x14ac:dyDescent="0.25">
      <c r="A158" t="s">
        <v>561</v>
      </c>
      <c r="B158" t="str">
        <f t="shared" si="6"/>
        <v>26</v>
      </c>
      <c r="C158" t="str">
        <f t="shared" si="7"/>
        <v>JULIO</v>
      </c>
      <c r="D158" s="27">
        <v>45282</v>
      </c>
      <c r="E158" s="20">
        <v>45499</v>
      </c>
      <c r="F158" t="s">
        <v>62</v>
      </c>
      <c r="G158">
        <f t="shared" si="8"/>
        <v>5208</v>
      </c>
      <c r="H158" t="s">
        <v>567</v>
      </c>
      <c r="I158" t="s">
        <v>566</v>
      </c>
      <c r="J158" t="str">
        <f>_xlfn.XLOOKUP($I158,RazónMuerte!$A:$A,RazónMuerte!B:B,"",0)</f>
        <v>Fractura ósea</v>
      </c>
      <c r="K158" t="str">
        <f>_xlfn.XLOOKUP($I158,RazónMuerte!$A:$A,RazónMuerte!C:C,"",0)</f>
        <v>Sesamoideo</v>
      </c>
      <c r="L158" t="str">
        <f>_xlfn.XLOOKUP($I158,RazónMuerte!$A:$A,RazónMuerte!D:D,"",0)</f>
        <v>Fatal injury</v>
      </c>
    </row>
    <row r="159" spans="1:12" x14ac:dyDescent="0.25">
      <c r="A159" t="s">
        <v>568</v>
      </c>
      <c r="B159" t="str">
        <f t="shared" si="6"/>
        <v>28</v>
      </c>
      <c r="C159" t="str">
        <f t="shared" si="7"/>
        <v>JULIO</v>
      </c>
      <c r="D159" s="27">
        <v>45111</v>
      </c>
      <c r="E159" s="20">
        <v>45501</v>
      </c>
      <c r="F159" t="s">
        <v>21</v>
      </c>
      <c r="G159">
        <f t="shared" si="8"/>
        <v>9360</v>
      </c>
      <c r="H159" t="s">
        <v>569</v>
      </c>
      <c r="I159" t="s">
        <v>570</v>
      </c>
      <c r="J159" t="str">
        <f>_xlfn.XLOOKUP($I159,RazónMuerte!$A:$A,RazónMuerte!B:B,"",0)</f>
        <v>Otras / No especificada</v>
      </c>
      <c r="K159">
        <f>_xlfn.XLOOKUP($I159,RazónMuerte!$A:$A,RazónMuerte!C:C,"",0)</f>
        <v>0</v>
      </c>
      <c r="L159" t="str">
        <f>_xlfn.XLOOKUP($I159,RazónMuerte!$A:$A,RazónMuerte!D:D,"",0)</f>
        <v>No clasificado</v>
      </c>
    </row>
    <row r="160" spans="1:12" x14ac:dyDescent="0.25">
      <c r="A160" t="s">
        <v>571</v>
      </c>
      <c r="B160" t="str">
        <f t="shared" si="6"/>
        <v>29</v>
      </c>
      <c r="C160" t="str">
        <f t="shared" si="7"/>
        <v>JULIO</v>
      </c>
      <c r="D160" s="27">
        <v>45498</v>
      </c>
      <c r="E160" s="20">
        <v>45502</v>
      </c>
      <c r="F160" t="s">
        <v>572</v>
      </c>
      <c r="G160">
        <f t="shared" si="8"/>
        <v>96</v>
      </c>
      <c r="H160" t="s">
        <v>573</v>
      </c>
      <c r="I160" t="s">
        <v>78</v>
      </c>
      <c r="J160" t="str">
        <f>_xlfn.XLOOKUP($I160,RazónMuerte!$A:$A,RazónMuerte!B:B,"",0)</f>
        <v>Fractura ósea</v>
      </c>
      <c r="K160" t="str">
        <f>_xlfn.XLOOKUP($I160,RazónMuerte!$A:$A,RazónMuerte!C:C,"",0)</f>
        <v>Rodilla / Carpal</v>
      </c>
      <c r="L160" t="str">
        <f>_xlfn.XLOOKUP($I160,RazónMuerte!$A:$A,RazónMuerte!D:D,"",0)</f>
        <v>Fatal injury</v>
      </c>
    </row>
    <row r="161" spans="1:12" x14ac:dyDescent="0.25">
      <c r="A161" t="s">
        <v>571</v>
      </c>
      <c r="B161" t="str">
        <f t="shared" si="6"/>
        <v>29</v>
      </c>
      <c r="C161" t="str">
        <f t="shared" si="7"/>
        <v>JULIO</v>
      </c>
      <c r="D161" s="31"/>
      <c r="E161" s="31">
        <v>45502</v>
      </c>
      <c r="F161" s="30" t="s">
        <v>576</v>
      </c>
      <c r="G161">
        <f t="shared" si="8"/>
        <v>1092048</v>
      </c>
      <c r="H161" s="30" t="s">
        <v>575</v>
      </c>
      <c r="I161" s="30" t="s">
        <v>574</v>
      </c>
      <c r="J161" t="str">
        <f>_xlfn.XLOOKUP($I161,RazónMuerte!$A:$A,RazónMuerte!B:B,"",0)</f>
        <v>Fractura ósea</v>
      </c>
      <c r="K161" t="str">
        <f>_xlfn.XLOOKUP($I161,RazónMuerte!$A:$A,RazónMuerte!C:C,"",0)</f>
        <v>Sesamoideo</v>
      </c>
      <c r="L161" t="str">
        <f>_xlfn.XLOOKUP($I161,RazónMuerte!$A:$A,RazónMuerte!D:D,"",0)</f>
        <v>Fatal injury</v>
      </c>
    </row>
    <row r="162" spans="1:12" x14ac:dyDescent="0.25">
      <c r="A162" t="s">
        <v>571</v>
      </c>
      <c r="B162" t="str">
        <f t="shared" si="6"/>
        <v>29</v>
      </c>
      <c r="C162" t="str">
        <f t="shared" si="7"/>
        <v>JULIO</v>
      </c>
      <c r="D162" s="31"/>
      <c r="E162" s="31">
        <v>45502</v>
      </c>
      <c r="F162" s="30" t="s">
        <v>577</v>
      </c>
      <c r="G162">
        <f t="shared" si="8"/>
        <v>1092048</v>
      </c>
      <c r="H162" s="30" t="s">
        <v>578</v>
      </c>
      <c r="I162" s="30" t="s">
        <v>579</v>
      </c>
      <c r="J162" t="str">
        <f>_xlfn.XLOOKUP($I162,RazónMuerte!$A:$A,RazónMuerte!B:B,"",0)</f>
        <v>Fractura ósea</v>
      </c>
      <c r="K162" t="str">
        <f>_xlfn.XLOOKUP($I162,RazónMuerte!$A:$A,RazónMuerte!C:C,"",0)</f>
        <v>Sesamoideo</v>
      </c>
      <c r="L162" t="str">
        <f>_xlfn.XLOOKUP($I162,RazónMuerte!$A:$A,RazónMuerte!D:D,"",0)</f>
        <v>Fatal injury</v>
      </c>
    </row>
    <row r="163" spans="1:12" x14ac:dyDescent="0.25">
      <c r="A163" t="s">
        <v>580</v>
      </c>
      <c r="B163" t="str">
        <f t="shared" si="6"/>
        <v>31</v>
      </c>
      <c r="C163" t="str">
        <f t="shared" si="7"/>
        <v>JULIO</v>
      </c>
      <c r="D163" s="27">
        <v>45424</v>
      </c>
      <c r="E163" s="20">
        <v>45504</v>
      </c>
      <c r="F163" t="s">
        <v>581</v>
      </c>
      <c r="G163">
        <f t="shared" si="8"/>
        <v>1920</v>
      </c>
      <c r="H163" t="s">
        <v>582</v>
      </c>
      <c r="I163" t="s">
        <v>583</v>
      </c>
      <c r="J163" t="str">
        <f>_xlfn.XLOOKUP($I163,RazónMuerte!$A:$A,RazónMuerte!B:B,"",0)</f>
        <v>Otras / No especificada</v>
      </c>
      <c r="K163">
        <f>_xlfn.XLOOKUP($I163,RazónMuerte!$A:$A,RazónMuerte!C:C,"",0)</f>
        <v>0</v>
      </c>
      <c r="L163" t="str">
        <f>_xlfn.XLOOKUP($I163,RazónMuerte!$A:$A,RazónMuerte!D:D,"",0)</f>
        <v>No clasificado</v>
      </c>
    </row>
    <row r="164" spans="1:12" x14ac:dyDescent="0.25">
      <c r="A164" t="s">
        <v>580</v>
      </c>
      <c r="B164" t="str">
        <f t="shared" si="6"/>
        <v>31</v>
      </c>
      <c r="C164" t="str">
        <f t="shared" si="7"/>
        <v>JULIO</v>
      </c>
      <c r="D164" s="27">
        <v>45492</v>
      </c>
      <c r="E164" s="20">
        <v>45504</v>
      </c>
      <c r="F164" t="s">
        <v>589</v>
      </c>
      <c r="G164">
        <f t="shared" si="8"/>
        <v>288</v>
      </c>
      <c r="H164" t="s">
        <v>590</v>
      </c>
      <c r="I164" t="s">
        <v>591</v>
      </c>
      <c r="J164" t="str">
        <f>_xlfn.XLOOKUP($I164,RazónMuerte!$A:$A,RazónMuerte!B:B,"",0)</f>
        <v>Fractura ósea</v>
      </c>
      <c r="K164" t="str">
        <f>_xlfn.XLOOKUP($I164,RazónMuerte!$A:$A,RazónMuerte!C:C,"",0)</f>
        <v>Sesamoideo</v>
      </c>
      <c r="L164" t="str">
        <f>_xlfn.XLOOKUP($I164,RazónMuerte!$A:$A,RazónMuerte!D:D,"",0)</f>
        <v>Fatal injury</v>
      </c>
    </row>
    <row r="165" spans="1:12" x14ac:dyDescent="0.25">
      <c r="A165" t="s">
        <v>592</v>
      </c>
      <c r="B165" t="str">
        <f t="shared" si="6"/>
        <v>2</v>
      </c>
      <c r="C165" t="str">
        <f t="shared" si="7"/>
        <v>AGOSTO</v>
      </c>
      <c r="D165" s="27">
        <v>45501</v>
      </c>
      <c r="E165" s="20">
        <v>45506</v>
      </c>
      <c r="F165" t="s">
        <v>593</v>
      </c>
      <c r="G165">
        <f t="shared" si="8"/>
        <v>120</v>
      </c>
      <c r="H165" t="s">
        <v>594</v>
      </c>
      <c r="I165" t="s">
        <v>595</v>
      </c>
      <c r="J165" t="str">
        <f>_xlfn.XLOOKUP($I165,RazónMuerte!$A:$A,RazónMuerte!B:B,"",0)</f>
        <v>Otras / No especificada</v>
      </c>
      <c r="K165">
        <f>_xlfn.XLOOKUP($I165,RazónMuerte!$A:$A,RazónMuerte!C:C,"",0)</f>
        <v>0</v>
      </c>
      <c r="L165" t="str">
        <f>_xlfn.XLOOKUP($I165,RazónMuerte!$A:$A,RazónMuerte!D:D,"",0)</f>
        <v>No clasificado</v>
      </c>
    </row>
    <row r="166" spans="1:12" x14ac:dyDescent="0.25">
      <c r="A166" t="s">
        <v>592</v>
      </c>
      <c r="B166" t="str">
        <f t="shared" si="6"/>
        <v>2</v>
      </c>
      <c r="C166" t="str">
        <f t="shared" si="7"/>
        <v>AGOSTO</v>
      </c>
      <c r="D166" s="31"/>
      <c r="E166" s="31">
        <v>45506</v>
      </c>
      <c r="F166" s="30" t="s">
        <v>600</v>
      </c>
      <c r="G166">
        <f t="shared" si="8"/>
        <v>1092144</v>
      </c>
      <c r="H166" s="30" t="s">
        <v>601</v>
      </c>
      <c r="I166" s="30" t="s">
        <v>523</v>
      </c>
      <c r="J166" t="str">
        <f>_xlfn.XLOOKUP($I166,RazónMuerte!$A:$A,RazónMuerte!B:B,"",0)</f>
        <v>Otras / No especificada</v>
      </c>
      <c r="K166">
        <f>_xlfn.XLOOKUP($I166,RazónMuerte!$A:$A,RazónMuerte!C:C,"",0)</f>
        <v>0</v>
      </c>
      <c r="L166" t="str">
        <f>_xlfn.XLOOKUP($I166,RazónMuerte!$A:$A,RazónMuerte!D:D,"",0)</f>
        <v>No clasificado</v>
      </c>
    </row>
    <row r="167" spans="1:12" x14ac:dyDescent="0.25">
      <c r="A167" t="s">
        <v>596</v>
      </c>
      <c r="B167" t="str">
        <f t="shared" si="6"/>
        <v>3</v>
      </c>
      <c r="C167" t="str">
        <f t="shared" si="7"/>
        <v>AGOSTO</v>
      </c>
      <c r="D167" s="27">
        <v>45506</v>
      </c>
      <c r="E167" s="20">
        <v>45507</v>
      </c>
      <c r="F167" t="s">
        <v>597</v>
      </c>
      <c r="G167">
        <f t="shared" si="8"/>
        <v>24</v>
      </c>
      <c r="H167" t="s">
        <v>598</v>
      </c>
      <c r="I167" t="s">
        <v>599</v>
      </c>
      <c r="J167" t="str">
        <f>_xlfn.XLOOKUP($I167,RazónMuerte!$A:$A,RazónMuerte!B:B,"",0)</f>
        <v>Fractura ósea</v>
      </c>
      <c r="K167" t="str">
        <f>_xlfn.XLOOKUP($I167,RazónMuerte!$A:$A,RazónMuerte!C:C,"",0)</f>
        <v>Sesamoideo</v>
      </c>
      <c r="L167" t="str">
        <f>_xlfn.XLOOKUP($I167,RazónMuerte!$A:$A,RazónMuerte!D:D,"",0)</f>
        <v>Fatal injury</v>
      </c>
    </row>
    <row r="168" spans="1:12" x14ac:dyDescent="0.25">
      <c r="A168" t="s">
        <v>602</v>
      </c>
      <c r="B168" t="str">
        <f t="shared" si="6"/>
        <v>8</v>
      </c>
      <c r="C168" t="str">
        <f t="shared" si="7"/>
        <v>AGOSTO</v>
      </c>
      <c r="D168" s="27">
        <v>45507</v>
      </c>
      <c r="E168" s="20">
        <v>45512</v>
      </c>
      <c r="F168" t="s">
        <v>603</v>
      </c>
      <c r="G168">
        <f t="shared" si="8"/>
        <v>120</v>
      </c>
      <c r="H168" t="s">
        <v>604</v>
      </c>
      <c r="I168" t="s">
        <v>605</v>
      </c>
      <c r="J168" t="str">
        <f>_xlfn.XLOOKUP($I168,RazónMuerte!$A:$A,RazónMuerte!B:B,"",0)</f>
        <v>Fractura ósea</v>
      </c>
      <c r="K168" t="str">
        <f>_xlfn.XLOOKUP($I168,RazónMuerte!$A:$A,RazónMuerte!C:C,"",0)</f>
        <v>Slab</v>
      </c>
      <c r="L168" t="str">
        <f>_xlfn.XLOOKUP($I168,RazónMuerte!$A:$A,RazónMuerte!D:D,"",0)</f>
        <v>Fatal injury</v>
      </c>
    </row>
    <row r="169" spans="1:12" x14ac:dyDescent="0.25">
      <c r="A169" t="s">
        <v>608</v>
      </c>
      <c r="B169" t="str">
        <f t="shared" si="6"/>
        <v>13</v>
      </c>
      <c r="C169" t="str">
        <f t="shared" si="7"/>
        <v>AGOSTO</v>
      </c>
      <c r="D169" s="27">
        <v>45513</v>
      </c>
      <c r="E169" s="20">
        <v>45517</v>
      </c>
      <c r="F169" t="s">
        <v>607</v>
      </c>
      <c r="G169">
        <f t="shared" si="8"/>
        <v>96</v>
      </c>
      <c r="H169" t="s">
        <v>606</v>
      </c>
      <c r="I169" t="s">
        <v>54</v>
      </c>
      <c r="J169" t="str">
        <f>_xlfn.XLOOKUP($I169,RazónMuerte!$A:$A,RazónMuerte!B:B,"",0)</f>
        <v>Fractura ósea</v>
      </c>
      <c r="K169" t="str">
        <f>_xlfn.XLOOKUP($I169,RazónMuerte!$A:$A,RazónMuerte!C:C,"",0)</f>
        <v>Rodilla / Carpal</v>
      </c>
      <c r="L169" t="str">
        <f>_xlfn.XLOOKUP($I169,RazónMuerte!$A:$A,RazónMuerte!D:D,"",0)</f>
        <v>Fatal injury</v>
      </c>
    </row>
    <row r="170" spans="1:12" x14ac:dyDescent="0.25">
      <c r="A170" t="s">
        <v>609</v>
      </c>
      <c r="B170" t="str">
        <f t="shared" si="6"/>
        <v>17</v>
      </c>
      <c r="C170" t="str">
        <f t="shared" si="7"/>
        <v>AGOSTO</v>
      </c>
      <c r="D170" s="27">
        <v>45520</v>
      </c>
      <c r="E170" s="20">
        <v>45521</v>
      </c>
      <c r="F170" t="s">
        <v>610</v>
      </c>
      <c r="G170">
        <f t="shared" si="8"/>
        <v>24</v>
      </c>
      <c r="H170" t="s">
        <v>611</v>
      </c>
      <c r="I170" t="s">
        <v>612</v>
      </c>
      <c r="J170" t="str">
        <f>_xlfn.XLOOKUP($I170,RazónMuerte!$A:$A,RazónMuerte!B:B,"",0)</f>
        <v>Fractura ósea</v>
      </c>
      <c r="K170" t="str">
        <f>_xlfn.XLOOKUP($I170,RazónMuerte!$A:$A,RazónMuerte!C:C,"",0)</f>
        <v>Rodilla / Carpal</v>
      </c>
      <c r="L170" t="str">
        <f>_xlfn.XLOOKUP($I170,RazónMuerte!$A:$A,RazónMuerte!D:D,"",0)</f>
        <v>Fatal injury</v>
      </c>
    </row>
    <row r="171" spans="1:12" x14ac:dyDescent="0.25">
      <c r="A171" t="s">
        <v>613</v>
      </c>
      <c r="B171" t="str">
        <f t="shared" si="6"/>
        <v>19</v>
      </c>
      <c r="C171" t="str">
        <f t="shared" si="7"/>
        <v>AGOSTO</v>
      </c>
      <c r="D171" s="27">
        <v>45428</v>
      </c>
      <c r="E171" s="20">
        <v>45523</v>
      </c>
      <c r="F171" t="s">
        <v>107</v>
      </c>
      <c r="G171">
        <f t="shared" si="8"/>
        <v>2280</v>
      </c>
      <c r="H171" t="s">
        <v>614</v>
      </c>
      <c r="I171" t="s">
        <v>91</v>
      </c>
      <c r="J171" t="str">
        <f>_xlfn.XLOOKUP($I171,RazónMuerte!$A:$A,RazónMuerte!B:B,"",0)</f>
        <v>Fractura ósea</v>
      </c>
      <c r="K171" t="str">
        <f>_xlfn.XLOOKUP($I171,RazónMuerte!$A:$A,RazónMuerte!C:C,"",0)</f>
        <v>Sesamoideo</v>
      </c>
      <c r="L171" t="str">
        <f>_xlfn.XLOOKUP($I171,RazónMuerte!$A:$A,RazónMuerte!D:D,"",0)</f>
        <v>Fatal injury</v>
      </c>
    </row>
    <row r="172" spans="1:12" x14ac:dyDescent="0.25">
      <c r="A172" t="s">
        <v>613</v>
      </c>
      <c r="B172" t="str">
        <f t="shared" si="6"/>
        <v>19</v>
      </c>
      <c r="C172" t="str">
        <f t="shared" si="7"/>
        <v>AGOSTO</v>
      </c>
      <c r="D172" s="31"/>
      <c r="E172" s="31">
        <v>45523</v>
      </c>
      <c r="F172" s="30" t="s">
        <v>618</v>
      </c>
      <c r="G172">
        <f t="shared" si="8"/>
        <v>1092552</v>
      </c>
      <c r="H172" s="30" t="s">
        <v>617</v>
      </c>
      <c r="I172" s="30" t="s">
        <v>615</v>
      </c>
      <c r="J172" t="str">
        <f>_xlfn.XLOOKUP($I172,RazónMuerte!$A:$A,RazónMuerte!B:B,"",0)</f>
        <v>Fractura ósea</v>
      </c>
      <c r="K172" t="str">
        <f>_xlfn.XLOOKUP($I172,RazónMuerte!$A:$A,RazónMuerte!C:C,"",0)</f>
        <v>No especificado</v>
      </c>
      <c r="L172" t="str">
        <f>_xlfn.XLOOKUP($I172,RazónMuerte!$A:$A,RazónMuerte!D:D,"",0)</f>
        <v>Fatal injury</v>
      </c>
    </row>
    <row r="173" spans="1:12" x14ac:dyDescent="0.25">
      <c r="A173" t="s">
        <v>613</v>
      </c>
      <c r="B173" t="str">
        <f t="shared" si="6"/>
        <v>19</v>
      </c>
      <c r="C173" t="str">
        <f t="shared" si="7"/>
        <v>AGOSTO</v>
      </c>
      <c r="D173" s="27">
        <v>45060</v>
      </c>
      <c r="E173" s="20">
        <v>45523</v>
      </c>
      <c r="F173" t="s">
        <v>81</v>
      </c>
      <c r="G173">
        <f t="shared" si="8"/>
        <v>11112</v>
      </c>
      <c r="H173" t="s">
        <v>619</v>
      </c>
      <c r="I173" t="s">
        <v>616</v>
      </c>
      <c r="J173" t="str">
        <f>_xlfn.XLOOKUP($I173,RazónMuerte!$A:$A,RazónMuerte!B:B,"",0)</f>
        <v>Fractura ósea</v>
      </c>
      <c r="K173" t="str">
        <f>_xlfn.XLOOKUP($I173,RazónMuerte!$A:$A,RazónMuerte!C:C,"",0)</f>
        <v>No especificado</v>
      </c>
      <c r="L173" t="str">
        <f>_xlfn.XLOOKUP($I173,RazónMuerte!$A:$A,RazónMuerte!D:D,"",0)</f>
        <v>Fatal injury</v>
      </c>
    </row>
    <row r="174" spans="1:12" x14ac:dyDescent="0.25">
      <c r="A174" t="s">
        <v>613</v>
      </c>
      <c r="B174" t="str">
        <f t="shared" si="6"/>
        <v>19</v>
      </c>
      <c r="C174" t="str">
        <f t="shared" si="7"/>
        <v>AGOSTO</v>
      </c>
      <c r="D174" s="31"/>
      <c r="E174" s="31">
        <v>45523</v>
      </c>
      <c r="F174" s="30" t="s">
        <v>74</v>
      </c>
      <c r="G174">
        <f t="shared" si="8"/>
        <v>1092552</v>
      </c>
      <c r="H174" s="30" t="s">
        <v>620</v>
      </c>
      <c r="I174" s="30" t="s">
        <v>621</v>
      </c>
      <c r="J174" t="str">
        <f>_xlfn.XLOOKUP($I174,RazónMuerte!$A:$A,RazónMuerte!B:B,"",0)</f>
        <v>Otras / No especificada</v>
      </c>
      <c r="K174">
        <f>_xlfn.XLOOKUP($I174,RazónMuerte!$A:$A,RazónMuerte!C:C,"",0)</f>
        <v>0</v>
      </c>
      <c r="L174" t="str">
        <f>_xlfn.XLOOKUP($I174,RazónMuerte!$A:$A,RazónMuerte!D:D,"",0)</f>
        <v>No clasificado</v>
      </c>
    </row>
    <row r="175" spans="1:12" x14ac:dyDescent="0.25">
      <c r="A175" t="s">
        <v>624</v>
      </c>
      <c r="B175" t="str">
        <f t="shared" si="6"/>
        <v>20</v>
      </c>
      <c r="C175" t="str">
        <f t="shared" si="7"/>
        <v>AGOSTO</v>
      </c>
      <c r="D175" s="27">
        <v>45523</v>
      </c>
      <c r="E175" s="20">
        <v>45524</v>
      </c>
      <c r="F175" t="s">
        <v>597</v>
      </c>
      <c r="G175">
        <f t="shared" si="8"/>
        <v>24</v>
      </c>
      <c r="H175" t="s">
        <v>623</v>
      </c>
      <c r="I175" t="s">
        <v>622</v>
      </c>
      <c r="J175" t="str">
        <f>_xlfn.XLOOKUP($I175,RazónMuerte!$A:$A,RazónMuerte!B:B,"",0)</f>
        <v>Fractura ósea</v>
      </c>
      <c r="K175" t="str">
        <f>_xlfn.XLOOKUP($I175,RazónMuerte!$A:$A,RazónMuerte!C:C,"",0)</f>
        <v>No especificado</v>
      </c>
      <c r="L175" t="str">
        <f>_xlfn.XLOOKUP($I175,RazónMuerte!$A:$A,RazónMuerte!D:D,"",0)</f>
        <v>Fatal injury</v>
      </c>
    </row>
    <row r="176" spans="1:12" x14ac:dyDescent="0.25">
      <c r="A176" t="s">
        <v>625</v>
      </c>
      <c r="B176" t="str">
        <f t="shared" si="6"/>
        <v>28</v>
      </c>
      <c r="C176" t="str">
        <f t="shared" si="7"/>
        <v>AGOSTO</v>
      </c>
      <c r="D176" s="27">
        <v>45529</v>
      </c>
      <c r="E176" s="20">
        <v>45532</v>
      </c>
      <c r="F176" t="s">
        <v>626</v>
      </c>
      <c r="G176">
        <f t="shared" si="8"/>
        <v>72</v>
      </c>
      <c r="H176" t="s">
        <v>627</v>
      </c>
      <c r="I176" t="s">
        <v>628</v>
      </c>
      <c r="J176" t="str">
        <f>_xlfn.XLOOKUP($I176,RazónMuerte!$A:$A,RazónMuerte!B:B,"",0)</f>
        <v>Fractura ósea</v>
      </c>
      <c r="K176" t="str">
        <f>_xlfn.XLOOKUP($I176,RazónMuerte!$A:$A,RazónMuerte!C:C,"",0)</f>
        <v>Rodilla / Carpal</v>
      </c>
      <c r="L176" t="str">
        <f>_xlfn.XLOOKUP($I176,RazónMuerte!$A:$A,RazónMuerte!D:D,"",0)</f>
        <v>Fatal injury</v>
      </c>
    </row>
    <row r="177" spans="1:12" x14ac:dyDescent="0.25">
      <c r="A177" t="s">
        <v>625</v>
      </c>
      <c r="B177" t="str">
        <f t="shared" si="6"/>
        <v>28</v>
      </c>
      <c r="C177" t="str">
        <f t="shared" si="7"/>
        <v>AGOSTO</v>
      </c>
      <c r="D177" s="27">
        <v>45495</v>
      </c>
      <c r="E177" s="20">
        <v>45532</v>
      </c>
      <c r="F177" t="s">
        <v>58</v>
      </c>
      <c r="G177">
        <f t="shared" si="8"/>
        <v>888</v>
      </c>
      <c r="H177" t="s">
        <v>630</v>
      </c>
      <c r="I177" t="s">
        <v>629</v>
      </c>
      <c r="J177" t="str">
        <f>_xlfn.XLOOKUP($I177,RazónMuerte!$A:$A,RazónMuerte!B:B,"",0)</f>
        <v>Enfermedad degenerativa articular</v>
      </c>
      <c r="K177">
        <f>_xlfn.XLOOKUP($I177,RazónMuerte!$A:$A,RazónMuerte!C:C,"",0)</f>
        <v>0</v>
      </c>
      <c r="L177" t="str">
        <f>_xlfn.XLOOKUP($I177,RazónMuerte!$A:$A,RazónMuerte!D:D,"",0)</f>
        <v>Fatal injury</v>
      </c>
    </row>
    <row r="178" spans="1:12" x14ac:dyDescent="0.25">
      <c r="A178" t="s">
        <v>631</v>
      </c>
      <c r="B178" t="str">
        <f t="shared" si="6"/>
        <v>31</v>
      </c>
      <c r="C178" t="str">
        <f t="shared" si="7"/>
        <v>AGOSTO</v>
      </c>
      <c r="D178" s="27">
        <v>45522</v>
      </c>
      <c r="E178" s="20">
        <v>45535</v>
      </c>
      <c r="F178" t="s">
        <v>632</v>
      </c>
      <c r="G178">
        <f t="shared" si="8"/>
        <v>312</v>
      </c>
      <c r="H178" t="s">
        <v>633</v>
      </c>
      <c r="I178" t="s">
        <v>634</v>
      </c>
      <c r="J178" t="str">
        <f>_xlfn.XLOOKUP($I178,RazónMuerte!$A:$A,RazónMuerte!B:B,"",0)</f>
        <v>Otras / No especificada</v>
      </c>
      <c r="K178">
        <f>_xlfn.XLOOKUP($I178,RazónMuerte!$A:$A,RazónMuerte!C:C,"",0)</f>
        <v>0</v>
      </c>
      <c r="L178" t="str">
        <f>_xlfn.XLOOKUP($I178,RazónMuerte!$A:$A,RazónMuerte!D:D,"",0)</f>
        <v>No clasificado</v>
      </c>
    </row>
    <row r="179" spans="1:12" x14ac:dyDescent="0.25">
      <c r="A179" t="s">
        <v>635</v>
      </c>
      <c r="B179" t="str">
        <f t="shared" si="6"/>
        <v>3</v>
      </c>
      <c r="C179" t="str">
        <f t="shared" si="7"/>
        <v>SEPTIEMBRE</v>
      </c>
      <c r="D179" s="27">
        <v>45535</v>
      </c>
      <c r="E179" s="20">
        <v>45538</v>
      </c>
      <c r="F179" t="s">
        <v>35</v>
      </c>
      <c r="G179">
        <f t="shared" si="8"/>
        <v>72</v>
      </c>
      <c r="H179" t="s">
        <v>636</v>
      </c>
      <c r="I179" t="s">
        <v>101</v>
      </c>
      <c r="J179" t="str">
        <f>_xlfn.XLOOKUP($I179,RazónMuerte!$A:$A,RazónMuerte!B:B,"",0)</f>
        <v>Fractura ósea</v>
      </c>
      <c r="K179" t="str">
        <f>_xlfn.XLOOKUP($I179,RazónMuerte!$A:$A,RazónMuerte!C:C,"",0)</f>
        <v>Rodilla / Carpal</v>
      </c>
      <c r="L179" t="str">
        <f>_xlfn.XLOOKUP($I179,RazónMuerte!$A:$A,RazónMuerte!D:D,"",0)</f>
        <v>Fatal injury</v>
      </c>
    </row>
    <row r="180" spans="1:12" x14ac:dyDescent="0.25">
      <c r="A180" t="s">
        <v>637</v>
      </c>
      <c r="B180" t="str">
        <f t="shared" si="6"/>
        <v>5</v>
      </c>
      <c r="C180" t="str">
        <f t="shared" si="7"/>
        <v>SEPTIEMBRE</v>
      </c>
      <c r="D180" s="27">
        <v>45528</v>
      </c>
      <c r="E180" s="20">
        <v>45540</v>
      </c>
      <c r="F180" t="s">
        <v>108</v>
      </c>
      <c r="G180">
        <f t="shared" si="8"/>
        <v>288</v>
      </c>
      <c r="H180" t="s">
        <v>638</v>
      </c>
      <c r="I180" t="s">
        <v>639</v>
      </c>
      <c r="J180" t="str">
        <f>_xlfn.XLOOKUP($I180,RazónMuerte!$A:$A,RazónMuerte!B:B,"",0)</f>
        <v>Enfermedad degenerativa articular</v>
      </c>
      <c r="K180">
        <f>_xlfn.XLOOKUP($I180,RazónMuerte!$A:$A,RazónMuerte!C:C,"",0)</f>
        <v>0</v>
      </c>
      <c r="L180" t="str">
        <f>_xlfn.XLOOKUP($I180,RazónMuerte!$A:$A,RazónMuerte!D:D,"",0)</f>
        <v>No fatal injury (chronic/medical)</v>
      </c>
    </row>
    <row r="181" spans="1:12" x14ac:dyDescent="0.25">
      <c r="A181" t="s">
        <v>637</v>
      </c>
      <c r="B181" t="str">
        <f t="shared" si="6"/>
        <v>5</v>
      </c>
      <c r="C181" t="str">
        <f t="shared" si="7"/>
        <v>SEPTIEMBRE</v>
      </c>
      <c r="D181" s="27">
        <v>45537</v>
      </c>
      <c r="E181" s="20">
        <v>45540</v>
      </c>
      <c r="F181" t="s">
        <v>640</v>
      </c>
      <c r="G181">
        <f t="shared" si="8"/>
        <v>72</v>
      </c>
      <c r="H181" t="s">
        <v>641</v>
      </c>
      <c r="I181" t="s">
        <v>642</v>
      </c>
      <c r="J181" t="str">
        <f>_xlfn.XLOOKUP($I181,RazónMuerte!$A:$A,RazónMuerte!B:B,"",0)</f>
        <v>Fractura ósea</v>
      </c>
      <c r="K181" t="str">
        <f>_xlfn.XLOOKUP($I181,RazónMuerte!$A:$A,RazónMuerte!C:C,"",0)</f>
        <v>No especificado</v>
      </c>
      <c r="L181" t="str">
        <f>_xlfn.XLOOKUP($I181,RazónMuerte!$A:$A,RazónMuerte!D:D,"",0)</f>
        <v>Fatal injury</v>
      </c>
    </row>
    <row r="182" spans="1:12" x14ac:dyDescent="0.25">
      <c r="A182" t="s">
        <v>646</v>
      </c>
      <c r="B182" t="str">
        <f t="shared" si="6"/>
        <v>6</v>
      </c>
      <c r="C182" t="str">
        <f t="shared" si="7"/>
        <v>SEPTIEMBRE</v>
      </c>
      <c r="D182" s="27">
        <v>45537</v>
      </c>
      <c r="E182" s="20">
        <v>45541</v>
      </c>
      <c r="F182" t="s">
        <v>645</v>
      </c>
      <c r="G182">
        <f t="shared" si="8"/>
        <v>96</v>
      </c>
      <c r="H182" t="s">
        <v>644</v>
      </c>
      <c r="I182" t="s">
        <v>643</v>
      </c>
      <c r="J182" t="str">
        <f>_xlfn.XLOOKUP($I182,RazónMuerte!$A:$A,RazónMuerte!B:B,"",0)</f>
        <v>Fractura ósea</v>
      </c>
      <c r="K182" t="str">
        <f>_xlfn.XLOOKUP($I182,RazónMuerte!$A:$A,RazónMuerte!C:C,"",0)</f>
        <v>Fetlock</v>
      </c>
      <c r="L182" t="str">
        <f>_xlfn.XLOOKUP($I182,RazónMuerte!$A:$A,RazónMuerte!D:D,"",0)</f>
        <v>Fatal injury</v>
      </c>
    </row>
    <row r="183" spans="1:12" x14ac:dyDescent="0.25">
      <c r="A183" t="s">
        <v>646</v>
      </c>
      <c r="B183" t="str">
        <f t="shared" si="6"/>
        <v>6</v>
      </c>
      <c r="C183" t="str">
        <f t="shared" si="7"/>
        <v>SEPTIEMBRE</v>
      </c>
      <c r="D183" s="31"/>
      <c r="E183" s="31">
        <v>45541</v>
      </c>
      <c r="F183" s="30" t="s">
        <v>104</v>
      </c>
      <c r="G183">
        <f t="shared" si="8"/>
        <v>1092984</v>
      </c>
      <c r="H183" s="30" t="s">
        <v>647</v>
      </c>
      <c r="I183" s="30" t="s">
        <v>648</v>
      </c>
      <c r="J183" t="str">
        <f>_xlfn.XLOOKUP($I183,RazónMuerte!$A:$A,RazónMuerte!B:B,"",0)</f>
        <v>Enfermedad degenerativa articular</v>
      </c>
      <c r="K183">
        <f>_xlfn.XLOOKUP($I183,RazónMuerte!$A:$A,RazónMuerte!C:C,"",0)</f>
        <v>0</v>
      </c>
      <c r="L183" t="str">
        <f>_xlfn.XLOOKUP($I183,RazónMuerte!$A:$A,RazónMuerte!D:D,"",0)</f>
        <v>Fatal injury</v>
      </c>
    </row>
    <row r="184" spans="1:12" x14ac:dyDescent="0.25">
      <c r="A184" t="s">
        <v>649</v>
      </c>
      <c r="B184" t="str">
        <f t="shared" si="6"/>
        <v>7</v>
      </c>
      <c r="C184" t="str">
        <f t="shared" si="7"/>
        <v>SEPTIEMBRE</v>
      </c>
      <c r="D184" s="31"/>
      <c r="E184" s="31">
        <v>45542</v>
      </c>
      <c r="F184" s="30" t="s">
        <v>6</v>
      </c>
      <c r="G184">
        <f t="shared" si="8"/>
        <v>1093008</v>
      </c>
      <c r="H184" s="30" t="s">
        <v>650</v>
      </c>
      <c r="I184" s="30" t="s">
        <v>87</v>
      </c>
      <c r="J184" t="str">
        <f>_xlfn.XLOOKUP($I184,RazónMuerte!$A:$A,RazónMuerte!B:B,"",0)</f>
        <v>Otras / No especificada</v>
      </c>
      <c r="K184">
        <f>_xlfn.XLOOKUP($I184,RazónMuerte!$A:$A,RazónMuerte!C:C,"",0)</f>
        <v>0</v>
      </c>
      <c r="L184" t="str">
        <f>_xlfn.XLOOKUP($I184,RazónMuerte!$A:$A,RazónMuerte!D:D,"",0)</f>
        <v>No clasificado</v>
      </c>
    </row>
    <row r="185" spans="1:12" x14ac:dyDescent="0.25">
      <c r="A185" t="s">
        <v>651</v>
      </c>
      <c r="B185" t="str">
        <f t="shared" si="6"/>
        <v>9</v>
      </c>
      <c r="C185" t="str">
        <f t="shared" si="7"/>
        <v>SEPTIEMBRE</v>
      </c>
      <c r="D185" s="27">
        <v>45543</v>
      </c>
      <c r="E185" s="20">
        <v>45544</v>
      </c>
      <c r="F185" t="s">
        <v>11</v>
      </c>
      <c r="G185">
        <f t="shared" si="8"/>
        <v>24</v>
      </c>
      <c r="H185" t="s">
        <v>652</v>
      </c>
      <c r="I185" t="s">
        <v>653</v>
      </c>
      <c r="J185" t="str">
        <f>_xlfn.XLOOKUP($I185,RazónMuerte!$A:$A,RazónMuerte!B:B,"",0)</f>
        <v>Otras / No especificada</v>
      </c>
      <c r="K185">
        <f>_xlfn.XLOOKUP($I185,RazónMuerte!$A:$A,RazónMuerte!C:C,"",0)</f>
        <v>0</v>
      </c>
      <c r="L185" t="str">
        <f>_xlfn.XLOOKUP($I185,RazónMuerte!$A:$A,RazónMuerte!D:D,"",0)</f>
        <v>No clasificado</v>
      </c>
    </row>
    <row r="186" spans="1:12" x14ac:dyDescent="0.25">
      <c r="A186" t="s">
        <v>654</v>
      </c>
      <c r="B186" t="str">
        <f t="shared" si="6"/>
        <v>10</v>
      </c>
      <c r="C186" t="str">
        <f t="shared" si="7"/>
        <v>SEPTIEMBRE</v>
      </c>
      <c r="D186" s="27">
        <v>45520</v>
      </c>
      <c r="E186" s="20">
        <v>45545</v>
      </c>
      <c r="F186" t="s">
        <v>36</v>
      </c>
      <c r="G186">
        <f t="shared" si="8"/>
        <v>600</v>
      </c>
      <c r="H186" t="s">
        <v>655</v>
      </c>
      <c r="I186" t="s">
        <v>656</v>
      </c>
      <c r="J186" t="str">
        <f>_xlfn.XLOOKUP($I186,RazónMuerte!$A:$A,RazónMuerte!B:B,"",0)</f>
        <v>Fractura ósea</v>
      </c>
      <c r="K186" t="str">
        <f>_xlfn.XLOOKUP($I186,RazónMuerte!$A:$A,RazónMuerte!C:C,"",0)</f>
        <v>Rodilla / Carpal</v>
      </c>
      <c r="L186" t="str">
        <f>_xlfn.XLOOKUP($I186,RazónMuerte!$A:$A,RazónMuerte!D:D,"",0)</f>
        <v>Fatal injury</v>
      </c>
    </row>
    <row r="187" spans="1:12" x14ac:dyDescent="0.25">
      <c r="A187" t="s">
        <v>654</v>
      </c>
      <c r="B187" t="str">
        <f t="shared" si="6"/>
        <v>10</v>
      </c>
      <c r="C187" t="str">
        <f t="shared" si="7"/>
        <v>SEPTIEMBRE</v>
      </c>
      <c r="D187" s="27">
        <v>45534</v>
      </c>
      <c r="E187" s="20">
        <v>45545</v>
      </c>
      <c r="F187" t="s">
        <v>659</v>
      </c>
      <c r="G187">
        <f t="shared" si="8"/>
        <v>264</v>
      </c>
      <c r="H187" t="s">
        <v>658</v>
      </c>
      <c r="I187" t="s">
        <v>657</v>
      </c>
      <c r="J187" t="str">
        <f>_xlfn.XLOOKUP($I187,RazónMuerte!$A:$A,RazónMuerte!B:B,"",0)</f>
        <v>Enfermedad degenerativa articular</v>
      </c>
      <c r="K187">
        <f>_xlfn.XLOOKUP($I187,RazónMuerte!$A:$A,RazónMuerte!C:C,"",0)</f>
        <v>0</v>
      </c>
      <c r="L187" t="str">
        <f>_xlfn.XLOOKUP($I187,RazónMuerte!$A:$A,RazónMuerte!D:D,"",0)</f>
        <v>No fatal injury (chronic/medical)</v>
      </c>
    </row>
    <row r="188" spans="1:12" x14ac:dyDescent="0.25">
      <c r="A188" t="s">
        <v>654</v>
      </c>
      <c r="B188" t="str">
        <f t="shared" si="6"/>
        <v>10</v>
      </c>
      <c r="C188" t="str">
        <f t="shared" si="7"/>
        <v>SEPTIEMBRE</v>
      </c>
      <c r="D188" s="27">
        <v>45373</v>
      </c>
      <c r="E188" s="20">
        <v>45545</v>
      </c>
      <c r="F188" t="s">
        <v>85</v>
      </c>
      <c r="G188">
        <f t="shared" si="8"/>
        <v>4128</v>
      </c>
      <c r="H188" t="s">
        <v>660</v>
      </c>
      <c r="I188" t="s">
        <v>661</v>
      </c>
      <c r="J188" t="str">
        <f>_xlfn.XLOOKUP($I188,RazónMuerte!$A:$A,RazónMuerte!B:B,"",0)</f>
        <v>Fractura ósea</v>
      </c>
      <c r="K188" t="str">
        <f>_xlfn.XLOOKUP($I188,RazónMuerte!$A:$A,RazónMuerte!C:C,"",0)</f>
        <v>Rodilla / Carpal</v>
      </c>
      <c r="L188" t="str">
        <f>_xlfn.XLOOKUP($I188,RazónMuerte!$A:$A,RazónMuerte!D:D,"",0)</f>
        <v>Fatal injury</v>
      </c>
    </row>
    <row r="189" spans="1:12" x14ac:dyDescent="0.25">
      <c r="A189" t="s">
        <v>662</v>
      </c>
      <c r="B189" t="str">
        <f t="shared" si="6"/>
        <v>12</v>
      </c>
      <c r="C189" t="str">
        <f t="shared" si="7"/>
        <v>SEPTIEMBRE</v>
      </c>
      <c r="D189" s="27">
        <v>45529</v>
      </c>
      <c r="E189" s="20">
        <v>45547</v>
      </c>
      <c r="F189" t="s">
        <v>389</v>
      </c>
      <c r="G189">
        <f t="shared" si="8"/>
        <v>432</v>
      </c>
      <c r="H189" t="s">
        <v>663</v>
      </c>
      <c r="I189" t="s">
        <v>664</v>
      </c>
      <c r="J189" t="str">
        <f>_xlfn.XLOOKUP($I189,RazónMuerte!$A:$A,RazónMuerte!B:B,"",0)</f>
        <v>Fractura ósea</v>
      </c>
      <c r="K189" t="str">
        <f>_xlfn.XLOOKUP($I189,RazónMuerte!$A:$A,RazónMuerte!C:C,"",0)</f>
        <v>Rodilla / Carpal</v>
      </c>
      <c r="L189" t="str">
        <f>_xlfn.XLOOKUP($I189,RazónMuerte!$A:$A,RazónMuerte!D:D,"",0)</f>
        <v>Fatal injury</v>
      </c>
    </row>
    <row r="190" spans="1:12" x14ac:dyDescent="0.25">
      <c r="A190" t="s">
        <v>691</v>
      </c>
      <c r="B190" t="str">
        <f t="shared" si="6"/>
        <v>13</v>
      </c>
      <c r="C190" t="str">
        <f t="shared" si="7"/>
        <v>SEPTIEMBRE</v>
      </c>
      <c r="D190" s="27">
        <v>45478</v>
      </c>
      <c r="E190" s="20">
        <v>45548</v>
      </c>
      <c r="F190" t="s">
        <v>665</v>
      </c>
      <c r="G190">
        <f t="shared" si="8"/>
        <v>1680</v>
      </c>
      <c r="H190" t="s">
        <v>666</v>
      </c>
      <c r="I190" t="s">
        <v>667</v>
      </c>
      <c r="J190" t="str">
        <f>_xlfn.XLOOKUP($I190,RazónMuerte!$A:$A,RazónMuerte!B:B,"",0)</f>
        <v>Enfermedad degenerativa articular</v>
      </c>
      <c r="K190">
        <f>_xlfn.XLOOKUP($I190,RazónMuerte!$A:$A,RazónMuerte!C:C,"",0)</f>
        <v>0</v>
      </c>
      <c r="L190" t="str">
        <f>_xlfn.XLOOKUP($I190,RazónMuerte!$A:$A,RazónMuerte!D:D,"",0)</f>
        <v>No fatal injury (chronic/medical)</v>
      </c>
    </row>
    <row r="191" spans="1:12" x14ac:dyDescent="0.25">
      <c r="A191" t="s">
        <v>669</v>
      </c>
      <c r="B191" t="str">
        <f t="shared" si="6"/>
        <v>17</v>
      </c>
      <c r="C191" t="str">
        <f t="shared" si="7"/>
        <v>SEPTIEMBRE</v>
      </c>
      <c r="D191" s="27">
        <v>45360</v>
      </c>
      <c r="E191" s="20">
        <v>45552</v>
      </c>
      <c r="F191" t="s">
        <v>83</v>
      </c>
      <c r="G191">
        <f t="shared" si="8"/>
        <v>4608</v>
      </c>
      <c r="H191" t="s">
        <v>668</v>
      </c>
      <c r="I191" t="s">
        <v>78</v>
      </c>
      <c r="J191" t="str">
        <f>_xlfn.XLOOKUP($I191,RazónMuerte!$A:$A,RazónMuerte!B:B,"",0)</f>
        <v>Fractura ósea</v>
      </c>
      <c r="K191" t="str">
        <f>_xlfn.XLOOKUP($I191,RazónMuerte!$A:$A,RazónMuerte!C:C,"",0)</f>
        <v>Rodilla / Carpal</v>
      </c>
      <c r="L191" t="str">
        <f>_xlfn.XLOOKUP($I191,RazónMuerte!$A:$A,RazónMuerte!D:D,"",0)</f>
        <v>Fatal injury</v>
      </c>
    </row>
    <row r="192" spans="1:12" x14ac:dyDescent="0.25">
      <c r="A192" t="s">
        <v>669</v>
      </c>
      <c r="B192" t="str">
        <f t="shared" si="6"/>
        <v>17</v>
      </c>
      <c r="C192" t="str">
        <f t="shared" si="7"/>
        <v>SEPTIEMBRE</v>
      </c>
      <c r="D192" s="27">
        <v>45537</v>
      </c>
      <c r="E192" s="20">
        <v>45552</v>
      </c>
      <c r="F192" t="s">
        <v>62</v>
      </c>
      <c r="G192">
        <f t="shared" si="8"/>
        <v>360</v>
      </c>
      <c r="H192" t="s">
        <v>670</v>
      </c>
      <c r="I192" t="s">
        <v>671</v>
      </c>
      <c r="J192" t="str">
        <f>_xlfn.XLOOKUP($I192,RazónMuerte!$A:$A,RazónMuerte!B:B,"",0)</f>
        <v>Fractura ósea</v>
      </c>
      <c r="K192" t="str">
        <f>_xlfn.XLOOKUP($I192,RazónMuerte!$A:$A,RazónMuerte!C:C,"",0)</f>
        <v>Slab</v>
      </c>
      <c r="L192" t="str">
        <f>_xlfn.XLOOKUP($I192,RazónMuerte!$A:$A,RazónMuerte!D:D,"",0)</f>
        <v>Fatal injury</v>
      </c>
    </row>
    <row r="193" spans="1:12" x14ac:dyDescent="0.25">
      <c r="A193" t="s">
        <v>669</v>
      </c>
      <c r="B193" t="str">
        <f t="shared" si="6"/>
        <v>17</v>
      </c>
      <c r="C193" t="str">
        <f t="shared" si="7"/>
        <v>SEPTIEMBRE</v>
      </c>
      <c r="D193" s="27">
        <v>45550</v>
      </c>
      <c r="E193" s="20">
        <v>45552</v>
      </c>
      <c r="F193" t="s">
        <v>674</v>
      </c>
      <c r="G193">
        <f t="shared" si="8"/>
        <v>48</v>
      </c>
      <c r="H193" t="s">
        <v>673</v>
      </c>
      <c r="I193" t="s">
        <v>672</v>
      </c>
      <c r="J193" t="str">
        <f>_xlfn.XLOOKUP($I193,RazónMuerte!$A:$A,RazónMuerte!B:B,"",0)</f>
        <v>Enfermedad degenerativa articular</v>
      </c>
      <c r="K193">
        <f>_xlfn.XLOOKUP($I193,RazónMuerte!$A:$A,RazónMuerte!C:C,"",0)</f>
        <v>0</v>
      </c>
      <c r="L193" t="str">
        <f>_xlfn.XLOOKUP($I193,RazónMuerte!$A:$A,RazónMuerte!D:D,"",0)</f>
        <v>No fatal injury (chronic/medical)</v>
      </c>
    </row>
    <row r="194" spans="1:12" x14ac:dyDescent="0.25">
      <c r="A194" t="s">
        <v>669</v>
      </c>
      <c r="B194" t="str">
        <f t="shared" si="6"/>
        <v>17</v>
      </c>
      <c r="C194" t="str">
        <f t="shared" si="7"/>
        <v>SEPTIEMBRE</v>
      </c>
      <c r="D194" s="27">
        <v>45515</v>
      </c>
      <c r="E194" s="20">
        <v>45552</v>
      </c>
      <c r="F194" t="s">
        <v>68</v>
      </c>
      <c r="G194">
        <f t="shared" si="8"/>
        <v>888</v>
      </c>
      <c r="H194" t="s">
        <v>675</v>
      </c>
      <c r="I194" t="s">
        <v>677</v>
      </c>
      <c r="J194" t="str">
        <f>_xlfn.XLOOKUP($I194,RazónMuerte!$A:$A,RazónMuerte!B:B,"",0)</f>
        <v>Enfermedad degenerativa articular</v>
      </c>
      <c r="K194">
        <f>_xlfn.XLOOKUP($I194,RazónMuerte!$A:$A,RazónMuerte!C:C,"",0)</f>
        <v>0</v>
      </c>
      <c r="L194" t="str">
        <f>_xlfn.XLOOKUP($I194,RazónMuerte!$A:$A,RazónMuerte!D:D,"",0)</f>
        <v>Fatal injury</v>
      </c>
    </row>
    <row r="195" spans="1:12" x14ac:dyDescent="0.25">
      <c r="A195" t="s">
        <v>669</v>
      </c>
      <c r="B195" t="str">
        <f t="shared" ref="B195:B250" si="9">LEFT(A195,FIND("-",A195)-1)</f>
        <v>17</v>
      </c>
      <c r="C195" t="str">
        <f t="shared" ref="C195:C250" si="10">MID(A195,FIND("-",A195)+1,FIND("-",A195,FIND("-",A195)+1)-FIND("-",A195)-1)</f>
        <v>SEPTIEMBRE</v>
      </c>
      <c r="D195" s="27">
        <v>45548</v>
      </c>
      <c r="E195" s="20">
        <v>45552</v>
      </c>
      <c r="F195" t="s">
        <v>215</v>
      </c>
      <c r="G195">
        <f t="shared" ref="G195:G250" si="11">(E195-D195)*24</f>
        <v>96</v>
      </c>
      <c r="H195" t="s">
        <v>679</v>
      </c>
      <c r="I195" t="s">
        <v>678</v>
      </c>
      <c r="J195" t="str">
        <f>_xlfn.XLOOKUP($I195,RazónMuerte!$A:$A,RazónMuerte!B:B,"",0)</f>
        <v>Fractura ósea</v>
      </c>
      <c r="K195" t="str">
        <f>_xlfn.XLOOKUP($I195,RazónMuerte!$A:$A,RazónMuerte!C:C,"",0)</f>
        <v>Rodilla / Carpal</v>
      </c>
      <c r="L195" t="str">
        <f>_xlfn.XLOOKUP($I195,RazónMuerte!$A:$A,RazónMuerte!D:D,"",0)</f>
        <v>Fatal injury</v>
      </c>
    </row>
    <row r="196" spans="1:12" x14ac:dyDescent="0.25">
      <c r="A196" t="s">
        <v>680</v>
      </c>
      <c r="B196" t="str">
        <f t="shared" si="9"/>
        <v>18</v>
      </c>
      <c r="C196" t="str">
        <f t="shared" si="10"/>
        <v>SEPTIEMBRE</v>
      </c>
      <c r="D196" s="27">
        <v>45542</v>
      </c>
      <c r="E196" s="20">
        <v>45553</v>
      </c>
      <c r="F196" t="s">
        <v>11</v>
      </c>
      <c r="G196">
        <f t="shared" si="11"/>
        <v>264</v>
      </c>
      <c r="H196" t="s">
        <v>681</v>
      </c>
      <c r="I196" t="s">
        <v>682</v>
      </c>
      <c r="J196" t="str">
        <f>_xlfn.XLOOKUP($I196,RazónMuerte!$A:$A,RazónMuerte!B:B,"",0)</f>
        <v>Otras / No especificada</v>
      </c>
      <c r="K196">
        <f>_xlfn.XLOOKUP($I196,RazónMuerte!$A:$A,RazónMuerte!C:C,"",0)</f>
        <v>0</v>
      </c>
      <c r="L196" t="str">
        <f>_xlfn.XLOOKUP($I196,RazónMuerte!$A:$A,RazónMuerte!D:D,"",0)</f>
        <v>No clasificado</v>
      </c>
    </row>
    <row r="197" spans="1:12" x14ac:dyDescent="0.25">
      <c r="A197" t="s">
        <v>684</v>
      </c>
      <c r="B197" t="str">
        <f t="shared" si="9"/>
        <v>19</v>
      </c>
      <c r="C197" t="str">
        <f t="shared" si="10"/>
        <v>SEPTIEMBRE</v>
      </c>
      <c r="D197" s="27">
        <v>45401</v>
      </c>
      <c r="E197" s="20">
        <v>45554</v>
      </c>
      <c r="F197" t="s">
        <v>42</v>
      </c>
      <c r="G197">
        <f t="shared" si="11"/>
        <v>3672</v>
      </c>
      <c r="H197" t="s">
        <v>685</v>
      </c>
      <c r="I197" t="s">
        <v>57</v>
      </c>
      <c r="J197" t="str">
        <f>_xlfn.XLOOKUP($I197,RazónMuerte!$A:$A,RazónMuerte!B:B,"",0)</f>
        <v>Otras / No especificada</v>
      </c>
      <c r="K197">
        <f>_xlfn.XLOOKUP($I197,RazónMuerte!$A:$A,RazónMuerte!C:C,"",0)</f>
        <v>0</v>
      </c>
      <c r="L197" t="str">
        <f>_xlfn.XLOOKUP($I197,RazónMuerte!$A:$A,RazónMuerte!D:D,"",0)</f>
        <v>No clasificado</v>
      </c>
    </row>
    <row r="198" spans="1:12" x14ac:dyDescent="0.25">
      <c r="A198" t="s">
        <v>684</v>
      </c>
      <c r="B198" t="str">
        <f t="shared" si="9"/>
        <v>19</v>
      </c>
      <c r="C198" t="str">
        <f t="shared" si="10"/>
        <v>SEPTIEMBRE</v>
      </c>
      <c r="D198" s="27">
        <v>45554</v>
      </c>
      <c r="E198" s="20">
        <v>45554</v>
      </c>
      <c r="F198" t="s">
        <v>688</v>
      </c>
      <c r="G198">
        <f t="shared" si="11"/>
        <v>0</v>
      </c>
      <c r="H198" t="s">
        <v>687</v>
      </c>
      <c r="I198" t="s">
        <v>686</v>
      </c>
      <c r="J198" t="str">
        <f>_xlfn.XLOOKUP($I198,RazónMuerte!$A:$A,RazónMuerte!B:B,"",0)</f>
        <v>Otras / No especificada</v>
      </c>
      <c r="K198">
        <f>_xlfn.XLOOKUP($I198,RazónMuerte!$A:$A,RazónMuerte!C:C,"",0)</f>
        <v>0</v>
      </c>
      <c r="L198" t="str">
        <f>_xlfn.XLOOKUP($I198,RazónMuerte!$A:$A,RazónMuerte!D:D,"",0)</f>
        <v>No clasificado</v>
      </c>
    </row>
    <row r="199" spans="1:12" x14ac:dyDescent="0.25">
      <c r="A199" t="s">
        <v>683</v>
      </c>
      <c r="B199" t="str">
        <f t="shared" si="9"/>
        <v>20</v>
      </c>
      <c r="C199" t="str">
        <f t="shared" si="10"/>
        <v>SEPTIEMBRE</v>
      </c>
      <c r="D199" s="27">
        <v>45514</v>
      </c>
      <c r="E199" s="20">
        <v>45555</v>
      </c>
      <c r="F199" t="s">
        <v>75</v>
      </c>
      <c r="G199">
        <f t="shared" si="11"/>
        <v>984</v>
      </c>
      <c r="H199" t="s">
        <v>689</v>
      </c>
      <c r="I199" t="s">
        <v>690</v>
      </c>
      <c r="J199" t="str">
        <f>_xlfn.XLOOKUP($I199,RazónMuerte!$A:$A,RazónMuerte!B:B,"",0)</f>
        <v>Enfermedad degenerativa articular</v>
      </c>
      <c r="K199">
        <f>_xlfn.XLOOKUP($I199,RazónMuerte!$A:$A,RazónMuerte!C:C,"",0)</f>
        <v>0</v>
      </c>
      <c r="L199" t="str">
        <f>_xlfn.XLOOKUP($I199,RazónMuerte!$A:$A,RazónMuerte!D:D,"",0)</f>
        <v>No fatal injury (chronic/medical)</v>
      </c>
    </row>
    <row r="200" spans="1:12" x14ac:dyDescent="0.25">
      <c r="A200" t="s">
        <v>692</v>
      </c>
      <c r="B200" t="str">
        <f t="shared" si="9"/>
        <v>23</v>
      </c>
      <c r="C200" t="str">
        <f t="shared" si="10"/>
        <v>SEPTIEMBRE</v>
      </c>
      <c r="D200" s="27">
        <v>45491</v>
      </c>
      <c r="E200" s="20">
        <v>45558</v>
      </c>
      <c r="F200" t="s">
        <v>105</v>
      </c>
      <c r="G200">
        <f t="shared" si="11"/>
        <v>1608</v>
      </c>
      <c r="H200" t="s">
        <v>693</v>
      </c>
      <c r="I200" t="s">
        <v>694</v>
      </c>
      <c r="J200" t="str">
        <f>_xlfn.XLOOKUP($I200,RazónMuerte!$A:$A,RazónMuerte!B:B,"",0)</f>
        <v>Lesión de ligamentos/tendones</v>
      </c>
      <c r="K200">
        <f>_xlfn.XLOOKUP($I200,RazónMuerte!$A:$A,RazónMuerte!C:C,"",0)</f>
        <v>0</v>
      </c>
      <c r="L200" t="str">
        <f>_xlfn.XLOOKUP($I200,RazónMuerte!$A:$A,RazónMuerte!D:D,"",0)</f>
        <v>No clasificado</v>
      </c>
    </row>
    <row r="201" spans="1:12" x14ac:dyDescent="0.25">
      <c r="A201" t="s">
        <v>692</v>
      </c>
      <c r="B201" t="str">
        <f t="shared" si="9"/>
        <v>23</v>
      </c>
      <c r="C201" t="str">
        <f t="shared" si="10"/>
        <v>SEPTIEMBRE</v>
      </c>
      <c r="D201" s="27">
        <v>45555</v>
      </c>
      <c r="E201" s="20">
        <v>45558</v>
      </c>
      <c r="F201" t="s">
        <v>697</v>
      </c>
      <c r="G201">
        <f t="shared" si="11"/>
        <v>72</v>
      </c>
      <c r="H201" t="s">
        <v>696</v>
      </c>
      <c r="I201" t="s">
        <v>695</v>
      </c>
      <c r="J201" t="str">
        <f>_xlfn.XLOOKUP($I201,RazónMuerte!$A:$A,RazónMuerte!B:B,"",0)</f>
        <v>Fractura ósea</v>
      </c>
      <c r="K201" t="str">
        <f>_xlfn.XLOOKUP($I201,RazónMuerte!$A:$A,RazónMuerte!C:C,"",0)</f>
        <v>Slab</v>
      </c>
      <c r="L201" t="str">
        <f>_xlfn.XLOOKUP($I201,RazónMuerte!$A:$A,RazónMuerte!D:D,"",0)</f>
        <v>Fatal injury</v>
      </c>
    </row>
    <row r="202" spans="1:12" x14ac:dyDescent="0.25">
      <c r="A202" t="s">
        <v>719</v>
      </c>
      <c r="B202" t="str">
        <f t="shared" si="9"/>
        <v>27</v>
      </c>
      <c r="C202" t="str">
        <f t="shared" si="10"/>
        <v>SEPTIEMBRE</v>
      </c>
      <c r="D202" s="27">
        <v>45548</v>
      </c>
      <c r="E202" s="20">
        <v>45562</v>
      </c>
      <c r="F202" t="s">
        <v>17</v>
      </c>
      <c r="G202">
        <f t="shared" si="11"/>
        <v>336</v>
      </c>
      <c r="H202" t="s">
        <v>720</v>
      </c>
      <c r="I202" t="s">
        <v>721</v>
      </c>
      <c r="J202" t="str">
        <f>_xlfn.XLOOKUP($I202,RazónMuerte!$A:$A,RazónMuerte!B:B,"",0)</f>
        <v>Fractura ósea</v>
      </c>
      <c r="K202" t="str">
        <f>_xlfn.XLOOKUP($I202,RazónMuerte!$A:$A,RazónMuerte!C:C,"",0)</f>
        <v>No especificado</v>
      </c>
      <c r="L202" t="str">
        <f>_xlfn.XLOOKUP($I202,RazónMuerte!$A:$A,RazónMuerte!D:D,"",0)</f>
        <v>Fatal injury</v>
      </c>
    </row>
    <row r="203" spans="1:12" x14ac:dyDescent="0.25">
      <c r="A203" t="s">
        <v>719</v>
      </c>
      <c r="B203" t="str">
        <f t="shared" si="9"/>
        <v>27</v>
      </c>
      <c r="C203" t="str">
        <f t="shared" si="10"/>
        <v>SEPTIEMBRE</v>
      </c>
      <c r="D203" s="27">
        <v>45562</v>
      </c>
      <c r="E203" s="20">
        <v>45562</v>
      </c>
      <c r="F203" t="s">
        <v>722</v>
      </c>
      <c r="G203">
        <f t="shared" si="11"/>
        <v>0</v>
      </c>
      <c r="H203" t="s">
        <v>723</v>
      </c>
      <c r="I203" t="s">
        <v>724</v>
      </c>
      <c r="J203" t="str">
        <f>_xlfn.XLOOKUP($I203,RazónMuerte!$A:$A,RazónMuerte!B:B,"",0)</f>
        <v>Otras / No especificada</v>
      </c>
      <c r="K203">
        <f>_xlfn.XLOOKUP($I203,RazónMuerte!$A:$A,RazónMuerte!C:C,"",0)</f>
        <v>0</v>
      </c>
      <c r="L203" t="str">
        <f>_xlfn.XLOOKUP($I203,RazónMuerte!$A:$A,RazónMuerte!D:D,"",0)</f>
        <v>No clasificado</v>
      </c>
    </row>
    <row r="204" spans="1:12" x14ac:dyDescent="0.25">
      <c r="A204" t="s">
        <v>698</v>
      </c>
      <c r="B204" t="str">
        <f t="shared" si="9"/>
        <v>30</v>
      </c>
      <c r="C204" t="str">
        <f t="shared" si="10"/>
        <v>SEPTIEMBRE</v>
      </c>
      <c r="D204" s="27">
        <v>45564</v>
      </c>
      <c r="E204" s="20">
        <v>45565</v>
      </c>
      <c r="F204" t="s">
        <v>7</v>
      </c>
      <c r="G204">
        <f t="shared" si="11"/>
        <v>24</v>
      </c>
      <c r="H204" t="s">
        <v>699</v>
      </c>
      <c r="I204" t="s">
        <v>700</v>
      </c>
      <c r="J204" t="str">
        <f>_xlfn.XLOOKUP($I204,RazónMuerte!$A:$A,RazónMuerte!B:B,"",0)</f>
        <v>Otras / No especificada</v>
      </c>
      <c r="K204">
        <f>_xlfn.XLOOKUP($I204,RazónMuerte!$A:$A,RazónMuerte!C:C,"",0)</f>
        <v>0</v>
      </c>
      <c r="L204" t="str">
        <f>_xlfn.XLOOKUP($I204,RazónMuerte!$A:$A,RazónMuerte!D:D,"",0)</f>
        <v>Fatal injury</v>
      </c>
    </row>
    <row r="205" spans="1:12" x14ac:dyDescent="0.25">
      <c r="A205" t="s">
        <v>701</v>
      </c>
      <c r="B205" t="str">
        <f t="shared" si="9"/>
        <v>1</v>
      </c>
      <c r="C205" t="str">
        <f t="shared" si="10"/>
        <v>OCTUBRE</v>
      </c>
      <c r="D205" s="27">
        <v>45527</v>
      </c>
      <c r="E205" s="20">
        <v>45566</v>
      </c>
      <c r="F205" t="s">
        <v>294</v>
      </c>
      <c r="G205">
        <f t="shared" si="11"/>
        <v>936</v>
      </c>
      <c r="H205" t="s">
        <v>702</v>
      </c>
      <c r="I205" t="s">
        <v>703</v>
      </c>
      <c r="J205" t="str">
        <f>_xlfn.XLOOKUP($I205,RazónMuerte!$A:$A,RazónMuerte!B:B,"",0)</f>
        <v>Otras / No especificada</v>
      </c>
      <c r="K205">
        <f>_xlfn.XLOOKUP($I205,RazónMuerte!$A:$A,RazónMuerte!C:C,"",0)</f>
        <v>0</v>
      </c>
      <c r="L205" t="str">
        <f>_xlfn.XLOOKUP($I205,RazónMuerte!$A:$A,RazónMuerte!D:D,"",0)</f>
        <v>No clasificado</v>
      </c>
    </row>
    <row r="206" spans="1:12" x14ac:dyDescent="0.25">
      <c r="A206" t="s">
        <v>725</v>
      </c>
      <c r="B206" t="str">
        <f t="shared" si="9"/>
        <v>2</v>
      </c>
      <c r="C206" t="str">
        <f t="shared" si="10"/>
        <v>OCTUBRE</v>
      </c>
      <c r="D206" s="27">
        <v>45534</v>
      </c>
      <c r="E206" s="20">
        <v>45567</v>
      </c>
      <c r="F206" t="s">
        <v>64</v>
      </c>
      <c r="G206">
        <f t="shared" si="11"/>
        <v>792</v>
      </c>
      <c r="H206" t="s">
        <v>726</v>
      </c>
      <c r="I206" t="s">
        <v>727</v>
      </c>
      <c r="J206" t="str">
        <f>_xlfn.XLOOKUP($I206,RazónMuerte!$A:$A,RazónMuerte!B:B,"",0)</f>
        <v>Fractura ósea</v>
      </c>
      <c r="K206" t="str">
        <f>_xlfn.XLOOKUP($I206,RazónMuerte!$A:$A,RazónMuerte!C:C,"",0)</f>
        <v>Caña / Cannon bone</v>
      </c>
      <c r="L206" t="str">
        <f>_xlfn.XLOOKUP($I206,RazónMuerte!$A:$A,RazónMuerte!D:D,"",0)</f>
        <v>Fatal injury</v>
      </c>
    </row>
    <row r="207" spans="1:12" x14ac:dyDescent="0.25">
      <c r="A207" t="s">
        <v>704</v>
      </c>
      <c r="B207" t="str">
        <f t="shared" si="9"/>
        <v>3</v>
      </c>
      <c r="C207" t="str">
        <f t="shared" si="10"/>
        <v>OCTUBRE</v>
      </c>
      <c r="D207" s="27">
        <v>45563</v>
      </c>
      <c r="E207" s="20">
        <v>45568</v>
      </c>
      <c r="F207" t="s">
        <v>111</v>
      </c>
      <c r="G207">
        <f t="shared" si="11"/>
        <v>120</v>
      </c>
      <c r="H207" t="s">
        <v>705</v>
      </c>
      <c r="I207" t="s">
        <v>706</v>
      </c>
      <c r="J207" t="str">
        <f>_xlfn.XLOOKUP($I207,RazónMuerte!$A:$A,RazónMuerte!B:B,"",0)</f>
        <v>Otras / No especificada</v>
      </c>
      <c r="K207">
        <f>_xlfn.XLOOKUP($I207,RazónMuerte!$A:$A,RazónMuerte!C:C,"",0)</f>
        <v>0</v>
      </c>
      <c r="L207" t="str">
        <f>_xlfn.XLOOKUP($I207,RazónMuerte!$A:$A,RazónMuerte!D:D,"",0)</f>
        <v>No clasificado</v>
      </c>
    </row>
    <row r="208" spans="1:12" x14ac:dyDescent="0.25">
      <c r="A208" t="s">
        <v>707</v>
      </c>
      <c r="B208" t="str">
        <f t="shared" si="9"/>
        <v>5</v>
      </c>
      <c r="C208" t="str">
        <f t="shared" si="10"/>
        <v>OCTUBRE</v>
      </c>
      <c r="D208" s="27">
        <v>45569</v>
      </c>
      <c r="E208" s="20">
        <v>45570</v>
      </c>
      <c r="F208" t="s">
        <v>28</v>
      </c>
      <c r="G208">
        <f t="shared" si="11"/>
        <v>24</v>
      </c>
      <c r="H208" t="s">
        <v>708</v>
      </c>
      <c r="I208" t="s">
        <v>695</v>
      </c>
      <c r="J208" t="str">
        <f>_xlfn.XLOOKUP($I208,RazónMuerte!$A:$A,RazónMuerte!B:B,"",0)</f>
        <v>Fractura ósea</v>
      </c>
      <c r="K208" t="str">
        <f>_xlfn.XLOOKUP($I208,RazónMuerte!$A:$A,RazónMuerte!C:C,"",0)</f>
        <v>Slab</v>
      </c>
      <c r="L208" t="str">
        <f>_xlfn.XLOOKUP($I208,RazónMuerte!$A:$A,RazónMuerte!D:D,"",0)</f>
        <v>Fatal injury</v>
      </c>
    </row>
    <row r="209" spans="1:12" x14ac:dyDescent="0.25">
      <c r="A209" t="s">
        <v>709</v>
      </c>
      <c r="B209" t="str">
        <f t="shared" si="9"/>
        <v>8</v>
      </c>
      <c r="C209" t="str">
        <f t="shared" si="10"/>
        <v>OCTUBRE</v>
      </c>
      <c r="D209" s="27">
        <v>45520</v>
      </c>
      <c r="E209" s="20">
        <v>45573</v>
      </c>
      <c r="F209" t="s">
        <v>423</v>
      </c>
      <c r="G209">
        <f t="shared" si="11"/>
        <v>1272</v>
      </c>
      <c r="H209" t="s">
        <v>710</v>
      </c>
      <c r="I209" t="s">
        <v>711</v>
      </c>
      <c r="J209" t="str">
        <f>_xlfn.XLOOKUP($I209,RazónMuerte!$A:$A,RazónMuerte!B:B,"",0)</f>
        <v>Enfermedad degenerativa articular</v>
      </c>
      <c r="K209">
        <f>_xlfn.XLOOKUP($I209,RazónMuerte!$A:$A,RazónMuerte!C:C,"",0)</f>
        <v>0</v>
      </c>
      <c r="L209" t="str">
        <f>_xlfn.XLOOKUP($I209,RazónMuerte!$A:$A,RazónMuerte!D:D,"",0)</f>
        <v>No fatal injury (chronic/medical)</v>
      </c>
    </row>
    <row r="210" spans="1:12" x14ac:dyDescent="0.25">
      <c r="A210" t="s">
        <v>709</v>
      </c>
      <c r="B210" t="str">
        <f t="shared" si="9"/>
        <v>8</v>
      </c>
      <c r="C210" t="str">
        <f t="shared" si="10"/>
        <v>OCTUBRE</v>
      </c>
      <c r="D210" s="27">
        <v>45387</v>
      </c>
      <c r="E210" s="20">
        <v>45573</v>
      </c>
      <c r="F210" t="s">
        <v>712</v>
      </c>
      <c r="G210">
        <f t="shared" si="11"/>
        <v>4464</v>
      </c>
      <c r="H210" t="s">
        <v>713</v>
      </c>
      <c r="I210" t="s">
        <v>714</v>
      </c>
      <c r="J210" t="str">
        <f>_xlfn.XLOOKUP($I210,RazónMuerte!$A:$A,RazónMuerte!B:B,"",0)</f>
        <v>Fractura ósea</v>
      </c>
      <c r="K210" t="str">
        <f>_xlfn.XLOOKUP($I210,RazónMuerte!$A:$A,RazónMuerte!C:C,"",0)</f>
        <v>Caña / Cannon bone</v>
      </c>
      <c r="L210" t="str">
        <f>_xlfn.XLOOKUP($I210,RazónMuerte!$A:$A,RazónMuerte!D:D,"",0)</f>
        <v>Fatal injury</v>
      </c>
    </row>
    <row r="211" spans="1:12" x14ac:dyDescent="0.25">
      <c r="A211" t="s">
        <v>715</v>
      </c>
      <c r="B211" t="str">
        <f t="shared" si="9"/>
        <v>10</v>
      </c>
      <c r="C211" t="str">
        <f t="shared" si="10"/>
        <v>OCTUBRE</v>
      </c>
      <c r="D211" s="31"/>
      <c r="E211" s="31">
        <v>45575</v>
      </c>
      <c r="F211" s="30" t="s">
        <v>389</v>
      </c>
      <c r="G211">
        <f t="shared" si="11"/>
        <v>1093800</v>
      </c>
      <c r="H211" s="30" t="s">
        <v>716</v>
      </c>
      <c r="I211" s="30" t="s">
        <v>718</v>
      </c>
      <c r="J211" t="str">
        <f>_xlfn.XLOOKUP($I211,RazónMuerte!$A:$A,RazónMuerte!B:B,"",0)</f>
        <v>Fractura ósea</v>
      </c>
      <c r="K211" t="str">
        <f>_xlfn.XLOOKUP($I211,RazónMuerte!$A:$A,RazónMuerte!C:C,"",0)</f>
        <v>Slab</v>
      </c>
      <c r="L211" t="str">
        <f>_xlfn.XLOOKUP($I211,RazónMuerte!$A:$A,RazónMuerte!D:D,"",0)</f>
        <v>Fatal injury</v>
      </c>
    </row>
    <row r="212" spans="1:12" x14ac:dyDescent="0.25">
      <c r="A212" t="s">
        <v>728</v>
      </c>
      <c r="B212" t="str">
        <f t="shared" si="9"/>
        <v>21</v>
      </c>
      <c r="C212" t="str">
        <f t="shared" si="10"/>
        <v>OCTUBRE</v>
      </c>
      <c r="D212" s="27">
        <v>45575</v>
      </c>
      <c r="E212" s="20">
        <v>45586</v>
      </c>
      <c r="F212" t="s">
        <v>729</v>
      </c>
      <c r="G212">
        <f t="shared" si="11"/>
        <v>264</v>
      </c>
      <c r="H212" t="s">
        <v>730</v>
      </c>
      <c r="I212" t="s">
        <v>275</v>
      </c>
      <c r="J212" t="str">
        <f>_xlfn.XLOOKUP($I212,RazónMuerte!$A:$A,RazónMuerte!B:B,"",0)</f>
        <v>Fractura ósea</v>
      </c>
      <c r="K212" t="str">
        <f>_xlfn.XLOOKUP($I212,RazónMuerte!$A:$A,RazónMuerte!C:C,"",0)</f>
        <v>Caña / Cannon bone</v>
      </c>
      <c r="L212" t="str">
        <f>_xlfn.XLOOKUP($I212,RazónMuerte!$A:$A,RazónMuerte!D:D,"",0)</f>
        <v>Fatal injury</v>
      </c>
    </row>
    <row r="213" spans="1:12" x14ac:dyDescent="0.25">
      <c r="A213" t="s">
        <v>732</v>
      </c>
      <c r="B213" t="str">
        <f t="shared" si="9"/>
        <v>22</v>
      </c>
      <c r="C213" t="str">
        <f t="shared" si="10"/>
        <v>OCTUBRE</v>
      </c>
      <c r="D213" s="27">
        <v>45445</v>
      </c>
      <c r="E213" s="20">
        <v>45587</v>
      </c>
      <c r="F213" t="s">
        <v>44</v>
      </c>
      <c r="G213">
        <f t="shared" si="11"/>
        <v>3408</v>
      </c>
      <c r="H213" t="s">
        <v>733</v>
      </c>
      <c r="I213" t="s">
        <v>734</v>
      </c>
      <c r="J213" t="str">
        <f>_xlfn.XLOOKUP($I213,RazónMuerte!$A:$A,RazónMuerte!B:B,"",0)</f>
        <v>Enfermedad degenerativa articular</v>
      </c>
      <c r="K213">
        <f>_xlfn.XLOOKUP($I213,RazónMuerte!$A:$A,RazónMuerte!C:C,"",0)</f>
        <v>0</v>
      </c>
      <c r="L213" t="str">
        <f>_xlfn.XLOOKUP($I213,RazónMuerte!$A:$A,RazónMuerte!D:D,"",0)</f>
        <v>Fatal injury</v>
      </c>
    </row>
    <row r="214" spans="1:12" x14ac:dyDescent="0.25">
      <c r="A214" t="s">
        <v>735</v>
      </c>
      <c r="B214" t="str">
        <f t="shared" si="9"/>
        <v>23</v>
      </c>
      <c r="C214" t="str">
        <f t="shared" si="10"/>
        <v>OCTUBRE</v>
      </c>
      <c r="D214" s="27">
        <v>43148</v>
      </c>
      <c r="E214" s="20">
        <v>45588</v>
      </c>
      <c r="F214" t="s">
        <v>48</v>
      </c>
      <c r="G214">
        <f t="shared" si="11"/>
        <v>58560</v>
      </c>
      <c r="H214" t="s">
        <v>736</v>
      </c>
      <c r="I214" t="s">
        <v>737</v>
      </c>
      <c r="J214" t="str">
        <f>_xlfn.XLOOKUP($I214,RazónMuerte!$A:$A,RazónMuerte!B:B,"",0)</f>
        <v>Otras / No especificada</v>
      </c>
      <c r="K214">
        <f>_xlfn.XLOOKUP($I214,RazónMuerte!$A:$A,RazónMuerte!C:C,"",0)</f>
        <v>0</v>
      </c>
      <c r="L214" t="str">
        <f>_xlfn.XLOOKUP($I214,RazónMuerte!$A:$A,RazónMuerte!D:D,"",0)</f>
        <v>No clasificado</v>
      </c>
    </row>
    <row r="215" spans="1:12" x14ac:dyDescent="0.25">
      <c r="A215" t="s">
        <v>738</v>
      </c>
      <c r="B215" t="str">
        <f t="shared" si="9"/>
        <v>25</v>
      </c>
      <c r="C215" t="str">
        <f t="shared" si="10"/>
        <v>OCTUBRE</v>
      </c>
      <c r="D215" s="27">
        <v>45585</v>
      </c>
      <c r="E215" s="20">
        <v>45590</v>
      </c>
      <c r="F215" t="s">
        <v>632</v>
      </c>
      <c r="G215">
        <f t="shared" si="11"/>
        <v>120</v>
      </c>
      <c r="H215" t="s">
        <v>739</v>
      </c>
      <c r="I215" t="s">
        <v>740</v>
      </c>
      <c r="J215" t="str">
        <f>_xlfn.XLOOKUP($I215,RazónMuerte!$A:$A,RazónMuerte!B:B,"",0)</f>
        <v>Fractura ósea</v>
      </c>
      <c r="K215" t="str">
        <f>_xlfn.XLOOKUP($I215,RazónMuerte!$A:$A,RazónMuerte!C:C,"",0)</f>
        <v>Slab</v>
      </c>
      <c r="L215" t="str">
        <f>_xlfn.XLOOKUP($I215,RazónMuerte!$A:$A,RazónMuerte!D:D,"",0)</f>
        <v>Fatal injury</v>
      </c>
    </row>
    <row r="216" spans="1:12" x14ac:dyDescent="0.25">
      <c r="A216" t="s">
        <v>741</v>
      </c>
      <c r="B216" t="str">
        <f t="shared" si="9"/>
        <v>28</v>
      </c>
      <c r="C216" t="str">
        <f t="shared" si="10"/>
        <v>OCTUBRE</v>
      </c>
      <c r="D216" s="27">
        <v>45557</v>
      </c>
      <c r="E216" s="20">
        <v>45593</v>
      </c>
      <c r="F216" t="s">
        <v>85</v>
      </c>
      <c r="G216">
        <f t="shared" si="11"/>
        <v>864</v>
      </c>
      <c r="H216" t="s">
        <v>742</v>
      </c>
      <c r="I216" t="s">
        <v>743</v>
      </c>
      <c r="J216" t="str">
        <f>_xlfn.XLOOKUP($I216,RazónMuerte!$A:$A,RazónMuerte!B:B,"",0)</f>
        <v>Otras / No especificada</v>
      </c>
      <c r="K216">
        <f>_xlfn.XLOOKUP($I216,RazónMuerte!$A:$A,RazónMuerte!C:C,"",0)</f>
        <v>0</v>
      </c>
      <c r="L216" t="str">
        <f>_xlfn.XLOOKUP($I216,RazónMuerte!$A:$A,RazónMuerte!D:D,"",0)</f>
        <v>No clasificado</v>
      </c>
    </row>
    <row r="217" spans="1:12" x14ac:dyDescent="0.25">
      <c r="A217" t="s">
        <v>744</v>
      </c>
      <c r="B217" t="str">
        <f t="shared" si="9"/>
        <v>4</v>
      </c>
      <c r="C217" t="str">
        <f t="shared" si="10"/>
        <v>NOVIEMBRE</v>
      </c>
      <c r="D217" s="27">
        <v>45583</v>
      </c>
      <c r="E217" s="20">
        <v>45600</v>
      </c>
      <c r="F217" t="s">
        <v>745</v>
      </c>
      <c r="G217">
        <f t="shared" si="11"/>
        <v>408</v>
      </c>
      <c r="H217" t="s">
        <v>746</v>
      </c>
      <c r="I217" t="s">
        <v>748</v>
      </c>
      <c r="J217" t="str">
        <f>_xlfn.XLOOKUP($I217,RazónMuerte!$A:$A,RazónMuerte!B:B,"",0)</f>
        <v>Fractura ósea</v>
      </c>
      <c r="K217" t="str">
        <f>_xlfn.XLOOKUP($I217,RazónMuerte!$A:$A,RazónMuerte!C:C,"",0)</f>
        <v>Fetlock</v>
      </c>
      <c r="L217" t="str">
        <f>_xlfn.XLOOKUP($I217,RazónMuerte!$A:$A,RazónMuerte!D:D,"",0)</f>
        <v>Fatal injury</v>
      </c>
    </row>
    <row r="218" spans="1:12" x14ac:dyDescent="0.25">
      <c r="A218" t="s">
        <v>744</v>
      </c>
      <c r="B218" t="str">
        <f t="shared" si="9"/>
        <v>4</v>
      </c>
      <c r="C218" t="str">
        <f t="shared" si="10"/>
        <v>NOVIEMBRE</v>
      </c>
      <c r="D218" s="27">
        <v>45575</v>
      </c>
      <c r="E218" s="20">
        <v>45600</v>
      </c>
      <c r="F218" t="s">
        <v>750</v>
      </c>
      <c r="G218">
        <f t="shared" si="11"/>
        <v>600</v>
      </c>
      <c r="H218" t="s">
        <v>749</v>
      </c>
      <c r="I218" t="s">
        <v>747</v>
      </c>
      <c r="J218" t="str">
        <f>_xlfn.XLOOKUP($I218,RazónMuerte!$A:$A,RazónMuerte!B:B,"",0)</f>
        <v>Otras / No especificada</v>
      </c>
      <c r="K218">
        <f>_xlfn.XLOOKUP($I218,RazónMuerte!$A:$A,RazónMuerte!C:C,"",0)</f>
        <v>0</v>
      </c>
      <c r="L218" t="str">
        <f>_xlfn.XLOOKUP($I218,RazónMuerte!$A:$A,RazónMuerte!D:D,"",0)</f>
        <v>Fatal injury</v>
      </c>
    </row>
    <row r="219" spans="1:12" x14ac:dyDescent="0.25">
      <c r="A219" t="s">
        <v>744</v>
      </c>
      <c r="B219" t="str">
        <f t="shared" si="9"/>
        <v>4</v>
      </c>
      <c r="C219" t="str">
        <f t="shared" si="10"/>
        <v>NOVIEMBRE</v>
      </c>
      <c r="D219" s="27">
        <v>45597</v>
      </c>
      <c r="E219" s="20">
        <v>45600</v>
      </c>
      <c r="F219" t="s">
        <v>187</v>
      </c>
      <c r="G219">
        <f t="shared" si="11"/>
        <v>72</v>
      </c>
      <c r="H219" t="s">
        <v>751</v>
      </c>
      <c r="I219" t="s">
        <v>752</v>
      </c>
      <c r="J219" t="str">
        <f>_xlfn.XLOOKUP($I219,RazónMuerte!$A:$A,RazónMuerte!B:B,"",0)</f>
        <v>Enfermedad degenerativa articular</v>
      </c>
      <c r="K219">
        <f>_xlfn.XLOOKUP($I219,RazónMuerte!$A:$A,RazónMuerte!C:C,"",0)</f>
        <v>0</v>
      </c>
      <c r="L219" t="str">
        <f>_xlfn.XLOOKUP($I219,RazónMuerte!$A:$A,RazónMuerte!D:D,"",0)</f>
        <v>Fatal injury</v>
      </c>
    </row>
    <row r="220" spans="1:12" x14ac:dyDescent="0.25">
      <c r="A220" t="s">
        <v>753</v>
      </c>
      <c r="B220" t="str">
        <f t="shared" si="9"/>
        <v>5</v>
      </c>
      <c r="C220" t="str">
        <f t="shared" si="10"/>
        <v>NOVIEMBRE</v>
      </c>
      <c r="D220" s="27">
        <v>45568</v>
      </c>
      <c r="E220" s="20">
        <v>45601</v>
      </c>
      <c r="F220" t="s">
        <v>607</v>
      </c>
      <c r="G220">
        <f t="shared" si="11"/>
        <v>792</v>
      </c>
      <c r="H220" t="s">
        <v>754</v>
      </c>
      <c r="I220" t="s">
        <v>755</v>
      </c>
      <c r="J220" t="str">
        <f>_xlfn.XLOOKUP($I220,RazónMuerte!$A:$A,RazónMuerte!B:B,"",0)</f>
        <v>Fractura ósea</v>
      </c>
      <c r="K220" t="str">
        <f>_xlfn.XLOOKUP($I220,RazónMuerte!$A:$A,RazónMuerte!C:C,"",0)</f>
        <v>Rodilla / Carpal</v>
      </c>
      <c r="L220" t="str">
        <f>_xlfn.XLOOKUP($I220,RazónMuerte!$A:$A,RazónMuerte!D:D,"",0)</f>
        <v>Fatal injury</v>
      </c>
    </row>
    <row r="221" spans="1:12" x14ac:dyDescent="0.25">
      <c r="A221" t="s">
        <v>762</v>
      </c>
      <c r="B221" t="str">
        <f t="shared" si="9"/>
        <v>9</v>
      </c>
      <c r="C221" t="str">
        <f t="shared" si="10"/>
        <v>NOVIEMBRE</v>
      </c>
      <c r="D221" s="31"/>
      <c r="E221" s="31">
        <v>45605</v>
      </c>
      <c r="F221" s="30" t="s">
        <v>45</v>
      </c>
      <c r="G221">
        <f t="shared" si="11"/>
        <v>1094520</v>
      </c>
      <c r="H221" s="30" t="s">
        <v>763</v>
      </c>
      <c r="I221" s="30" t="s">
        <v>766</v>
      </c>
      <c r="J221" t="str">
        <f>_xlfn.XLOOKUP($I221,RazónMuerte!$A:$A,RazónMuerte!B:B,"",0)</f>
        <v>Otras / No especificada</v>
      </c>
      <c r="K221">
        <f>_xlfn.XLOOKUP($I221,RazónMuerte!$A:$A,RazónMuerte!C:C,"",0)</f>
        <v>0</v>
      </c>
      <c r="L221" t="str">
        <f>_xlfn.XLOOKUP($I221,RazónMuerte!$A:$A,RazónMuerte!D:D,"",0)</f>
        <v>No clasificado</v>
      </c>
    </row>
    <row r="222" spans="1:12" x14ac:dyDescent="0.25">
      <c r="A222" t="s">
        <v>764</v>
      </c>
      <c r="B222" t="str">
        <f t="shared" si="9"/>
        <v>10</v>
      </c>
      <c r="C222" t="str">
        <f t="shared" si="10"/>
        <v>NOVIEMBRE</v>
      </c>
      <c r="D222" s="27">
        <v>45606</v>
      </c>
      <c r="E222" s="20">
        <v>45606</v>
      </c>
      <c r="F222" t="s">
        <v>11</v>
      </c>
      <c r="G222">
        <f t="shared" si="11"/>
        <v>0</v>
      </c>
      <c r="H222" t="s">
        <v>765</v>
      </c>
      <c r="I222" t="s">
        <v>767</v>
      </c>
      <c r="J222" t="str">
        <f>_xlfn.XLOOKUP($I222,RazónMuerte!$A:$A,RazónMuerte!B:B,"",0)</f>
        <v>Otras / No especificada</v>
      </c>
      <c r="K222">
        <f>_xlfn.XLOOKUP($I222,RazónMuerte!$A:$A,RazónMuerte!C:C,"",0)</f>
        <v>0</v>
      </c>
      <c r="L222" t="str">
        <f>_xlfn.XLOOKUP($I222,RazónMuerte!$A:$A,RazónMuerte!D:D,"",0)</f>
        <v>No clasificado</v>
      </c>
    </row>
    <row r="223" spans="1:12" x14ac:dyDescent="0.25">
      <c r="A223" t="s">
        <v>756</v>
      </c>
      <c r="B223" t="str">
        <f t="shared" si="9"/>
        <v>11</v>
      </c>
      <c r="C223" t="str">
        <f t="shared" si="10"/>
        <v>NOVIEMBRE</v>
      </c>
      <c r="D223" s="27">
        <v>45605</v>
      </c>
      <c r="E223" s="20">
        <v>45607</v>
      </c>
      <c r="F223" t="s">
        <v>66</v>
      </c>
      <c r="G223">
        <f t="shared" si="11"/>
        <v>48</v>
      </c>
      <c r="H223" t="s">
        <v>760</v>
      </c>
      <c r="I223" t="s">
        <v>761</v>
      </c>
      <c r="J223" t="str">
        <f>_xlfn.XLOOKUP($I223,RazónMuerte!$A:$A,RazónMuerte!B:B,"",0)</f>
        <v>Otras / No especificada</v>
      </c>
      <c r="K223">
        <f>_xlfn.XLOOKUP($I223,RazónMuerte!$A:$A,RazónMuerte!C:C,"",0)</f>
        <v>0</v>
      </c>
      <c r="L223" t="str">
        <f>_xlfn.XLOOKUP($I223,RazónMuerte!$A:$A,RazónMuerte!D:D,"",0)</f>
        <v>No clasificado</v>
      </c>
    </row>
    <row r="224" spans="1:12" x14ac:dyDescent="0.25">
      <c r="A224" t="s">
        <v>756</v>
      </c>
      <c r="B224" t="str">
        <f t="shared" si="9"/>
        <v>11</v>
      </c>
      <c r="C224" t="str">
        <f t="shared" si="10"/>
        <v>NOVIEMBRE</v>
      </c>
      <c r="D224" s="27">
        <v>45584</v>
      </c>
      <c r="E224" s="20">
        <v>45607</v>
      </c>
      <c r="F224" t="s">
        <v>757</v>
      </c>
      <c r="G224">
        <f t="shared" si="11"/>
        <v>552</v>
      </c>
      <c r="H224" t="s">
        <v>758</v>
      </c>
      <c r="I224" t="s">
        <v>759</v>
      </c>
      <c r="J224" t="str">
        <f>_xlfn.XLOOKUP($I224,RazónMuerte!$A:$A,RazónMuerte!B:B,"",0)</f>
        <v>Enfermedad degenerativa articular</v>
      </c>
      <c r="K224">
        <f>_xlfn.XLOOKUP($I224,RazónMuerte!$A:$A,RazónMuerte!C:C,"",0)</f>
        <v>0</v>
      </c>
      <c r="L224" t="str">
        <f>_xlfn.XLOOKUP($I224,RazónMuerte!$A:$A,RazónMuerte!D:D,"",0)</f>
        <v>Fatal injury</v>
      </c>
    </row>
    <row r="225" spans="1:12" x14ac:dyDescent="0.25">
      <c r="A225" t="s">
        <v>756</v>
      </c>
      <c r="B225" t="str">
        <f t="shared" si="9"/>
        <v>11</v>
      </c>
      <c r="C225" t="str">
        <f t="shared" si="10"/>
        <v>NOVIEMBRE</v>
      </c>
      <c r="D225" s="31"/>
      <c r="E225" s="31">
        <v>45607</v>
      </c>
      <c r="F225" s="30" t="s">
        <v>769</v>
      </c>
      <c r="G225">
        <f t="shared" si="11"/>
        <v>1094568</v>
      </c>
      <c r="H225" s="30" t="s">
        <v>770</v>
      </c>
      <c r="I225" s="30" t="s">
        <v>771</v>
      </c>
      <c r="J225" t="str">
        <f>_xlfn.XLOOKUP($I225,RazónMuerte!$A:$A,RazónMuerte!B:B,"",0)</f>
        <v>Fractura ósea</v>
      </c>
      <c r="K225" t="str">
        <f>_xlfn.XLOOKUP($I225,RazónMuerte!$A:$A,RazónMuerte!C:C,"",0)</f>
        <v>Rodilla / Carpal</v>
      </c>
      <c r="L225" t="str">
        <f>_xlfn.XLOOKUP($I225,RazónMuerte!$A:$A,RazónMuerte!D:D,"",0)</f>
        <v>Fatal injury</v>
      </c>
    </row>
    <row r="226" spans="1:12" x14ac:dyDescent="0.25">
      <c r="A226" t="s">
        <v>768</v>
      </c>
      <c r="B226" t="str">
        <f t="shared" si="9"/>
        <v>12</v>
      </c>
      <c r="C226" t="str">
        <f t="shared" si="10"/>
        <v>NOVIEMBRE</v>
      </c>
      <c r="D226" s="20">
        <v>45605</v>
      </c>
      <c r="E226" s="20">
        <v>45608</v>
      </c>
      <c r="F226" t="s">
        <v>7</v>
      </c>
      <c r="G226">
        <f t="shared" si="11"/>
        <v>72</v>
      </c>
      <c r="H226" t="s">
        <v>772</v>
      </c>
      <c r="I226" t="s">
        <v>773</v>
      </c>
      <c r="J226" t="str">
        <f>_xlfn.XLOOKUP($I226,RazónMuerte!$A:$A,RazónMuerte!B:B,"",0)</f>
        <v>Fractura ósea</v>
      </c>
      <c r="K226" t="str">
        <f>_xlfn.XLOOKUP($I226,RazónMuerte!$A:$A,RazónMuerte!C:C,"",0)</f>
        <v>Slab</v>
      </c>
      <c r="L226" t="str">
        <f>_xlfn.XLOOKUP($I226,RazónMuerte!$A:$A,RazónMuerte!D:D,"",0)</f>
        <v>Fatal injury</v>
      </c>
    </row>
    <row r="227" spans="1:12" x14ac:dyDescent="0.25">
      <c r="A227" t="s">
        <v>774</v>
      </c>
      <c r="B227" t="str">
        <f t="shared" si="9"/>
        <v>16</v>
      </c>
      <c r="C227" t="str">
        <f t="shared" si="10"/>
        <v>NOVIEMBRE</v>
      </c>
      <c r="D227" s="31"/>
      <c r="E227" s="31">
        <v>45612</v>
      </c>
      <c r="F227" s="30" t="s">
        <v>92</v>
      </c>
      <c r="G227">
        <f t="shared" si="11"/>
        <v>1094688</v>
      </c>
      <c r="H227" s="30" t="s">
        <v>775</v>
      </c>
      <c r="I227" s="30" t="s">
        <v>776</v>
      </c>
      <c r="J227" t="str">
        <f>_xlfn.XLOOKUP($I227,RazónMuerte!$A:$A,RazónMuerte!B:B,"",0)</f>
        <v>Fractura ósea</v>
      </c>
      <c r="K227" t="str">
        <f>_xlfn.XLOOKUP($I227,RazónMuerte!$A:$A,RazónMuerte!C:C,"",0)</f>
        <v>No especificado</v>
      </c>
      <c r="L227" t="str">
        <f>_xlfn.XLOOKUP($I227,RazónMuerte!$A:$A,RazónMuerte!D:D,"",0)</f>
        <v>Fatal injury</v>
      </c>
    </row>
    <row r="228" spans="1:12" x14ac:dyDescent="0.25">
      <c r="A228" t="s">
        <v>774</v>
      </c>
      <c r="B228" t="str">
        <f t="shared" si="9"/>
        <v>16</v>
      </c>
      <c r="C228" t="str">
        <f t="shared" si="10"/>
        <v>NOVIEMBRE</v>
      </c>
      <c r="D228" s="27">
        <v>45611</v>
      </c>
      <c r="E228" s="20">
        <v>45612</v>
      </c>
      <c r="F228" t="s">
        <v>74</v>
      </c>
      <c r="G228">
        <f t="shared" si="11"/>
        <v>24</v>
      </c>
      <c r="H228" t="s">
        <v>777</v>
      </c>
      <c r="I228" t="s">
        <v>78</v>
      </c>
      <c r="J228" t="str">
        <f>_xlfn.XLOOKUP($I228,RazónMuerte!$A:$A,RazónMuerte!B:B,"",0)</f>
        <v>Fractura ósea</v>
      </c>
      <c r="K228" t="str">
        <f>_xlfn.XLOOKUP($I228,RazónMuerte!$A:$A,RazónMuerte!C:C,"",0)</f>
        <v>Rodilla / Carpal</v>
      </c>
      <c r="L228" t="str">
        <f>_xlfn.XLOOKUP($I228,RazónMuerte!$A:$A,RazónMuerte!D:D,"",0)</f>
        <v>Fatal injury</v>
      </c>
    </row>
    <row r="229" spans="1:12" x14ac:dyDescent="0.25">
      <c r="A229" t="s">
        <v>774</v>
      </c>
      <c r="B229" t="str">
        <f t="shared" si="9"/>
        <v>16</v>
      </c>
      <c r="C229" t="str">
        <f t="shared" si="10"/>
        <v>NOVIEMBRE</v>
      </c>
      <c r="D229" s="27">
        <v>45044</v>
      </c>
      <c r="E229" s="20">
        <v>45612</v>
      </c>
      <c r="F229" t="s">
        <v>778</v>
      </c>
      <c r="G229">
        <f t="shared" si="11"/>
        <v>13632</v>
      </c>
      <c r="H229" t="s">
        <v>779</v>
      </c>
      <c r="I229" t="s">
        <v>780</v>
      </c>
      <c r="J229" t="str">
        <f>_xlfn.XLOOKUP($I229,RazónMuerte!$A:$A,RazónMuerte!B:B,"",0)</f>
        <v>Otras / No especificada</v>
      </c>
      <c r="K229">
        <f>_xlfn.XLOOKUP($I229,RazónMuerte!$A:$A,RazónMuerte!C:C,"",0)</f>
        <v>0</v>
      </c>
      <c r="L229" t="str">
        <f>_xlfn.XLOOKUP($I229,RazónMuerte!$A:$A,RazónMuerte!D:D,"",0)</f>
        <v>No fatal injury (chronic/medical)</v>
      </c>
    </row>
    <row r="230" spans="1:12" x14ac:dyDescent="0.25">
      <c r="A230" t="s">
        <v>783</v>
      </c>
      <c r="B230" t="str">
        <f t="shared" si="9"/>
        <v>18</v>
      </c>
      <c r="C230" t="str">
        <f t="shared" si="10"/>
        <v>NOVIEMBRE</v>
      </c>
      <c r="D230" s="27">
        <v>45613</v>
      </c>
      <c r="E230" s="20">
        <v>45614</v>
      </c>
      <c r="F230" t="s">
        <v>318</v>
      </c>
      <c r="G230">
        <f t="shared" si="11"/>
        <v>24</v>
      </c>
      <c r="H230" t="s">
        <v>782</v>
      </c>
      <c r="I230" t="s">
        <v>781</v>
      </c>
      <c r="J230" t="str">
        <f>_xlfn.XLOOKUP($I230,RazónMuerte!$A:$A,RazónMuerte!B:B,"",0)</f>
        <v>Lesión de ligamentos/tendones</v>
      </c>
      <c r="K230">
        <f>_xlfn.XLOOKUP($I230,RazónMuerte!$A:$A,RazónMuerte!C:C,"",0)</f>
        <v>0</v>
      </c>
      <c r="L230" t="str">
        <f>_xlfn.XLOOKUP($I230,RazónMuerte!$A:$A,RazónMuerte!D:D,"",0)</f>
        <v>No fatal injury (chronic/medical)</v>
      </c>
    </row>
    <row r="231" spans="1:12" x14ac:dyDescent="0.25">
      <c r="A231" t="s">
        <v>794</v>
      </c>
      <c r="B231" t="str">
        <f t="shared" si="9"/>
        <v>2</v>
      </c>
      <c r="C231" t="str">
        <f t="shared" si="10"/>
        <v>DICIEMBRE</v>
      </c>
      <c r="D231" s="27">
        <v>45597</v>
      </c>
      <c r="E231" s="20">
        <v>45628</v>
      </c>
      <c r="F231" t="s">
        <v>31</v>
      </c>
      <c r="G231">
        <f t="shared" si="11"/>
        <v>744</v>
      </c>
      <c r="H231" t="s">
        <v>795</v>
      </c>
      <c r="I231" t="s">
        <v>796</v>
      </c>
      <c r="J231" t="str">
        <f>_xlfn.XLOOKUP($I231,RazónMuerte!$A:$A,RazónMuerte!B:B,"",0)</f>
        <v>Fractura ósea</v>
      </c>
      <c r="K231" t="str">
        <f>_xlfn.XLOOKUP($I231,RazónMuerte!$A:$A,RazónMuerte!C:C,"",0)</f>
        <v>Rodilla / Carpal</v>
      </c>
      <c r="L231" t="str">
        <f>_xlfn.XLOOKUP($I231,RazónMuerte!$A:$A,RazónMuerte!D:D,"",0)</f>
        <v>Fatal injury</v>
      </c>
    </row>
    <row r="232" spans="1:12" x14ac:dyDescent="0.25">
      <c r="A232" t="s">
        <v>797</v>
      </c>
      <c r="B232" t="str">
        <f t="shared" si="9"/>
        <v>3</v>
      </c>
      <c r="C232" t="str">
        <f t="shared" si="10"/>
        <v>DICIEMBRE</v>
      </c>
      <c r="D232" s="31"/>
      <c r="E232" s="31">
        <v>45629</v>
      </c>
      <c r="F232" s="30" t="s">
        <v>15</v>
      </c>
      <c r="G232">
        <f t="shared" si="11"/>
        <v>1095096</v>
      </c>
      <c r="H232" s="30" t="s">
        <v>798</v>
      </c>
      <c r="I232" s="30" t="s">
        <v>799</v>
      </c>
      <c r="J232" t="str">
        <f>_xlfn.XLOOKUP($I232,RazónMuerte!$A:$A,RazónMuerte!B:B,"",0)</f>
        <v>Fractura ósea</v>
      </c>
      <c r="K232" t="str">
        <f>_xlfn.XLOOKUP($I232,RazónMuerte!$A:$A,RazónMuerte!C:C,"",0)</f>
        <v>Splint</v>
      </c>
      <c r="L232" t="str">
        <f>_xlfn.XLOOKUP($I232,RazónMuerte!$A:$A,RazónMuerte!D:D,"",0)</f>
        <v>Fatal injury</v>
      </c>
    </row>
    <row r="233" spans="1:12" x14ac:dyDescent="0.25">
      <c r="A233" t="s">
        <v>802</v>
      </c>
      <c r="B233" t="str">
        <f t="shared" si="9"/>
        <v>7</v>
      </c>
      <c r="C233" t="str">
        <f t="shared" si="10"/>
        <v>DICIEMBRE</v>
      </c>
      <c r="D233" s="31"/>
      <c r="E233" s="31">
        <v>45633</v>
      </c>
      <c r="F233" s="30" t="s">
        <v>45</v>
      </c>
      <c r="G233">
        <f t="shared" si="11"/>
        <v>1095192</v>
      </c>
      <c r="H233" s="30" t="s">
        <v>801</v>
      </c>
      <c r="I233" s="30" t="s">
        <v>800</v>
      </c>
      <c r="J233" t="str">
        <f>_xlfn.XLOOKUP($I233,RazónMuerte!$A:$A,RazónMuerte!B:B,"",0)</f>
        <v>Fractura ósea</v>
      </c>
      <c r="K233" t="str">
        <f>_xlfn.XLOOKUP($I233,RazónMuerte!$A:$A,RazónMuerte!C:C,"",0)</f>
        <v>No especificado</v>
      </c>
      <c r="L233" t="str">
        <f>_xlfn.XLOOKUP($I233,RazónMuerte!$A:$A,RazónMuerte!D:D,"",0)</f>
        <v>Fatal injury</v>
      </c>
    </row>
    <row r="234" spans="1:12" x14ac:dyDescent="0.25">
      <c r="A234" t="s">
        <v>803</v>
      </c>
      <c r="B234" t="str">
        <f t="shared" si="9"/>
        <v>8</v>
      </c>
      <c r="C234" t="str">
        <f t="shared" si="10"/>
        <v>DICIEMBRE</v>
      </c>
      <c r="D234" s="27">
        <v>45634</v>
      </c>
      <c r="E234" s="20">
        <v>45634</v>
      </c>
      <c r="F234" t="s">
        <v>43</v>
      </c>
      <c r="G234">
        <f t="shared" si="11"/>
        <v>0</v>
      </c>
      <c r="H234" t="s">
        <v>804</v>
      </c>
      <c r="I234" t="s">
        <v>54</v>
      </c>
      <c r="J234" t="str">
        <f>_xlfn.XLOOKUP($I234,RazónMuerte!$A:$A,RazónMuerte!B:B,"",0)</f>
        <v>Fractura ósea</v>
      </c>
      <c r="K234" t="str">
        <f>_xlfn.XLOOKUP($I234,RazónMuerte!$A:$A,RazónMuerte!C:C,"",0)</f>
        <v>Rodilla / Carpal</v>
      </c>
      <c r="L234" t="str">
        <f>_xlfn.XLOOKUP($I234,RazónMuerte!$A:$A,RazónMuerte!D:D,"",0)</f>
        <v>Fatal injury</v>
      </c>
    </row>
    <row r="235" spans="1:12" x14ac:dyDescent="0.25">
      <c r="A235" t="s">
        <v>807</v>
      </c>
      <c r="B235" t="str">
        <f t="shared" si="9"/>
        <v>11</v>
      </c>
      <c r="C235" t="str">
        <f t="shared" si="10"/>
        <v>DICIEMBRE</v>
      </c>
      <c r="D235" s="27">
        <v>45634</v>
      </c>
      <c r="E235" s="20">
        <v>45637</v>
      </c>
      <c r="F235" t="s">
        <v>43</v>
      </c>
      <c r="G235">
        <f t="shared" si="11"/>
        <v>72</v>
      </c>
      <c r="H235" t="s">
        <v>808</v>
      </c>
      <c r="I235" t="s">
        <v>809</v>
      </c>
      <c r="J235" t="str">
        <f>_xlfn.XLOOKUP($I235,RazónMuerte!$A:$A,RazónMuerte!B:B,"",0)</f>
        <v>Fractura ósea</v>
      </c>
      <c r="K235" t="str">
        <f>_xlfn.XLOOKUP($I235,RazónMuerte!$A:$A,RazónMuerte!C:C,"",0)</f>
        <v>Caña / Cannon bone</v>
      </c>
      <c r="L235" t="str">
        <f>_xlfn.XLOOKUP($I235,RazónMuerte!$A:$A,RazónMuerte!D:D,"",0)</f>
        <v>Fatal injury</v>
      </c>
    </row>
    <row r="236" spans="1:12" x14ac:dyDescent="0.25">
      <c r="A236" t="s">
        <v>807</v>
      </c>
      <c r="B236" t="str">
        <f t="shared" si="9"/>
        <v>11</v>
      </c>
      <c r="C236" t="str">
        <f t="shared" si="10"/>
        <v>DICIEMBRE</v>
      </c>
      <c r="D236" s="27">
        <v>45620</v>
      </c>
      <c r="E236" s="20">
        <v>45637</v>
      </c>
      <c r="F236" t="s">
        <v>812</v>
      </c>
      <c r="G236">
        <f t="shared" si="11"/>
        <v>408</v>
      </c>
      <c r="H236" t="s">
        <v>811</v>
      </c>
      <c r="I236" t="s">
        <v>810</v>
      </c>
      <c r="J236" t="str">
        <f>_xlfn.XLOOKUP($I236,RazónMuerte!$A:$A,RazónMuerte!B:B,"",0)</f>
        <v>Fractura ósea</v>
      </c>
      <c r="K236" t="str">
        <f>_xlfn.XLOOKUP($I236,RazónMuerte!$A:$A,RazónMuerte!C:C,"",0)</f>
        <v>No especificado</v>
      </c>
      <c r="L236" t="str">
        <f>_xlfn.XLOOKUP($I236,RazónMuerte!$A:$A,RazónMuerte!D:D,"",0)</f>
        <v>Fatal injury</v>
      </c>
    </row>
    <row r="237" spans="1:12" x14ac:dyDescent="0.25">
      <c r="A237" t="s">
        <v>807</v>
      </c>
      <c r="B237" t="str">
        <f t="shared" si="9"/>
        <v>11</v>
      </c>
      <c r="C237" t="str">
        <f t="shared" si="10"/>
        <v>DICIEMBRE</v>
      </c>
      <c r="D237" s="27">
        <v>45486</v>
      </c>
      <c r="E237" s="20">
        <v>45637</v>
      </c>
      <c r="F237" t="s">
        <v>52</v>
      </c>
      <c r="G237">
        <f t="shared" si="11"/>
        <v>3624</v>
      </c>
      <c r="H237" t="s">
        <v>813</v>
      </c>
      <c r="I237" t="s">
        <v>87</v>
      </c>
      <c r="J237" t="str">
        <f>_xlfn.XLOOKUP($I237,RazónMuerte!$A:$A,RazónMuerte!B:B,"",0)</f>
        <v>Otras / No especificada</v>
      </c>
      <c r="K237">
        <f>_xlfn.XLOOKUP($I237,RazónMuerte!$A:$A,RazónMuerte!C:C,"",0)</f>
        <v>0</v>
      </c>
      <c r="L237" t="str">
        <f>_xlfn.XLOOKUP($I237,RazónMuerte!$A:$A,RazónMuerte!D:D,"",0)</f>
        <v>No clasificado</v>
      </c>
    </row>
    <row r="238" spans="1:12" x14ac:dyDescent="0.25">
      <c r="A238" t="s">
        <v>816</v>
      </c>
      <c r="B238" t="str">
        <f t="shared" si="9"/>
        <v>13</v>
      </c>
      <c r="C238" t="str">
        <f t="shared" si="10"/>
        <v>DICIEMBRE</v>
      </c>
      <c r="D238" s="27">
        <v>45619</v>
      </c>
      <c r="E238" s="20">
        <v>45639</v>
      </c>
      <c r="F238" t="s">
        <v>815</v>
      </c>
      <c r="G238">
        <f t="shared" si="11"/>
        <v>480</v>
      </c>
      <c r="H238" t="s">
        <v>814</v>
      </c>
      <c r="I238" t="s">
        <v>91</v>
      </c>
      <c r="J238" t="str">
        <f>_xlfn.XLOOKUP($I238,RazónMuerte!$A:$A,RazónMuerte!B:B,"",0)</f>
        <v>Fractura ósea</v>
      </c>
      <c r="K238" t="str">
        <f>_xlfn.XLOOKUP($I238,RazónMuerte!$A:$A,RazónMuerte!C:C,"",0)</f>
        <v>Sesamoideo</v>
      </c>
      <c r="L238" t="str">
        <f>_xlfn.XLOOKUP($I238,RazónMuerte!$A:$A,RazónMuerte!D:D,"",0)</f>
        <v>Fatal injury</v>
      </c>
    </row>
    <row r="239" spans="1:12" x14ac:dyDescent="0.25">
      <c r="A239" t="s">
        <v>817</v>
      </c>
      <c r="B239" t="str">
        <f t="shared" si="9"/>
        <v>14</v>
      </c>
      <c r="C239" t="str">
        <f t="shared" si="10"/>
        <v>DICIEMBRE</v>
      </c>
      <c r="D239" s="20">
        <v>45624</v>
      </c>
      <c r="E239" s="20">
        <v>45640</v>
      </c>
      <c r="F239" t="s">
        <v>389</v>
      </c>
      <c r="G239">
        <f t="shared" si="11"/>
        <v>384</v>
      </c>
      <c r="H239" t="s">
        <v>818</v>
      </c>
      <c r="I239" t="s">
        <v>819</v>
      </c>
      <c r="J239" t="str">
        <f>_xlfn.XLOOKUP($I239,RazónMuerte!$A:$A,RazónMuerte!B:B,"",0)</f>
        <v>Lesión de ligamentos/tendones</v>
      </c>
      <c r="K239">
        <f>_xlfn.XLOOKUP($I239,RazónMuerte!$A:$A,RazónMuerte!C:C,"",0)</f>
        <v>0</v>
      </c>
      <c r="L239" t="str">
        <f>_xlfn.XLOOKUP($I239,RazónMuerte!$A:$A,RazónMuerte!D:D,"",0)</f>
        <v>No fatal injury (chronic/medical)</v>
      </c>
    </row>
    <row r="240" spans="1:12" x14ac:dyDescent="0.25">
      <c r="A240" t="s">
        <v>821</v>
      </c>
      <c r="B240" t="str">
        <f t="shared" si="9"/>
        <v>16</v>
      </c>
      <c r="C240" t="str">
        <f t="shared" si="10"/>
        <v>DICIEMBRE</v>
      </c>
      <c r="D240" s="27">
        <v>45414</v>
      </c>
      <c r="E240" s="20">
        <v>45642</v>
      </c>
      <c r="F240" t="s">
        <v>85</v>
      </c>
      <c r="G240">
        <f t="shared" si="11"/>
        <v>5472</v>
      </c>
      <c r="H240" t="s">
        <v>820</v>
      </c>
      <c r="I240" t="s">
        <v>228</v>
      </c>
      <c r="J240" t="str">
        <f>_xlfn.XLOOKUP($I240,RazónMuerte!$A:$A,RazónMuerte!B:B,"",0)</f>
        <v>Enfermedad degenerativa articular</v>
      </c>
      <c r="K240">
        <f>_xlfn.XLOOKUP($I240,RazónMuerte!$A:$A,RazónMuerte!C:C,"",0)</f>
        <v>0</v>
      </c>
      <c r="L240" t="str">
        <f>_xlfn.XLOOKUP($I240,RazónMuerte!$A:$A,RazónMuerte!D:D,"",0)</f>
        <v>Fatal injury</v>
      </c>
    </row>
    <row r="241" spans="1:12" x14ac:dyDescent="0.25">
      <c r="A241" t="s">
        <v>822</v>
      </c>
      <c r="B241" t="str">
        <f t="shared" si="9"/>
        <v>20</v>
      </c>
      <c r="C241" t="str">
        <f t="shared" si="10"/>
        <v>DICIEMBRE</v>
      </c>
      <c r="D241" s="31"/>
      <c r="E241" s="31">
        <v>45646</v>
      </c>
      <c r="F241" s="30" t="s">
        <v>98</v>
      </c>
      <c r="G241">
        <f t="shared" si="11"/>
        <v>1095504</v>
      </c>
      <c r="H241" s="30" t="s">
        <v>823</v>
      </c>
      <c r="I241" s="30" t="s">
        <v>653</v>
      </c>
      <c r="J241" t="str">
        <f>_xlfn.XLOOKUP($I241,RazónMuerte!$A:$A,RazónMuerte!B:B,"",0)</f>
        <v>Otras / No especificada</v>
      </c>
      <c r="K241">
        <f>_xlfn.XLOOKUP($I241,RazónMuerte!$A:$A,RazónMuerte!C:C,"",0)</f>
        <v>0</v>
      </c>
      <c r="L241" t="str">
        <f>_xlfn.XLOOKUP($I241,RazónMuerte!$A:$A,RazónMuerte!D:D,"",0)</f>
        <v>No clasificado</v>
      </c>
    </row>
    <row r="242" spans="1:12" x14ac:dyDescent="0.25">
      <c r="A242" t="s">
        <v>826</v>
      </c>
      <c r="B242" t="str">
        <f t="shared" si="9"/>
        <v>21</v>
      </c>
      <c r="C242" t="str">
        <f t="shared" si="10"/>
        <v>DICIEMBRE</v>
      </c>
      <c r="D242" s="31"/>
      <c r="E242" s="31">
        <v>45647</v>
      </c>
      <c r="F242" s="30" t="s">
        <v>66</v>
      </c>
      <c r="G242">
        <f t="shared" si="11"/>
        <v>1095528</v>
      </c>
      <c r="H242" s="30" t="s">
        <v>825</v>
      </c>
      <c r="I242" s="30" t="s">
        <v>824</v>
      </c>
      <c r="J242" t="str">
        <f>_xlfn.XLOOKUP($I242,RazónMuerte!$A:$A,RazónMuerte!B:B,"",0)</f>
        <v>Otras / No especificada</v>
      </c>
      <c r="K242">
        <f>_xlfn.XLOOKUP($I242,RazónMuerte!$A:$A,RazónMuerte!C:C,"",0)</f>
        <v>0</v>
      </c>
      <c r="L242" t="str">
        <f>_xlfn.XLOOKUP($I242,RazónMuerte!$A:$A,RazónMuerte!D:D,"",0)</f>
        <v>Fatal injury</v>
      </c>
    </row>
    <row r="243" spans="1:12" x14ac:dyDescent="0.25">
      <c r="A243" t="s">
        <v>827</v>
      </c>
      <c r="B243" t="str">
        <f t="shared" si="9"/>
        <v>23</v>
      </c>
      <c r="C243" t="str">
        <f t="shared" si="10"/>
        <v>DICIEMBRE</v>
      </c>
      <c r="D243" s="31"/>
      <c r="E243" s="31">
        <v>45649</v>
      </c>
      <c r="F243" s="30" t="s">
        <v>589</v>
      </c>
      <c r="G243">
        <f t="shared" si="11"/>
        <v>1095576</v>
      </c>
      <c r="H243" s="30" t="s">
        <v>828</v>
      </c>
      <c r="I243" s="30" t="s">
        <v>829</v>
      </c>
      <c r="J243" t="str">
        <f>_xlfn.XLOOKUP($I243,RazónMuerte!$A:$A,RazónMuerte!B:B,"",0)</f>
        <v>Lesión de ligamentos/tendones</v>
      </c>
      <c r="K243">
        <f>_xlfn.XLOOKUP($I243,RazónMuerte!$A:$A,RazónMuerte!C:C,"",0)</f>
        <v>0</v>
      </c>
      <c r="L243" t="str">
        <f>_xlfn.XLOOKUP($I243,RazónMuerte!$A:$A,RazónMuerte!D:D,"",0)</f>
        <v>No fatal injury (chronic/medical)</v>
      </c>
    </row>
    <row r="244" spans="1:12" x14ac:dyDescent="0.25">
      <c r="A244" t="s">
        <v>827</v>
      </c>
      <c r="B244" t="str">
        <f t="shared" si="9"/>
        <v>23</v>
      </c>
      <c r="C244" t="str">
        <f t="shared" si="10"/>
        <v>DICIEMBRE</v>
      </c>
      <c r="D244" s="27">
        <v>45648</v>
      </c>
      <c r="E244" s="20">
        <v>45649</v>
      </c>
      <c r="F244" t="s">
        <v>597</v>
      </c>
      <c r="G244">
        <f t="shared" si="11"/>
        <v>24</v>
      </c>
      <c r="H244" t="s">
        <v>831</v>
      </c>
      <c r="I244" t="s">
        <v>830</v>
      </c>
      <c r="J244" t="str">
        <f>_xlfn.XLOOKUP($I244,RazónMuerte!$A:$A,RazónMuerte!B:B,"",0)</f>
        <v>Fractura ósea</v>
      </c>
      <c r="K244" t="str">
        <f>_xlfn.XLOOKUP($I244,RazónMuerte!$A:$A,RazónMuerte!C:C,"",0)</f>
        <v>No especificado</v>
      </c>
      <c r="L244" t="str">
        <f>_xlfn.XLOOKUP($I244,RazónMuerte!$A:$A,RazónMuerte!D:D,"",0)</f>
        <v>Fatal injury</v>
      </c>
    </row>
    <row r="245" spans="1:12" x14ac:dyDescent="0.25">
      <c r="A245" t="s">
        <v>827</v>
      </c>
      <c r="B245" t="str">
        <f t="shared" si="9"/>
        <v>23</v>
      </c>
      <c r="C245" t="str">
        <f t="shared" si="10"/>
        <v>DICIEMBRE</v>
      </c>
      <c r="D245" s="27">
        <v>45641</v>
      </c>
      <c r="E245" s="20">
        <v>45649</v>
      </c>
      <c r="F245" t="s">
        <v>832</v>
      </c>
      <c r="G245">
        <f t="shared" si="11"/>
        <v>192</v>
      </c>
      <c r="H245" t="s">
        <v>833</v>
      </c>
      <c r="I245" t="s">
        <v>834</v>
      </c>
      <c r="J245" t="str">
        <f>_xlfn.XLOOKUP($I245,RazónMuerte!$A:$A,RazónMuerte!B:B,"",0)</f>
        <v>Fractura ósea</v>
      </c>
      <c r="K245" t="str">
        <f>_xlfn.XLOOKUP($I245,RazónMuerte!$A:$A,RazónMuerte!C:C,"",0)</f>
        <v>Caña / Cannon bone</v>
      </c>
      <c r="L245" t="str">
        <f>_xlfn.XLOOKUP($I245,RazónMuerte!$A:$A,RazónMuerte!D:D,"",0)</f>
        <v>Fatal injury</v>
      </c>
    </row>
    <row r="246" spans="1:12" x14ac:dyDescent="0.25">
      <c r="A246" t="s">
        <v>838</v>
      </c>
      <c r="B246" t="str">
        <f t="shared" si="9"/>
        <v>27</v>
      </c>
      <c r="C246" t="str">
        <f t="shared" si="10"/>
        <v>DICIEMBRE</v>
      </c>
      <c r="D246" s="27">
        <v>45568</v>
      </c>
      <c r="E246" s="20">
        <v>45653</v>
      </c>
      <c r="F246" t="s">
        <v>837</v>
      </c>
      <c r="G246">
        <f t="shared" si="11"/>
        <v>2040</v>
      </c>
      <c r="H246" t="s">
        <v>836</v>
      </c>
      <c r="I246" t="s">
        <v>835</v>
      </c>
      <c r="J246" t="str">
        <f>_xlfn.XLOOKUP($I246,RazónMuerte!$A:$A,RazónMuerte!B:B,"",0)</f>
        <v>Fractura ósea</v>
      </c>
      <c r="K246" t="str">
        <f>_xlfn.XLOOKUP($I246,RazónMuerte!$A:$A,RazónMuerte!C:C,"",0)</f>
        <v>No especificado</v>
      </c>
      <c r="L246" t="str">
        <f>_xlfn.XLOOKUP($I246,RazónMuerte!$A:$A,RazónMuerte!D:D,"",0)</f>
        <v>Fatal injury</v>
      </c>
    </row>
    <row r="247" spans="1:12" x14ac:dyDescent="0.25">
      <c r="A247" t="s">
        <v>839</v>
      </c>
      <c r="B247" t="str">
        <f t="shared" si="9"/>
        <v>28</v>
      </c>
      <c r="C247" t="str">
        <f t="shared" si="10"/>
        <v>DICIEMBRE</v>
      </c>
      <c r="D247" s="27">
        <v>45653</v>
      </c>
      <c r="E247" s="20">
        <v>45654</v>
      </c>
      <c r="F247" t="s">
        <v>840</v>
      </c>
      <c r="G247">
        <f t="shared" si="11"/>
        <v>24</v>
      </c>
      <c r="H247" t="s">
        <v>841</v>
      </c>
      <c r="I247" t="s">
        <v>842</v>
      </c>
      <c r="J247" t="str">
        <f>_xlfn.XLOOKUP($I247,RazónMuerte!$A:$A,RazónMuerte!B:B,"",0)</f>
        <v>Fractura ósea</v>
      </c>
      <c r="K247" t="str">
        <f>_xlfn.XLOOKUP($I247,RazónMuerte!$A:$A,RazónMuerte!C:C,"",0)</f>
        <v>Rodilla / Carpal</v>
      </c>
      <c r="L247" t="str">
        <f>_xlfn.XLOOKUP($I247,RazónMuerte!$A:$A,RazónMuerte!D:D,"",0)</f>
        <v>Fatal injury</v>
      </c>
    </row>
    <row r="248" spans="1:12" x14ac:dyDescent="0.25">
      <c r="A248" t="s">
        <v>844</v>
      </c>
      <c r="B248" t="str">
        <f t="shared" si="9"/>
        <v>30</v>
      </c>
      <c r="C248" t="str">
        <f t="shared" si="10"/>
        <v>DICIEMBRE</v>
      </c>
      <c r="D248" s="27">
        <v>45654</v>
      </c>
      <c r="E248" s="20">
        <v>45656</v>
      </c>
      <c r="F248" t="s">
        <v>812</v>
      </c>
      <c r="G248">
        <f t="shared" si="11"/>
        <v>48</v>
      </c>
      <c r="H248" t="s">
        <v>843</v>
      </c>
      <c r="I248" t="s">
        <v>54</v>
      </c>
      <c r="J248" t="str">
        <f>_xlfn.XLOOKUP($I248,RazónMuerte!$A:$A,RazónMuerte!B:B,"",0)</f>
        <v>Fractura ósea</v>
      </c>
      <c r="K248" t="str">
        <f>_xlfn.XLOOKUP($I248,RazónMuerte!$A:$A,RazónMuerte!C:C,"",0)</f>
        <v>Rodilla / Carpal</v>
      </c>
      <c r="L248" t="str">
        <f>_xlfn.XLOOKUP($I248,RazónMuerte!$A:$A,RazónMuerte!D:D,"",0)</f>
        <v>Fatal injury</v>
      </c>
    </row>
    <row r="249" spans="1:12" x14ac:dyDescent="0.25">
      <c r="A249" t="s">
        <v>844</v>
      </c>
      <c r="B249" t="str">
        <f t="shared" si="9"/>
        <v>30</v>
      </c>
      <c r="C249" t="str">
        <f t="shared" si="10"/>
        <v>DICIEMBRE</v>
      </c>
      <c r="D249" s="27">
        <v>45634</v>
      </c>
      <c r="E249" s="20">
        <v>45656</v>
      </c>
      <c r="F249" t="s">
        <v>105</v>
      </c>
      <c r="G249">
        <f t="shared" si="11"/>
        <v>528</v>
      </c>
      <c r="H249" t="s">
        <v>845</v>
      </c>
      <c r="I249" t="s">
        <v>846</v>
      </c>
      <c r="J249" t="str">
        <f>_xlfn.XLOOKUP($I249,RazónMuerte!$A:$A,RazónMuerte!B:B,"",0)</f>
        <v>Fractura ósea</v>
      </c>
      <c r="K249" t="str">
        <f>_xlfn.XLOOKUP($I249,RazónMuerte!$A:$A,RazónMuerte!C:C,"",0)</f>
        <v>Sesamoideo</v>
      </c>
      <c r="L249" t="str">
        <f>_xlfn.XLOOKUP($I249,RazónMuerte!$A:$A,RazónMuerte!D:D,"",0)</f>
        <v>Fatal injury</v>
      </c>
    </row>
    <row r="250" spans="1:12" x14ac:dyDescent="0.25">
      <c r="A250" t="s">
        <v>849</v>
      </c>
      <c r="B250" t="str">
        <f t="shared" si="9"/>
        <v>31</v>
      </c>
      <c r="C250" t="str">
        <f t="shared" si="10"/>
        <v>DICIEMBRE</v>
      </c>
      <c r="D250" s="29">
        <v>45655</v>
      </c>
      <c r="E250" s="20">
        <v>45657</v>
      </c>
      <c r="F250" t="s">
        <v>10</v>
      </c>
      <c r="G250">
        <f t="shared" si="11"/>
        <v>48</v>
      </c>
      <c r="H250" t="s">
        <v>848</v>
      </c>
      <c r="I250" t="s">
        <v>847</v>
      </c>
      <c r="J250" t="str">
        <f>_xlfn.XLOOKUP($I250,RazónMuerte!$A:$A,RazónMuerte!B:B,"",0)</f>
        <v>Fractura ósea</v>
      </c>
      <c r="K250" t="str">
        <f>_xlfn.XLOOKUP($I250,RazónMuerte!$A:$A,RazónMuerte!C:C,"",0)</f>
        <v>No especificado</v>
      </c>
      <c r="L250" t="str">
        <f>_xlfn.XLOOKUP($I250,RazónMuerte!$A:$A,RazónMuerte!D:D,"",0)</f>
        <v>Fatal injury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1F84E-06F6-4DAC-B039-C6C580EA681C}">
  <dimension ref="A1:M198"/>
  <sheetViews>
    <sheetView topLeftCell="D163" workbookViewId="0">
      <selection activeCell="E7" sqref="E7"/>
    </sheetView>
  </sheetViews>
  <sheetFormatPr defaultRowHeight="15" x14ac:dyDescent="0.25"/>
  <cols>
    <col min="1" max="3" width="19.42578125" hidden="1" customWidth="1"/>
    <col min="4" max="4" width="32.28515625" bestFit="1" customWidth="1"/>
    <col min="5" max="5" width="19.42578125" customWidth="1"/>
    <col min="6" max="6" width="22.140625" hidden="1" customWidth="1"/>
    <col min="7" max="7" width="22.140625" style="41" customWidth="1"/>
    <col min="8" max="8" width="22.5703125" bestFit="1" customWidth="1"/>
    <col min="9" max="9" width="104" customWidth="1"/>
    <col min="10" max="10" width="32.42578125" bestFit="1" customWidth="1"/>
    <col min="11" max="11" width="18.85546875" customWidth="1"/>
    <col min="12" max="12" width="30.42578125" bestFit="1" customWidth="1"/>
    <col min="13" max="13" width="25.7109375" customWidth="1"/>
  </cols>
  <sheetData>
    <row r="1" spans="1:13" x14ac:dyDescent="0.25">
      <c r="A1" s="19" t="s">
        <v>0</v>
      </c>
      <c r="B1" s="19" t="s">
        <v>1434</v>
      </c>
      <c r="C1" s="19" t="s">
        <v>1413</v>
      </c>
      <c r="D1" s="19" t="s">
        <v>1527</v>
      </c>
      <c r="E1" s="19" t="s">
        <v>1528</v>
      </c>
      <c r="F1" s="19" t="s">
        <v>1</v>
      </c>
      <c r="G1" s="42" t="s">
        <v>1529</v>
      </c>
      <c r="H1" s="19" t="s">
        <v>2</v>
      </c>
      <c r="I1" s="19" t="s">
        <v>3</v>
      </c>
      <c r="J1" s="17" t="s">
        <v>1416</v>
      </c>
      <c r="K1" s="17" t="s">
        <v>1417</v>
      </c>
      <c r="L1" s="17" t="s">
        <v>1430</v>
      </c>
      <c r="M1" s="32" t="s">
        <v>1531</v>
      </c>
    </row>
    <row r="2" spans="1:13" x14ac:dyDescent="0.25">
      <c r="A2" t="s">
        <v>941</v>
      </c>
      <c r="B2" t="str">
        <f t="shared" ref="B2:B33" si="0">LEFT(A2,FIND("-",A2)-1)</f>
        <v>12</v>
      </c>
      <c r="C2" t="str">
        <f t="shared" ref="C2:C33" si="1">MID(A2,FIND("-",A2)+1,FIND("-",A2,FIND("-",A2)+1)-FIND("-",A2)-1)</f>
        <v>MARZO</v>
      </c>
      <c r="D2" s="20">
        <v>42910</v>
      </c>
      <c r="E2" s="20">
        <v>45728</v>
      </c>
      <c r="F2" t="s">
        <v>69</v>
      </c>
      <c r="G2" s="41">
        <v>67632</v>
      </c>
      <c r="H2" t="s">
        <v>942</v>
      </c>
      <c r="I2" t="s">
        <v>944</v>
      </c>
      <c r="J2" t="str">
        <f>_xlfn.XLOOKUP($I2,RazónMuerte!$A:$A,RazónMuerte!B:B,"",0)</f>
        <v>Otras / No especificada</v>
      </c>
      <c r="K2">
        <f>_xlfn.XLOOKUP($I2,RazónMuerte!$A:$A,RazónMuerte!C:C,"",0)</f>
        <v>0</v>
      </c>
      <c r="L2" t="str">
        <f>_xlfn.XLOOKUP($I2,RazónMuerte!$A:$A,RazónMuerte!D:D,"",0)</f>
        <v>No clasificado</v>
      </c>
      <c r="M2" s="34" t="s">
        <v>1532</v>
      </c>
    </row>
    <row r="3" spans="1:13" x14ac:dyDescent="0.25">
      <c r="A3" t="s">
        <v>1292</v>
      </c>
      <c r="B3" t="str">
        <f t="shared" si="0"/>
        <v>31</v>
      </c>
      <c r="C3" t="str">
        <f t="shared" si="1"/>
        <v>OCTUBRE</v>
      </c>
      <c r="D3" s="20">
        <v>45169</v>
      </c>
      <c r="E3" s="20">
        <v>45961</v>
      </c>
      <c r="F3" t="s">
        <v>11</v>
      </c>
      <c r="G3" s="41">
        <v>19008</v>
      </c>
      <c r="H3" t="s">
        <v>1298</v>
      </c>
      <c r="I3" t="s">
        <v>1299</v>
      </c>
      <c r="J3" t="str">
        <f>_xlfn.XLOOKUP($I3,RazónMuerte!$A:$A,RazónMuerte!B:B,"",0)</f>
        <v>Otras / No especificada</v>
      </c>
      <c r="K3">
        <f>_xlfn.XLOOKUP($I3,RazónMuerte!$A:$A,RazónMuerte!C:C,"",0)</f>
        <v>0</v>
      </c>
      <c r="L3" t="str">
        <f>_xlfn.XLOOKUP($I3,RazónMuerte!$A:$A,RazónMuerte!D:D,"",0)</f>
        <v>No clasificado</v>
      </c>
      <c r="M3" s="34" t="s">
        <v>1532</v>
      </c>
    </row>
    <row r="4" spans="1:13" x14ac:dyDescent="0.25">
      <c r="A4" t="s">
        <v>1168</v>
      </c>
      <c r="B4" t="str">
        <f t="shared" si="0"/>
        <v>13</v>
      </c>
      <c r="C4" t="str">
        <f t="shared" si="1"/>
        <v>AGOSTO</v>
      </c>
      <c r="D4" s="20">
        <v>45227</v>
      </c>
      <c r="E4" s="20">
        <v>45882</v>
      </c>
      <c r="F4" t="s">
        <v>61</v>
      </c>
      <c r="G4" s="41">
        <v>15720</v>
      </c>
      <c r="H4" t="s">
        <v>1171</v>
      </c>
      <c r="I4" t="s">
        <v>1170</v>
      </c>
      <c r="J4" t="str">
        <f>_xlfn.XLOOKUP($I4,RazónMuerte!$A:$A,RazónMuerte!B:B,"",0)</f>
        <v>Fractura ósea</v>
      </c>
      <c r="K4" t="str">
        <f>_xlfn.XLOOKUP($I4,RazónMuerte!$A:$A,RazónMuerte!C:C,"",0)</f>
        <v>Rodilla / Carpal</v>
      </c>
      <c r="L4" t="str">
        <f>_xlfn.XLOOKUP($I4,RazónMuerte!$A:$A,RazónMuerte!D:D,"",0)</f>
        <v>Fatal injury</v>
      </c>
      <c r="M4" s="34" t="s">
        <v>1532</v>
      </c>
    </row>
    <row r="5" spans="1:13" x14ac:dyDescent="0.25">
      <c r="A5" t="s">
        <v>1196</v>
      </c>
      <c r="B5" t="str">
        <f t="shared" si="0"/>
        <v>15</v>
      </c>
      <c r="C5" t="str">
        <f t="shared" si="1"/>
        <v>SEPTIEMBRE</v>
      </c>
      <c r="D5" s="20">
        <v>45326</v>
      </c>
      <c r="E5" s="20">
        <v>45915</v>
      </c>
      <c r="F5" t="s">
        <v>815</v>
      </c>
      <c r="G5" s="41">
        <v>14136</v>
      </c>
      <c r="H5" t="s">
        <v>1210</v>
      </c>
      <c r="I5" t="s">
        <v>1209</v>
      </c>
      <c r="J5" t="str">
        <f>_xlfn.XLOOKUP($I5,RazónMuerte!$A:$A,RazónMuerte!B:B,"",0)</f>
        <v>Otras / No especificada</v>
      </c>
      <c r="K5">
        <f>_xlfn.XLOOKUP($I5,RazónMuerte!$A:$A,RazónMuerte!C:C,"",0)</f>
        <v>0</v>
      </c>
      <c r="L5" t="str">
        <f>_xlfn.XLOOKUP($I5,RazónMuerte!$A:$A,RazónMuerte!D:D,"",0)</f>
        <v>Fatal injury</v>
      </c>
      <c r="M5" s="34" t="s">
        <v>1532</v>
      </c>
    </row>
    <row r="6" spans="1:13" x14ac:dyDescent="0.25">
      <c r="A6" t="s">
        <v>1143</v>
      </c>
      <c r="B6" t="str">
        <f t="shared" si="0"/>
        <v>28</v>
      </c>
      <c r="C6" t="str">
        <f t="shared" si="1"/>
        <v>JULIO</v>
      </c>
      <c r="D6" s="20">
        <v>45345</v>
      </c>
      <c r="E6" s="20">
        <v>45866</v>
      </c>
      <c r="F6" t="s">
        <v>688</v>
      </c>
      <c r="G6" s="41">
        <v>12504</v>
      </c>
      <c r="H6" t="s">
        <v>1144</v>
      </c>
      <c r="I6" t="s">
        <v>981</v>
      </c>
      <c r="J6" t="str">
        <f>_xlfn.XLOOKUP($I6,RazónMuerte!$A:$A,RazónMuerte!B:B,"",0)</f>
        <v>Otras / No especificada</v>
      </c>
      <c r="K6">
        <f>_xlfn.XLOOKUP($I6,RazónMuerte!$A:$A,RazónMuerte!C:C,"",0)</f>
        <v>0</v>
      </c>
      <c r="L6" t="str">
        <f>_xlfn.XLOOKUP($I6,RazónMuerte!$A:$A,RazónMuerte!D:D,"",0)</f>
        <v>No clasificado</v>
      </c>
      <c r="M6" s="34" t="s">
        <v>1532</v>
      </c>
    </row>
    <row r="7" spans="1:13" x14ac:dyDescent="0.25">
      <c r="A7" t="s">
        <v>1115</v>
      </c>
      <c r="B7" t="str">
        <f t="shared" si="0"/>
        <v>15</v>
      </c>
      <c r="C7" t="str">
        <f t="shared" si="1"/>
        <v>JULIO</v>
      </c>
      <c r="D7" s="20">
        <v>45402</v>
      </c>
      <c r="E7" s="20">
        <v>45853</v>
      </c>
      <c r="F7" t="s">
        <v>812</v>
      </c>
      <c r="G7" s="41">
        <v>10824</v>
      </c>
      <c r="H7" t="s">
        <v>1117</v>
      </c>
      <c r="I7" t="s">
        <v>1116</v>
      </c>
      <c r="J7" t="str">
        <f>_xlfn.XLOOKUP($I7,RazónMuerte!$A:$A,RazónMuerte!B:B,"",0)</f>
        <v>Otras / No especificada</v>
      </c>
      <c r="K7">
        <f>_xlfn.XLOOKUP($I7,RazónMuerte!$A:$A,RazónMuerte!C:C,"",0)</f>
        <v>0</v>
      </c>
      <c r="L7" t="str">
        <f>_xlfn.XLOOKUP($I7,RazónMuerte!$A:$A,RazónMuerte!D:D,"",0)</f>
        <v>No clasificado</v>
      </c>
      <c r="M7" s="34" t="s">
        <v>1532</v>
      </c>
    </row>
    <row r="8" spans="1:13" x14ac:dyDescent="0.25">
      <c r="A8" t="s">
        <v>1168</v>
      </c>
      <c r="B8" t="str">
        <f t="shared" si="0"/>
        <v>13</v>
      </c>
      <c r="C8" t="str">
        <f t="shared" si="1"/>
        <v>AGOSTO</v>
      </c>
      <c r="D8" s="20">
        <v>45416</v>
      </c>
      <c r="E8" s="20">
        <v>45882</v>
      </c>
      <c r="F8" t="s">
        <v>61</v>
      </c>
      <c r="G8" s="41">
        <v>11184</v>
      </c>
      <c r="H8" t="s">
        <v>1172</v>
      </c>
      <c r="I8" t="s">
        <v>101</v>
      </c>
      <c r="J8" t="str">
        <f>_xlfn.XLOOKUP($I8,RazónMuerte!$A:$A,RazónMuerte!B:B,"",0)</f>
        <v>Fractura ósea</v>
      </c>
      <c r="K8" t="str">
        <f>_xlfn.XLOOKUP($I8,RazónMuerte!$A:$A,RazónMuerte!C:C,"",0)</f>
        <v>Rodilla / Carpal</v>
      </c>
      <c r="L8" t="str">
        <f>_xlfn.XLOOKUP($I8,RazónMuerte!$A:$A,RazónMuerte!D:D,"",0)</f>
        <v>Fatal injury</v>
      </c>
      <c r="M8" s="34" t="s">
        <v>1532</v>
      </c>
    </row>
    <row r="9" spans="1:13" x14ac:dyDescent="0.25">
      <c r="A9" t="s">
        <v>896</v>
      </c>
      <c r="B9" t="str">
        <f t="shared" si="0"/>
        <v>18</v>
      </c>
      <c r="C9" t="str">
        <f t="shared" si="1"/>
        <v>FEBRERO</v>
      </c>
      <c r="D9" s="20">
        <v>45507</v>
      </c>
      <c r="E9" s="20">
        <v>45706</v>
      </c>
      <c r="F9" t="s">
        <v>55</v>
      </c>
      <c r="G9" s="41">
        <v>4776</v>
      </c>
      <c r="H9" t="s">
        <v>900</v>
      </c>
      <c r="I9" t="s">
        <v>899</v>
      </c>
      <c r="J9" t="str">
        <f>_xlfn.XLOOKUP($I9,RazónMuerte!$A:$A,RazónMuerte!B:B,"",0)</f>
        <v>Otras / No especificada</v>
      </c>
      <c r="K9">
        <f>_xlfn.XLOOKUP($I9,RazónMuerte!$A:$A,RazónMuerte!C:C,"",0)</f>
        <v>0</v>
      </c>
      <c r="L9" t="str">
        <f>_xlfn.XLOOKUP($I9,RazónMuerte!$A:$A,RazónMuerte!D:D,"",0)</f>
        <v>Fatal injury</v>
      </c>
      <c r="M9" s="34" t="s">
        <v>1532</v>
      </c>
    </row>
    <row r="10" spans="1:13" x14ac:dyDescent="0.25">
      <c r="A10" t="s">
        <v>1066</v>
      </c>
      <c r="B10" t="str">
        <f t="shared" si="0"/>
        <v>24</v>
      </c>
      <c r="C10" t="str">
        <f t="shared" si="1"/>
        <v>JUNIO</v>
      </c>
      <c r="D10" s="20">
        <v>45521</v>
      </c>
      <c r="E10" s="20">
        <v>45832</v>
      </c>
      <c r="F10" t="s">
        <v>97</v>
      </c>
      <c r="G10" s="41">
        <v>7464</v>
      </c>
      <c r="H10" t="s">
        <v>1067</v>
      </c>
      <c r="I10" t="s">
        <v>1068</v>
      </c>
      <c r="J10" t="str">
        <f>_xlfn.XLOOKUP($I10,RazónMuerte!$A:$A,RazónMuerte!B:B,"",0)</f>
        <v>Fractura ósea</v>
      </c>
      <c r="K10" t="str">
        <f>_xlfn.XLOOKUP($I10,RazónMuerte!$A:$A,RazónMuerte!C:C,"",0)</f>
        <v>Sesamoideo</v>
      </c>
      <c r="L10" t="str">
        <f>_xlfn.XLOOKUP($I10,RazónMuerte!$A:$A,RazónMuerte!D:D,"",0)</f>
        <v>Fatal injury</v>
      </c>
      <c r="M10" s="34" t="s">
        <v>1532</v>
      </c>
    </row>
    <row r="11" spans="1:13" x14ac:dyDescent="0.25">
      <c r="A11" t="s">
        <v>903</v>
      </c>
      <c r="B11" t="str">
        <f t="shared" si="0"/>
        <v>20</v>
      </c>
      <c r="C11" t="str">
        <f t="shared" si="1"/>
        <v>FEBRERO</v>
      </c>
      <c r="D11" s="20">
        <v>45550</v>
      </c>
      <c r="E11" s="20">
        <v>45708</v>
      </c>
      <c r="F11" t="s">
        <v>904</v>
      </c>
      <c r="G11" s="41">
        <v>3792</v>
      </c>
      <c r="H11" t="s">
        <v>905</v>
      </c>
      <c r="I11" t="s">
        <v>906</v>
      </c>
      <c r="J11" t="str">
        <f>_xlfn.XLOOKUP($I11,RazónMuerte!$A:$A,RazónMuerte!B:B,"",0)</f>
        <v>Enfermedad degenerativa articular</v>
      </c>
      <c r="K11">
        <f>_xlfn.XLOOKUP($I11,RazónMuerte!$A:$A,RazónMuerte!C:C,"",0)</f>
        <v>0</v>
      </c>
      <c r="L11" t="str">
        <f>_xlfn.XLOOKUP($I11,RazónMuerte!$A:$A,RazónMuerte!D:D,"",0)</f>
        <v>Fatal injury</v>
      </c>
      <c r="M11" s="34" t="s">
        <v>1532</v>
      </c>
    </row>
    <row r="12" spans="1:13" x14ac:dyDescent="0.25">
      <c r="A12" t="s">
        <v>929</v>
      </c>
      <c r="B12" t="str">
        <f t="shared" si="0"/>
        <v>6</v>
      </c>
      <c r="C12" t="str">
        <f t="shared" si="1"/>
        <v>MARZO</v>
      </c>
      <c r="D12" s="20">
        <v>45555</v>
      </c>
      <c r="E12" s="20">
        <v>45722</v>
      </c>
      <c r="F12" t="s">
        <v>973</v>
      </c>
      <c r="G12" s="41">
        <v>4008</v>
      </c>
      <c r="H12" t="s">
        <v>930</v>
      </c>
      <c r="I12" t="s">
        <v>931</v>
      </c>
      <c r="J12" t="str">
        <f>_xlfn.XLOOKUP($I12,RazónMuerte!$A:$A,RazónMuerte!B:B,"",0)</f>
        <v>Otras / No especificada</v>
      </c>
      <c r="K12">
        <f>_xlfn.XLOOKUP($I12,RazónMuerte!$A:$A,RazónMuerte!C:C,"",0)</f>
        <v>0</v>
      </c>
      <c r="L12" t="str">
        <f>_xlfn.XLOOKUP($I12,RazónMuerte!$A:$A,RazónMuerte!D:D,"",0)</f>
        <v>No clasificado</v>
      </c>
      <c r="M12" s="34" t="s">
        <v>1532</v>
      </c>
    </row>
    <row r="13" spans="1:13" x14ac:dyDescent="0.25">
      <c r="A13" t="s">
        <v>860</v>
      </c>
      <c r="B13" t="str">
        <f t="shared" si="0"/>
        <v>28</v>
      </c>
      <c r="C13" t="str">
        <f t="shared" si="1"/>
        <v>ENERO</v>
      </c>
      <c r="D13" s="29">
        <v>45577</v>
      </c>
      <c r="E13" s="20">
        <v>45685</v>
      </c>
      <c r="F13" t="s">
        <v>861</v>
      </c>
      <c r="G13" s="41">
        <v>2592</v>
      </c>
      <c r="H13" t="s">
        <v>862</v>
      </c>
      <c r="I13" t="s">
        <v>863</v>
      </c>
      <c r="J13" t="str">
        <f>_xlfn.XLOOKUP($I13,RazónMuerte!$A:$A,RazónMuerte!B:B,"",0)</f>
        <v>Fractura ósea</v>
      </c>
      <c r="K13" t="str">
        <f>_xlfn.XLOOKUP($I13,RazónMuerte!$A:$A,RazónMuerte!C:C,"",0)</f>
        <v>Rodilla / Carpal</v>
      </c>
      <c r="L13" t="str">
        <f>_xlfn.XLOOKUP($I13,RazónMuerte!$A:$A,RazónMuerte!D:D,"",0)</f>
        <v>Fatal injury</v>
      </c>
      <c r="M13" s="34" t="s">
        <v>1532</v>
      </c>
    </row>
    <row r="14" spans="1:13" x14ac:dyDescent="0.25">
      <c r="A14" t="s">
        <v>1309</v>
      </c>
      <c r="B14" t="str">
        <f t="shared" si="0"/>
        <v>5</v>
      </c>
      <c r="C14" t="str">
        <f t="shared" si="1"/>
        <v>NOVIEMBRE</v>
      </c>
      <c r="D14" s="20">
        <v>45618</v>
      </c>
      <c r="E14" s="20">
        <v>45966</v>
      </c>
      <c r="F14" t="s">
        <v>37</v>
      </c>
      <c r="G14" s="41">
        <v>8352</v>
      </c>
      <c r="H14" t="s">
        <v>1308</v>
      </c>
      <c r="I14" t="s">
        <v>1307</v>
      </c>
      <c r="J14" t="str">
        <f>_xlfn.XLOOKUP($I14,RazónMuerte!$A:$A,RazónMuerte!B:B,"",0)</f>
        <v>Enfermedad degenerativa articular</v>
      </c>
      <c r="K14">
        <f>_xlfn.XLOOKUP($I14,RazónMuerte!$A:$A,RazónMuerte!C:C,"",0)</f>
        <v>0</v>
      </c>
      <c r="L14" t="str">
        <f>_xlfn.XLOOKUP($I14,RazónMuerte!$A:$A,RazónMuerte!D:D,"",0)</f>
        <v>Fatal injury</v>
      </c>
      <c r="M14" s="34" t="s">
        <v>1532</v>
      </c>
    </row>
    <row r="15" spans="1:13" s="30" customFormat="1" x14ac:dyDescent="0.25">
      <c r="A15" t="s">
        <v>1017</v>
      </c>
      <c r="B15" t="str">
        <f t="shared" si="0"/>
        <v>23</v>
      </c>
      <c r="C15" t="str">
        <f t="shared" si="1"/>
        <v>MAYO</v>
      </c>
      <c r="D15" s="20">
        <v>45627</v>
      </c>
      <c r="E15" s="20">
        <v>45800</v>
      </c>
      <c r="F15" t="s">
        <v>85</v>
      </c>
      <c r="G15" s="41">
        <v>4152</v>
      </c>
      <c r="H15" t="s">
        <v>1016</v>
      </c>
      <c r="I15" t="s">
        <v>1015</v>
      </c>
      <c r="J15" t="str">
        <f>_xlfn.XLOOKUP($I15,RazónMuerte!$A:$A,RazónMuerte!B:B,"",0)</f>
        <v>Lesión de ligamentos/tendones</v>
      </c>
      <c r="K15">
        <f>_xlfn.XLOOKUP($I15,RazónMuerte!$A:$A,RazónMuerte!C:C,"",0)</f>
        <v>0</v>
      </c>
      <c r="L15" t="str">
        <f>_xlfn.XLOOKUP($I15,RazónMuerte!$A:$A,RazónMuerte!D:D,"",0)</f>
        <v>No clasificado</v>
      </c>
      <c r="M15" s="34" t="s">
        <v>1532</v>
      </c>
    </row>
    <row r="16" spans="1:13" x14ac:dyDescent="0.25">
      <c r="A16" t="s">
        <v>792</v>
      </c>
      <c r="B16" t="str">
        <f t="shared" si="0"/>
        <v>21</v>
      </c>
      <c r="C16" t="str">
        <f t="shared" si="1"/>
        <v>ENERO</v>
      </c>
      <c r="D16" s="27">
        <v>45638</v>
      </c>
      <c r="E16" s="20">
        <v>45678</v>
      </c>
      <c r="F16" t="s">
        <v>16</v>
      </c>
      <c r="G16" s="41">
        <v>960</v>
      </c>
      <c r="H16" t="s">
        <v>793</v>
      </c>
      <c r="I16" t="s">
        <v>171</v>
      </c>
      <c r="J16" t="str">
        <f>_xlfn.XLOOKUP($I16,RazónMuerte!$A:$A,RazónMuerte!B:B,"",0)</f>
        <v>Enfermedad degenerativa articular</v>
      </c>
      <c r="K16">
        <f>_xlfn.XLOOKUP($I16,RazónMuerte!$A:$A,RazónMuerte!C:C,"",0)</f>
        <v>0</v>
      </c>
      <c r="L16" t="str">
        <f>_xlfn.XLOOKUP($I16,RazónMuerte!$A:$A,RazónMuerte!D:D,"",0)</f>
        <v>No fatal injury (chronic/medical)</v>
      </c>
      <c r="M16" s="34" t="s">
        <v>1532</v>
      </c>
    </row>
    <row r="17" spans="1:13" x14ac:dyDescent="0.25">
      <c r="A17" t="s">
        <v>883</v>
      </c>
      <c r="B17" t="str">
        <f t="shared" si="0"/>
        <v>13</v>
      </c>
      <c r="C17" t="str">
        <f t="shared" si="1"/>
        <v>FEBRERO</v>
      </c>
      <c r="D17" s="20">
        <v>45639</v>
      </c>
      <c r="E17" s="20">
        <v>45701</v>
      </c>
      <c r="F17" t="s">
        <v>11</v>
      </c>
      <c r="G17" s="41">
        <v>1488</v>
      </c>
      <c r="H17" t="s">
        <v>884</v>
      </c>
      <c r="I17" t="s">
        <v>885</v>
      </c>
      <c r="J17" t="str">
        <f>_xlfn.XLOOKUP($I17,RazónMuerte!$A:$A,RazónMuerte!B:B,"",0)</f>
        <v>Otras / No especificada</v>
      </c>
      <c r="K17">
        <f>_xlfn.XLOOKUP($I17,RazónMuerte!$A:$A,RazónMuerte!C:C,"",0)</f>
        <v>0</v>
      </c>
      <c r="L17" t="str">
        <f>_xlfn.XLOOKUP($I17,RazónMuerte!$A:$A,RazónMuerte!D:D,"",0)</f>
        <v>No clasificado</v>
      </c>
      <c r="M17" s="34" t="s">
        <v>1532</v>
      </c>
    </row>
    <row r="18" spans="1:13" x14ac:dyDescent="0.25">
      <c r="A18" t="s">
        <v>1012</v>
      </c>
      <c r="B18" t="str">
        <f t="shared" si="0"/>
        <v>19</v>
      </c>
      <c r="C18" t="str">
        <f t="shared" si="1"/>
        <v>MAYO</v>
      </c>
      <c r="D18" s="20">
        <v>45645</v>
      </c>
      <c r="E18" s="20">
        <v>45796</v>
      </c>
      <c r="F18" t="s">
        <v>645</v>
      </c>
      <c r="G18" s="41">
        <v>3624</v>
      </c>
      <c r="H18" t="s">
        <v>1013</v>
      </c>
      <c r="I18" t="s">
        <v>1014</v>
      </c>
      <c r="J18" t="str">
        <f>_xlfn.XLOOKUP($I18,RazónMuerte!$A:$A,RazónMuerte!B:B,"",0)</f>
        <v>Otras / No especificada</v>
      </c>
      <c r="K18">
        <f>_xlfn.XLOOKUP($I18,RazónMuerte!$A:$A,RazónMuerte!C:C,"",0)</f>
        <v>0</v>
      </c>
      <c r="L18" t="str">
        <f>_xlfn.XLOOKUP($I18,RazónMuerte!$A:$A,RazónMuerte!D:D,"",0)</f>
        <v>No clasificado</v>
      </c>
      <c r="M18" s="34" t="s">
        <v>1532</v>
      </c>
    </row>
    <row r="19" spans="1:13" x14ac:dyDescent="0.25">
      <c r="A19" t="s">
        <v>785</v>
      </c>
      <c r="B19" t="str">
        <f t="shared" si="0"/>
        <v>9</v>
      </c>
      <c r="C19" t="str">
        <f t="shared" si="1"/>
        <v>ENERO</v>
      </c>
      <c r="D19" s="27">
        <v>45653</v>
      </c>
      <c r="E19" s="20">
        <v>45666</v>
      </c>
      <c r="F19" t="s">
        <v>787</v>
      </c>
      <c r="G19" s="41">
        <v>312</v>
      </c>
      <c r="H19" t="s">
        <v>786</v>
      </c>
      <c r="I19" t="s">
        <v>84</v>
      </c>
      <c r="J19" t="str">
        <f>_xlfn.XLOOKUP($I19,RazónMuerte!$A:$A,RazónMuerte!B:B,"",0)</f>
        <v>Fractura ósea</v>
      </c>
      <c r="K19" t="str">
        <f>_xlfn.XLOOKUP($I19,RazónMuerte!$A:$A,RazónMuerte!C:C,"",0)</f>
        <v>Rodilla / Carpal</v>
      </c>
      <c r="L19" t="str">
        <f>_xlfn.XLOOKUP($I19,RazónMuerte!$A:$A,RazónMuerte!D:D,"",0)</f>
        <v>Fatal injury</v>
      </c>
      <c r="M19" s="34" t="s">
        <v>1532</v>
      </c>
    </row>
    <row r="20" spans="1:13" s="30" customFormat="1" x14ac:dyDescent="0.25">
      <c r="A20" t="s">
        <v>934</v>
      </c>
      <c r="B20" t="str">
        <f t="shared" si="0"/>
        <v>10</v>
      </c>
      <c r="C20" t="str">
        <f t="shared" si="1"/>
        <v>MARZO</v>
      </c>
      <c r="D20" s="20">
        <v>45658</v>
      </c>
      <c r="E20" s="20">
        <v>45726</v>
      </c>
      <c r="F20" t="s">
        <v>294</v>
      </c>
      <c r="G20" s="41">
        <v>1632</v>
      </c>
      <c r="H20" t="s">
        <v>935</v>
      </c>
      <c r="I20" t="s">
        <v>936</v>
      </c>
      <c r="J20" t="str">
        <f>_xlfn.XLOOKUP($I20,RazónMuerte!$A:$A,RazónMuerte!B:B,"",0)</f>
        <v>Enfermedad degenerativa articular</v>
      </c>
      <c r="K20">
        <f>_xlfn.XLOOKUP($I20,RazónMuerte!$A:$A,RazónMuerte!C:C,"",0)</f>
        <v>0</v>
      </c>
      <c r="L20" t="str">
        <f>_xlfn.XLOOKUP($I20,RazónMuerte!$A:$A,RazónMuerte!D:D,"",0)</f>
        <v>No fatal injury (chronic/medical)</v>
      </c>
      <c r="M20" s="34" t="s">
        <v>1532</v>
      </c>
    </row>
    <row r="21" spans="1:13" x14ac:dyDescent="0.25">
      <c r="A21" t="s">
        <v>909</v>
      </c>
      <c r="B21" t="str">
        <f t="shared" si="0"/>
        <v>21</v>
      </c>
      <c r="C21" t="str">
        <f t="shared" si="1"/>
        <v>FEBRERO</v>
      </c>
      <c r="D21" s="20">
        <v>45662</v>
      </c>
      <c r="E21" s="20">
        <v>45709</v>
      </c>
      <c r="F21" t="s">
        <v>812</v>
      </c>
      <c r="G21" s="41">
        <v>1128</v>
      </c>
      <c r="H21" t="s">
        <v>908</v>
      </c>
      <c r="I21" t="s">
        <v>907</v>
      </c>
      <c r="J21" t="str">
        <f>_xlfn.XLOOKUP($I21,RazónMuerte!$A:$A,RazónMuerte!B:B,"",0)</f>
        <v>Fractura ósea</v>
      </c>
      <c r="K21" t="str">
        <f>_xlfn.XLOOKUP($I21,RazónMuerte!$A:$A,RazónMuerte!C:C,"",0)</f>
        <v>Slab</v>
      </c>
      <c r="L21" t="str">
        <f>_xlfn.XLOOKUP($I21,RazónMuerte!$A:$A,RazónMuerte!D:D,"",0)</f>
        <v>Fatal injury</v>
      </c>
      <c r="M21" s="34" t="s">
        <v>1532</v>
      </c>
    </row>
    <row r="22" spans="1:13" x14ac:dyDescent="0.25">
      <c r="A22" t="s">
        <v>984</v>
      </c>
      <c r="B22" t="str">
        <f t="shared" si="0"/>
        <v>30</v>
      </c>
      <c r="C22" t="str">
        <f t="shared" si="1"/>
        <v>ABRIL</v>
      </c>
      <c r="D22" s="20">
        <v>45667</v>
      </c>
      <c r="E22" s="20">
        <v>45777</v>
      </c>
      <c r="F22" t="s">
        <v>67</v>
      </c>
      <c r="G22" s="41">
        <v>2640</v>
      </c>
      <c r="H22" t="s">
        <v>985</v>
      </c>
      <c r="I22" t="s">
        <v>986</v>
      </c>
      <c r="J22" t="str">
        <f>_xlfn.XLOOKUP($I22,RazónMuerte!$A:$A,RazónMuerte!B:B,"",0)</f>
        <v>Otras / No especificada</v>
      </c>
      <c r="K22">
        <f>_xlfn.XLOOKUP($I22,RazónMuerte!$A:$A,RazónMuerte!C:C,"",0)</f>
        <v>0</v>
      </c>
      <c r="L22" t="str">
        <f>_xlfn.XLOOKUP($I22,RazónMuerte!$A:$A,RazónMuerte!D:D,"",0)</f>
        <v>No clasificado</v>
      </c>
      <c r="M22" s="34" t="s">
        <v>1532</v>
      </c>
    </row>
    <row r="23" spans="1:13" x14ac:dyDescent="0.25">
      <c r="A23" t="s">
        <v>788</v>
      </c>
      <c r="B23" t="str">
        <f t="shared" si="0"/>
        <v>14</v>
      </c>
      <c r="C23" t="str">
        <f t="shared" si="1"/>
        <v>ENERO</v>
      </c>
      <c r="D23" s="27">
        <v>45668</v>
      </c>
      <c r="E23" s="20">
        <v>45671</v>
      </c>
      <c r="F23" t="s">
        <v>789</v>
      </c>
      <c r="G23" s="41">
        <v>72</v>
      </c>
      <c r="H23" t="s">
        <v>790</v>
      </c>
      <c r="I23" t="s">
        <v>791</v>
      </c>
      <c r="J23" t="str">
        <f>_xlfn.XLOOKUP($I23,RazónMuerte!$A:$A,RazónMuerte!B:B,"",0)</f>
        <v>Fractura ósea</v>
      </c>
      <c r="K23" t="str">
        <f>_xlfn.XLOOKUP($I23,RazónMuerte!$A:$A,RazónMuerte!C:C,"",0)</f>
        <v>Condylar</v>
      </c>
      <c r="L23" t="str">
        <f>_xlfn.XLOOKUP($I23,RazónMuerte!$A:$A,RazónMuerte!D:D,"",0)</f>
        <v>Fatal injury</v>
      </c>
      <c r="M23" s="34" t="s">
        <v>1532</v>
      </c>
    </row>
    <row r="24" spans="1:13" x14ac:dyDescent="0.25">
      <c r="A24" t="s">
        <v>873</v>
      </c>
      <c r="B24" t="str">
        <f t="shared" si="0"/>
        <v>10</v>
      </c>
      <c r="C24" t="str">
        <f t="shared" si="1"/>
        <v>FEBRERO</v>
      </c>
      <c r="D24" s="20">
        <v>45668</v>
      </c>
      <c r="E24" s="20">
        <v>45698</v>
      </c>
      <c r="F24" t="s">
        <v>589</v>
      </c>
      <c r="G24" s="41">
        <v>720</v>
      </c>
      <c r="H24" t="s">
        <v>874</v>
      </c>
      <c r="I24" t="s">
        <v>657</v>
      </c>
      <c r="J24" t="str">
        <f>_xlfn.XLOOKUP($I24,RazónMuerte!$A:$A,RazónMuerte!B:B,"",0)</f>
        <v>Enfermedad degenerativa articular</v>
      </c>
      <c r="K24">
        <f>_xlfn.XLOOKUP($I24,RazónMuerte!$A:$A,RazónMuerte!C:C,"",0)</f>
        <v>0</v>
      </c>
      <c r="L24" t="str">
        <f>_xlfn.XLOOKUP($I24,RazónMuerte!$A:$A,RazónMuerte!D:D,"",0)</f>
        <v>No fatal injury (chronic/medical)</v>
      </c>
      <c r="M24" s="34" t="s">
        <v>1532</v>
      </c>
    </row>
    <row r="25" spans="1:13" x14ac:dyDescent="0.25">
      <c r="A25" t="s">
        <v>984</v>
      </c>
      <c r="B25" t="str">
        <f t="shared" si="0"/>
        <v>30</v>
      </c>
      <c r="C25" t="str">
        <f t="shared" si="1"/>
        <v>ABRIL</v>
      </c>
      <c r="D25" s="20">
        <v>45668</v>
      </c>
      <c r="E25" s="20">
        <v>45777</v>
      </c>
      <c r="F25" t="s">
        <v>987</v>
      </c>
      <c r="G25" s="41">
        <v>2616</v>
      </c>
      <c r="H25" t="s">
        <v>988</v>
      </c>
      <c r="I25" t="s">
        <v>989</v>
      </c>
      <c r="J25" t="str">
        <f>_xlfn.XLOOKUP($I25,RazónMuerte!$A:$A,RazónMuerte!B:B,"",0)</f>
        <v>Otras / No especificada</v>
      </c>
      <c r="K25">
        <f>_xlfn.XLOOKUP($I25,RazónMuerte!$A:$A,RazónMuerte!C:C,"",0)</f>
        <v>0</v>
      </c>
      <c r="L25" t="str">
        <f>_xlfn.XLOOKUP($I25,RazónMuerte!$A:$A,RazónMuerte!D:D,"",0)</f>
        <v>No clasificado</v>
      </c>
      <c r="M25" s="34" t="s">
        <v>1532</v>
      </c>
    </row>
    <row r="26" spans="1:13" x14ac:dyDescent="0.25">
      <c r="A26" t="s">
        <v>910</v>
      </c>
      <c r="B26" t="str">
        <f t="shared" si="0"/>
        <v>25</v>
      </c>
      <c r="C26" t="str">
        <f t="shared" si="1"/>
        <v>FEBRERO</v>
      </c>
      <c r="D26" s="20">
        <v>45669</v>
      </c>
      <c r="E26" s="20">
        <v>45713</v>
      </c>
      <c r="F26" t="s">
        <v>74</v>
      </c>
      <c r="G26" s="41">
        <v>1056</v>
      </c>
      <c r="H26" t="s">
        <v>911</v>
      </c>
      <c r="I26" t="s">
        <v>912</v>
      </c>
      <c r="J26" t="str">
        <f>_xlfn.XLOOKUP($I26,RazónMuerte!$A:$A,RazónMuerte!B:B,"",0)</f>
        <v>Fractura ósea</v>
      </c>
      <c r="K26" t="str">
        <f>_xlfn.XLOOKUP($I26,RazónMuerte!$A:$A,RazónMuerte!C:C,"",0)</f>
        <v>No especificado</v>
      </c>
      <c r="L26" t="str">
        <f>_xlfn.XLOOKUP($I26,RazónMuerte!$A:$A,RazónMuerte!D:D,"",0)</f>
        <v>Fatal injury</v>
      </c>
      <c r="M26" s="34" t="s">
        <v>1532</v>
      </c>
    </row>
    <row r="27" spans="1:13" s="30" customFormat="1" x14ac:dyDescent="0.25">
      <c r="A27" t="s">
        <v>850</v>
      </c>
      <c r="B27" t="str">
        <f t="shared" si="0"/>
        <v>24</v>
      </c>
      <c r="C27" t="str">
        <f t="shared" si="1"/>
        <v>ENERO</v>
      </c>
      <c r="D27" s="27">
        <v>45673</v>
      </c>
      <c r="E27" s="20">
        <v>45681</v>
      </c>
      <c r="F27" t="s">
        <v>5</v>
      </c>
      <c r="G27" s="41">
        <v>192</v>
      </c>
      <c r="H27" t="s">
        <v>851</v>
      </c>
      <c r="I27" t="s">
        <v>852</v>
      </c>
      <c r="J27" t="str">
        <f>_xlfn.XLOOKUP($I27,RazónMuerte!$A:$A,RazónMuerte!B:B,"",0)</f>
        <v>Fractura ósea</v>
      </c>
      <c r="K27" t="str">
        <f>_xlfn.XLOOKUP($I27,RazónMuerte!$A:$A,RazónMuerte!C:C,"",0)</f>
        <v>No especificado</v>
      </c>
      <c r="L27" t="str">
        <f>_xlfn.XLOOKUP($I27,RazónMuerte!$A:$A,RazónMuerte!D:D,"",0)</f>
        <v>Fatal injury</v>
      </c>
      <c r="M27" s="34" t="s">
        <v>1532</v>
      </c>
    </row>
    <row r="28" spans="1:13" s="30" customFormat="1" x14ac:dyDescent="0.25">
      <c r="A28" t="s">
        <v>875</v>
      </c>
      <c r="B28" t="str">
        <f t="shared" si="0"/>
        <v>11</v>
      </c>
      <c r="C28" t="str">
        <f t="shared" si="1"/>
        <v>FEBRERO</v>
      </c>
      <c r="D28" s="20">
        <v>45673</v>
      </c>
      <c r="E28" s="20">
        <v>45699</v>
      </c>
      <c r="F28" t="s">
        <v>876</v>
      </c>
      <c r="G28" s="41">
        <v>624</v>
      </c>
      <c r="H28" t="s">
        <v>877</v>
      </c>
      <c r="I28" t="s">
        <v>878</v>
      </c>
      <c r="J28" t="str">
        <f>_xlfn.XLOOKUP($I28,RazónMuerte!$A:$A,RazónMuerte!B:B,"",0)</f>
        <v>Otras / No especificada</v>
      </c>
      <c r="K28">
        <f>_xlfn.XLOOKUP($I28,RazónMuerte!$A:$A,RazónMuerte!C:C,"",0)</f>
        <v>0</v>
      </c>
      <c r="L28" t="str">
        <f>_xlfn.XLOOKUP($I28,RazónMuerte!$A:$A,RazónMuerte!D:D,"",0)</f>
        <v>No clasificado</v>
      </c>
      <c r="M28" s="34" t="s">
        <v>1532</v>
      </c>
    </row>
    <row r="29" spans="1:13" x14ac:dyDescent="0.25">
      <c r="A29" t="s">
        <v>864</v>
      </c>
      <c r="B29" t="str">
        <f t="shared" si="0"/>
        <v>31</v>
      </c>
      <c r="C29" t="str">
        <f t="shared" si="1"/>
        <v>ENERO</v>
      </c>
      <c r="D29" s="20">
        <v>45674</v>
      </c>
      <c r="E29" s="20">
        <v>45688</v>
      </c>
      <c r="F29" t="s">
        <v>17</v>
      </c>
      <c r="G29" s="41">
        <v>336</v>
      </c>
      <c r="H29" t="s">
        <v>865</v>
      </c>
      <c r="I29" t="s">
        <v>866</v>
      </c>
      <c r="J29" t="str">
        <f>_xlfn.XLOOKUP($I29,RazónMuerte!$A:$A,RazónMuerte!B:B,"",0)</f>
        <v>Fractura ósea</v>
      </c>
      <c r="K29" t="str">
        <f>_xlfn.XLOOKUP($I29,RazónMuerte!$A:$A,RazónMuerte!C:C,"",0)</f>
        <v>Sesamoideo</v>
      </c>
      <c r="L29" t="str">
        <f>_xlfn.XLOOKUP($I29,RazónMuerte!$A:$A,RazónMuerte!D:D,"",0)</f>
        <v>Fatal injury</v>
      </c>
      <c r="M29" s="34" t="s">
        <v>1532</v>
      </c>
    </row>
    <row r="30" spans="1:13" x14ac:dyDescent="0.25">
      <c r="A30" t="s">
        <v>896</v>
      </c>
      <c r="B30" t="str">
        <f t="shared" si="0"/>
        <v>18</v>
      </c>
      <c r="C30" t="str">
        <f t="shared" si="1"/>
        <v>FEBRERO</v>
      </c>
      <c r="D30" s="20">
        <v>45674</v>
      </c>
      <c r="E30" s="20">
        <v>45706</v>
      </c>
      <c r="F30" t="s">
        <v>107</v>
      </c>
      <c r="G30" s="41">
        <v>768</v>
      </c>
      <c r="H30" t="s">
        <v>901</v>
      </c>
      <c r="I30" t="s">
        <v>902</v>
      </c>
      <c r="J30" t="str">
        <f>_xlfn.XLOOKUP($I30,RazónMuerte!$A:$A,RazónMuerte!B:B,"",0)</f>
        <v>Fractura ósea</v>
      </c>
      <c r="K30" t="str">
        <f>_xlfn.XLOOKUP($I30,RazónMuerte!$A:$A,RazónMuerte!C:C,"",0)</f>
        <v>Rodilla / Carpal</v>
      </c>
      <c r="L30" t="str">
        <f>_xlfn.XLOOKUP($I30,RazónMuerte!$A:$A,RazónMuerte!D:D,"",0)</f>
        <v>Fatal injury</v>
      </c>
      <c r="M30" s="34" t="s">
        <v>1532</v>
      </c>
    </row>
    <row r="31" spans="1:13" x14ac:dyDescent="0.25">
      <c r="A31" t="s">
        <v>875</v>
      </c>
      <c r="B31" t="str">
        <f t="shared" si="0"/>
        <v>11</v>
      </c>
      <c r="C31" t="str">
        <f t="shared" si="1"/>
        <v>FEBRERO</v>
      </c>
      <c r="D31" s="20">
        <v>45677</v>
      </c>
      <c r="E31" s="20">
        <v>45699</v>
      </c>
      <c r="F31" t="s">
        <v>349</v>
      </c>
      <c r="G31" s="41">
        <v>528</v>
      </c>
      <c r="H31" t="s">
        <v>881</v>
      </c>
      <c r="I31" t="s">
        <v>882</v>
      </c>
      <c r="J31" t="str">
        <f>_xlfn.XLOOKUP($I31,RazónMuerte!$A:$A,RazónMuerte!B:B,"",0)</f>
        <v>Fractura ósea</v>
      </c>
      <c r="K31" t="str">
        <f>_xlfn.XLOOKUP($I31,RazónMuerte!$A:$A,RazónMuerte!C:C,"",0)</f>
        <v>No especificado</v>
      </c>
      <c r="L31" t="str">
        <f>_xlfn.XLOOKUP($I31,RazónMuerte!$A:$A,RazónMuerte!D:D,"",0)</f>
        <v>Fatal injury</v>
      </c>
      <c r="M31" s="34" t="s">
        <v>1532</v>
      </c>
    </row>
    <row r="32" spans="1:13" x14ac:dyDescent="0.25">
      <c r="A32" t="s">
        <v>867</v>
      </c>
      <c r="B32" t="str">
        <f t="shared" si="0"/>
        <v>4</v>
      </c>
      <c r="C32" t="str">
        <f t="shared" si="1"/>
        <v>FEBRERO</v>
      </c>
      <c r="D32" s="27">
        <v>45682</v>
      </c>
      <c r="E32" s="20">
        <v>45692</v>
      </c>
      <c r="F32" t="s">
        <v>868</v>
      </c>
      <c r="G32" s="41">
        <v>240</v>
      </c>
      <c r="H32" t="s">
        <v>869</v>
      </c>
      <c r="I32" t="s">
        <v>870</v>
      </c>
      <c r="J32" t="str">
        <f>_xlfn.XLOOKUP($I32,RazónMuerte!$A:$A,RazónMuerte!B:B,"",0)</f>
        <v>Fractura ósea</v>
      </c>
      <c r="K32" t="str">
        <f>_xlfn.XLOOKUP($I32,RazónMuerte!$A:$A,RazónMuerte!C:C,"",0)</f>
        <v>No especificado</v>
      </c>
      <c r="L32" t="str">
        <f>_xlfn.XLOOKUP($I32,RazónMuerte!$A:$A,RazónMuerte!D:D,"",0)</f>
        <v>Fatal injury</v>
      </c>
      <c r="M32" s="34" t="s">
        <v>1532</v>
      </c>
    </row>
    <row r="33" spans="1:13" s="30" customFormat="1" x14ac:dyDescent="0.25">
      <c r="A33" t="s">
        <v>853</v>
      </c>
      <c r="B33" t="str">
        <f t="shared" si="0"/>
        <v>26</v>
      </c>
      <c r="C33" t="str">
        <f t="shared" si="1"/>
        <v>ENERO</v>
      </c>
      <c r="D33" s="20">
        <v>45683</v>
      </c>
      <c r="E33" s="20">
        <v>45683</v>
      </c>
      <c r="F33" t="s">
        <v>854</v>
      </c>
      <c r="G33" s="41">
        <v>0</v>
      </c>
      <c r="H33" t="s">
        <v>855</v>
      </c>
      <c r="I33" t="s">
        <v>856</v>
      </c>
      <c r="J33" t="str">
        <f>_xlfn.XLOOKUP($I33,RazónMuerte!$A:$A,RazónMuerte!B:B,"",0)</f>
        <v>Otras / No especificada</v>
      </c>
      <c r="K33">
        <f>_xlfn.XLOOKUP($I33,RazónMuerte!$A:$A,RazónMuerte!C:C,"",0)</f>
        <v>0</v>
      </c>
      <c r="L33" t="str">
        <f>_xlfn.XLOOKUP($I33,RazónMuerte!$A:$A,RazónMuerte!D:D,"",0)</f>
        <v>Fatal injury</v>
      </c>
      <c r="M33" s="34" t="s">
        <v>1532</v>
      </c>
    </row>
    <row r="34" spans="1:13" x14ac:dyDescent="0.25">
      <c r="A34" t="s">
        <v>857</v>
      </c>
      <c r="B34" t="str">
        <f t="shared" ref="B34:B65" si="2">LEFT(A34,FIND("-",A34)-1)</f>
        <v>27</v>
      </c>
      <c r="C34" t="str">
        <f t="shared" ref="C34:C65" si="3">MID(A34,FIND("-",A34)+1,FIND("-",A34,FIND("-",A34)+1)-FIND("-",A34)-1)</f>
        <v>ENERO</v>
      </c>
      <c r="D34" s="20">
        <v>45683</v>
      </c>
      <c r="E34" s="20">
        <v>45684</v>
      </c>
      <c r="F34" t="s">
        <v>92</v>
      </c>
      <c r="G34" s="41">
        <v>24</v>
      </c>
      <c r="H34" t="s">
        <v>858</v>
      </c>
      <c r="I34" t="s">
        <v>859</v>
      </c>
      <c r="J34" t="str">
        <f>_xlfn.XLOOKUP($I34,RazónMuerte!$A:$A,RazónMuerte!B:B,"",0)</f>
        <v>Fractura ósea</v>
      </c>
      <c r="K34" t="str">
        <f>_xlfn.XLOOKUP($I34,RazónMuerte!$A:$A,RazónMuerte!C:C,"",0)</f>
        <v>Rodilla / Carpal</v>
      </c>
      <c r="L34" t="str">
        <f>_xlfn.XLOOKUP($I34,RazónMuerte!$A:$A,RazónMuerte!D:D,"",0)</f>
        <v>Fatal injury</v>
      </c>
      <c r="M34" s="34" t="s">
        <v>1532</v>
      </c>
    </row>
    <row r="35" spans="1:13" x14ac:dyDescent="0.25">
      <c r="A35" t="s">
        <v>867</v>
      </c>
      <c r="B35" t="str">
        <f t="shared" si="2"/>
        <v>4</v>
      </c>
      <c r="C35" t="str">
        <f t="shared" si="3"/>
        <v>FEBRERO</v>
      </c>
      <c r="D35" s="20">
        <v>45689</v>
      </c>
      <c r="E35" s="20">
        <v>45692</v>
      </c>
      <c r="F35" t="s">
        <v>871</v>
      </c>
      <c r="G35" s="41">
        <v>72</v>
      </c>
      <c r="H35" t="s">
        <v>872</v>
      </c>
      <c r="I35" t="s">
        <v>101</v>
      </c>
      <c r="J35" t="str">
        <f>_xlfn.XLOOKUP($I35,RazónMuerte!$A:$A,RazónMuerte!B:B,"",0)</f>
        <v>Fractura ósea</v>
      </c>
      <c r="K35" t="str">
        <f>_xlfn.XLOOKUP($I35,RazónMuerte!$A:$A,RazónMuerte!C:C,"",0)</f>
        <v>Rodilla / Carpal</v>
      </c>
      <c r="L35" t="str">
        <f>_xlfn.XLOOKUP($I35,RazónMuerte!$A:$A,RazónMuerte!D:D,"",0)</f>
        <v>Fatal injury</v>
      </c>
      <c r="M35" s="34" t="s">
        <v>1532</v>
      </c>
    </row>
    <row r="36" spans="1:13" x14ac:dyDescent="0.25">
      <c r="A36" t="s">
        <v>1001</v>
      </c>
      <c r="B36" t="str">
        <f t="shared" si="2"/>
        <v>13</v>
      </c>
      <c r="C36" t="str">
        <f t="shared" si="3"/>
        <v>MAYO</v>
      </c>
      <c r="D36" s="20">
        <v>45690</v>
      </c>
      <c r="E36" s="20">
        <v>45790</v>
      </c>
      <c r="F36" t="s">
        <v>21</v>
      </c>
      <c r="G36" s="41">
        <v>2400</v>
      </c>
      <c r="H36" t="s">
        <v>1000</v>
      </c>
      <c r="I36" t="s">
        <v>999</v>
      </c>
      <c r="J36" t="str">
        <f>_xlfn.XLOOKUP($I36,RazónMuerte!$A:$A,RazónMuerte!B:B,"",0)</f>
        <v>Otras / No especificada</v>
      </c>
      <c r="K36">
        <f>_xlfn.XLOOKUP($I36,RazónMuerte!$A:$A,RazónMuerte!C:C,"",0)</f>
        <v>0</v>
      </c>
      <c r="L36" t="str">
        <f>_xlfn.XLOOKUP($I36,RazónMuerte!$A:$A,RazónMuerte!D:D,"",0)</f>
        <v>Fatal injury</v>
      </c>
      <c r="M36" s="34" t="s">
        <v>1532</v>
      </c>
    </row>
    <row r="37" spans="1:13" x14ac:dyDescent="0.25">
      <c r="A37" t="s">
        <v>890</v>
      </c>
      <c r="B37" t="str">
        <f t="shared" si="2"/>
        <v>17</v>
      </c>
      <c r="C37" t="str">
        <f t="shared" si="3"/>
        <v>FEBRERO</v>
      </c>
      <c r="D37" s="20">
        <v>45701</v>
      </c>
      <c r="E37" s="20">
        <v>45705</v>
      </c>
      <c r="F37" t="s">
        <v>31</v>
      </c>
      <c r="G37" s="41">
        <v>96</v>
      </c>
      <c r="H37" t="s">
        <v>891</v>
      </c>
      <c r="I37" t="s">
        <v>893</v>
      </c>
      <c r="J37" t="str">
        <f>_xlfn.XLOOKUP($I37,RazónMuerte!$A:$A,RazónMuerte!B:B,"",0)</f>
        <v>Fractura ósea</v>
      </c>
      <c r="K37" t="str">
        <f>_xlfn.XLOOKUP($I37,RazónMuerte!$A:$A,RazónMuerte!C:C,"",0)</f>
        <v>No especificado</v>
      </c>
      <c r="L37" t="str">
        <f>_xlfn.XLOOKUP($I37,RazónMuerte!$A:$A,RazónMuerte!D:D,"",0)</f>
        <v>Fatal injury</v>
      </c>
      <c r="M37" s="34" t="s">
        <v>1532</v>
      </c>
    </row>
    <row r="38" spans="1:13" x14ac:dyDescent="0.25">
      <c r="A38" t="s">
        <v>975</v>
      </c>
      <c r="B38" t="str">
        <f t="shared" si="2"/>
        <v>14</v>
      </c>
      <c r="C38" t="str">
        <f t="shared" si="3"/>
        <v>MARZO</v>
      </c>
      <c r="D38" s="20">
        <v>45701</v>
      </c>
      <c r="E38" s="20">
        <v>45730</v>
      </c>
      <c r="F38" t="s">
        <v>31</v>
      </c>
      <c r="G38" s="41">
        <v>696</v>
      </c>
      <c r="H38" t="s">
        <v>976</v>
      </c>
      <c r="I38" t="s">
        <v>977</v>
      </c>
      <c r="J38" t="str">
        <f>_xlfn.XLOOKUP($I38,RazónMuerte!$A:$A,RazónMuerte!B:B,"",0)</f>
        <v>Otras / No especificada</v>
      </c>
      <c r="K38">
        <f>_xlfn.XLOOKUP($I38,RazónMuerte!$A:$A,RazónMuerte!C:C,"",0)</f>
        <v>0</v>
      </c>
      <c r="L38" t="str">
        <f>_xlfn.XLOOKUP($I38,RazónMuerte!$A:$A,RazónMuerte!D:D,"",0)</f>
        <v>No clasificado</v>
      </c>
      <c r="M38" s="34" t="s">
        <v>1532</v>
      </c>
    </row>
    <row r="39" spans="1:13" x14ac:dyDescent="0.25">
      <c r="A39" t="s">
        <v>886</v>
      </c>
      <c r="B39" t="str">
        <f t="shared" si="2"/>
        <v>15</v>
      </c>
      <c r="C39" t="str">
        <f t="shared" si="3"/>
        <v>FEBRERO</v>
      </c>
      <c r="D39" s="20">
        <v>45702</v>
      </c>
      <c r="E39" s="20">
        <v>45703</v>
      </c>
      <c r="F39" t="s">
        <v>887</v>
      </c>
      <c r="G39" s="41">
        <v>24</v>
      </c>
      <c r="H39" t="s">
        <v>888</v>
      </c>
      <c r="I39" t="s">
        <v>889</v>
      </c>
      <c r="J39" t="str">
        <f>_xlfn.XLOOKUP($I39,RazónMuerte!$A:$A,RazónMuerte!B:B,"",0)</f>
        <v>Otras / No especificada</v>
      </c>
      <c r="K39">
        <f>_xlfn.XLOOKUP($I39,RazónMuerte!$A:$A,RazónMuerte!C:C,"",0)</f>
        <v>0</v>
      </c>
      <c r="L39" t="str">
        <f>_xlfn.XLOOKUP($I39,RazónMuerte!$A:$A,RazónMuerte!D:D,"",0)</f>
        <v>No clasificado</v>
      </c>
      <c r="M39" s="34" t="s">
        <v>1532</v>
      </c>
    </row>
    <row r="40" spans="1:13" x14ac:dyDescent="0.25">
      <c r="A40" t="s">
        <v>890</v>
      </c>
      <c r="B40" t="str">
        <f t="shared" si="2"/>
        <v>17</v>
      </c>
      <c r="C40" t="str">
        <f t="shared" si="3"/>
        <v>FEBRERO</v>
      </c>
      <c r="D40" s="20">
        <v>45702</v>
      </c>
      <c r="E40" s="20">
        <v>45705</v>
      </c>
      <c r="F40" t="s">
        <v>895</v>
      </c>
      <c r="G40" s="41">
        <v>72</v>
      </c>
      <c r="H40" t="s">
        <v>894</v>
      </c>
      <c r="I40" t="s">
        <v>892</v>
      </c>
      <c r="J40" t="str">
        <f>_xlfn.XLOOKUP($I40,RazónMuerte!$A:$A,RazónMuerte!B:B,"",0)</f>
        <v>Fractura ósea</v>
      </c>
      <c r="K40" t="str">
        <f>_xlfn.XLOOKUP($I40,RazónMuerte!$A:$A,RazónMuerte!C:C,"",0)</f>
        <v>No especificado</v>
      </c>
      <c r="L40" t="str">
        <f>_xlfn.XLOOKUP($I40,RazónMuerte!$A:$A,RazónMuerte!D:D,"",0)</f>
        <v>Fatal injury</v>
      </c>
      <c r="M40" s="34" t="s">
        <v>1532</v>
      </c>
    </row>
    <row r="41" spans="1:13" x14ac:dyDescent="0.25">
      <c r="A41" t="s">
        <v>934</v>
      </c>
      <c r="B41" t="str">
        <f t="shared" si="2"/>
        <v>10</v>
      </c>
      <c r="C41" t="str">
        <f t="shared" si="3"/>
        <v>MARZO</v>
      </c>
      <c r="D41" s="20">
        <v>45702</v>
      </c>
      <c r="E41" s="20">
        <v>45726</v>
      </c>
      <c r="F41" t="s">
        <v>974</v>
      </c>
      <c r="G41" s="41">
        <v>576</v>
      </c>
      <c r="H41" t="s">
        <v>938</v>
      </c>
      <c r="I41" t="s">
        <v>937</v>
      </c>
      <c r="J41" t="str">
        <f>_xlfn.XLOOKUP($I41,RazónMuerte!$A:$A,RazónMuerte!B:B,"",0)</f>
        <v>Fractura ósea</v>
      </c>
      <c r="K41" t="str">
        <f>_xlfn.XLOOKUP($I41,RazónMuerte!$A:$A,RazónMuerte!C:C,"",0)</f>
        <v>Slab</v>
      </c>
      <c r="L41" t="str">
        <f>_xlfn.XLOOKUP($I41,RazónMuerte!$A:$A,RazónMuerte!D:D,"",0)</f>
        <v>Fatal injury</v>
      </c>
      <c r="M41" s="34" t="s">
        <v>1532</v>
      </c>
    </row>
    <row r="42" spans="1:13" s="30" customFormat="1" x14ac:dyDescent="0.25">
      <c r="A42" t="s">
        <v>1079</v>
      </c>
      <c r="B42" t="str">
        <f t="shared" si="2"/>
        <v>30</v>
      </c>
      <c r="C42" t="str">
        <f t="shared" si="3"/>
        <v>JUNIO</v>
      </c>
      <c r="D42" s="20">
        <v>45704</v>
      </c>
      <c r="E42" s="20">
        <v>45838</v>
      </c>
      <c r="F42" t="s">
        <v>1084</v>
      </c>
      <c r="G42" s="41">
        <v>3216</v>
      </c>
      <c r="H42" t="s">
        <v>1085</v>
      </c>
      <c r="I42" t="s">
        <v>1086</v>
      </c>
      <c r="J42" t="str">
        <f>_xlfn.XLOOKUP($I42,RazónMuerte!$A:$A,RazónMuerte!B:B,"",0)</f>
        <v>Enfermedad degenerativa articular</v>
      </c>
      <c r="K42">
        <f>_xlfn.XLOOKUP($I42,RazónMuerte!$A:$A,RazónMuerte!C:C,"",0)</f>
        <v>0</v>
      </c>
      <c r="L42" t="str">
        <f>_xlfn.XLOOKUP($I42,RazónMuerte!$A:$A,RazónMuerte!D:D,"",0)</f>
        <v>No fatal injury (chronic/medical)</v>
      </c>
      <c r="M42" s="34" t="s">
        <v>1532</v>
      </c>
    </row>
    <row r="43" spans="1:13" x14ac:dyDescent="0.25">
      <c r="A43" t="s">
        <v>1079</v>
      </c>
      <c r="B43" t="str">
        <f t="shared" si="2"/>
        <v>30</v>
      </c>
      <c r="C43" t="str">
        <f t="shared" si="3"/>
        <v>JUNIO</v>
      </c>
      <c r="D43" s="20">
        <v>45709</v>
      </c>
      <c r="E43" s="20">
        <v>45838</v>
      </c>
      <c r="F43" t="s">
        <v>28</v>
      </c>
      <c r="G43" s="41">
        <v>3096</v>
      </c>
      <c r="H43" t="s">
        <v>1078</v>
      </c>
      <c r="I43" t="s">
        <v>1077</v>
      </c>
      <c r="J43" t="str">
        <f>_xlfn.XLOOKUP($I43,RazónMuerte!$A:$A,RazónMuerte!B:B,"",0)</f>
        <v>Fractura ósea</v>
      </c>
      <c r="K43" t="str">
        <f>_xlfn.XLOOKUP($I43,RazónMuerte!$A:$A,RazónMuerte!C:C,"",0)</f>
        <v>Sesamoideo</v>
      </c>
      <c r="L43" t="str">
        <f>_xlfn.XLOOKUP($I43,RazónMuerte!$A:$A,RazónMuerte!D:D,"",0)</f>
        <v>Fatal injury</v>
      </c>
      <c r="M43" s="34" t="s">
        <v>1532</v>
      </c>
    </row>
    <row r="44" spans="1:13" x14ac:dyDescent="0.25">
      <c r="A44" t="s">
        <v>910</v>
      </c>
      <c r="B44" t="str">
        <f t="shared" si="2"/>
        <v>25</v>
      </c>
      <c r="C44" t="str">
        <f t="shared" si="3"/>
        <v>FEBRERO</v>
      </c>
      <c r="D44" s="20">
        <v>45710</v>
      </c>
      <c r="E44" s="20">
        <v>45713</v>
      </c>
      <c r="F44" t="s">
        <v>11</v>
      </c>
      <c r="G44" s="41">
        <v>72</v>
      </c>
      <c r="H44" t="s">
        <v>925</v>
      </c>
      <c r="I44" t="s">
        <v>913</v>
      </c>
      <c r="J44" t="str">
        <f>_xlfn.XLOOKUP($I44,RazónMuerte!$A:$A,RazónMuerte!B:B,"",0)</f>
        <v>Fractura ósea</v>
      </c>
      <c r="K44" t="str">
        <f>_xlfn.XLOOKUP($I44,RazónMuerte!$A:$A,RazónMuerte!C:C,"",0)</f>
        <v>Sesamoideo</v>
      </c>
      <c r="L44" t="str">
        <f>_xlfn.XLOOKUP($I44,RazónMuerte!$A:$A,RazónMuerte!D:D,"",0)</f>
        <v>Fatal injury</v>
      </c>
      <c r="M44" s="34" t="s">
        <v>1532</v>
      </c>
    </row>
    <row r="45" spans="1:13" s="30" customFormat="1" x14ac:dyDescent="0.25">
      <c r="A45" t="s">
        <v>919</v>
      </c>
      <c r="B45" t="str">
        <f t="shared" si="2"/>
        <v>3</v>
      </c>
      <c r="C45" t="str">
        <f t="shared" si="3"/>
        <v>MARZO</v>
      </c>
      <c r="D45" s="20">
        <v>45711</v>
      </c>
      <c r="E45" s="20">
        <v>45719</v>
      </c>
      <c r="F45" t="s">
        <v>349</v>
      </c>
      <c r="G45" s="41">
        <v>192</v>
      </c>
      <c r="H45" t="s">
        <v>920</v>
      </c>
      <c r="I45" t="s">
        <v>921</v>
      </c>
      <c r="J45" t="str">
        <f>_xlfn.XLOOKUP($I45,RazónMuerte!$A:$A,RazónMuerte!B:B,"",0)</f>
        <v>Otras / No especificada</v>
      </c>
      <c r="K45">
        <f>_xlfn.XLOOKUP($I45,RazónMuerte!$A:$A,RazónMuerte!C:C,"",0)</f>
        <v>0</v>
      </c>
      <c r="L45" t="str">
        <f>_xlfn.XLOOKUP($I45,RazónMuerte!$A:$A,RazónMuerte!D:D,"",0)</f>
        <v>No fatal injury (chronic/medical)</v>
      </c>
      <c r="M45" s="34" t="s">
        <v>1532</v>
      </c>
    </row>
    <row r="46" spans="1:13" x14ac:dyDescent="0.25">
      <c r="A46" t="s">
        <v>919</v>
      </c>
      <c r="B46" t="str">
        <f t="shared" si="2"/>
        <v>3</v>
      </c>
      <c r="C46" t="str">
        <f t="shared" si="3"/>
        <v>MARZO</v>
      </c>
      <c r="D46" s="27">
        <v>45711</v>
      </c>
      <c r="E46" s="20">
        <v>45719</v>
      </c>
      <c r="F46" t="s">
        <v>924</v>
      </c>
      <c r="G46" s="41">
        <v>192</v>
      </c>
      <c r="H46" t="s">
        <v>923</v>
      </c>
      <c r="I46" t="s">
        <v>922</v>
      </c>
      <c r="J46" t="str">
        <f>_xlfn.XLOOKUP($I46,RazónMuerte!$A:$A,RazónMuerte!B:B,"",0)</f>
        <v>Fractura ósea</v>
      </c>
      <c r="K46" t="str">
        <f>_xlfn.XLOOKUP($I46,RazónMuerte!$A:$A,RazónMuerte!C:C,"",0)</f>
        <v>No especificado</v>
      </c>
      <c r="L46" t="str">
        <f>_xlfn.XLOOKUP($I46,RazónMuerte!$A:$A,RazónMuerte!D:D,"",0)</f>
        <v>Fatal injury</v>
      </c>
      <c r="M46" s="34" t="s">
        <v>1532</v>
      </c>
    </row>
    <row r="47" spans="1:13" s="30" customFormat="1" x14ac:dyDescent="0.25">
      <c r="A47" t="s">
        <v>1056</v>
      </c>
      <c r="B47" t="str">
        <f t="shared" si="2"/>
        <v>13</v>
      </c>
      <c r="C47" t="str">
        <f t="shared" si="3"/>
        <v>JUNIO</v>
      </c>
      <c r="D47" s="20">
        <v>45711</v>
      </c>
      <c r="E47" s="20">
        <v>45821</v>
      </c>
      <c r="F47" t="s">
        <v>815</v>
      </c>
      <c r="G47" s="41">
        <v>2640</v>
      </c>
      <c r="H47" t="s">
        <v>1055</v>
      </c>
      <c r="I47" t="s">
        <v>1054</v>
      </c>
      <c r="J47" t="str">
        <f>_xlfn.XLOOKUP($I47,RazónMuerte!$A:$A,RazónMuerte!B:B,"",0)</f>
        <v>Enfermedad degenerativa articular</v>
      </c>
      <c r="K47">
        <f>_xlfn.XLOOKUP($I47,RazónMuerte!$A:$A,RazónMuerte!C:C,"",0)</f>
        <v>0</v>
      </c>
      <c r="L47" t="str">
        <f>_xlfn.XLOOKUP($I47,RazónMuerte!$A:$A,RazónMuerte!D:D,"",0)</f>
        <v>Fatal injury</v>
      </c>
      <c r="M47" s="34" t="s">
        <v>1532</v>
      </c>
    </row>
    <row r="48" spans="1:13" x14ac:dyDescent="0.25">
      <c r="A48" t="s">
        <v>948</v>
      </c>
      <c r="B48" t="str">
        <f t="shared" si="2"/>
        <v>17</v>
      </c>
      <c r="C48" t="str">
        <f t="shared" si="3"/>
        <v>MARZO</v>
      </c>
      <c r="D48" s="20">
        <v>45717</v>
      </c>
      <c r="E48" s="20">
        <v>45733</v>
      </c>
      <c r="F48" t="s">
        <v>949</v>
      </c>
      <c r="G48" s="41">
        <v>384</v>
      </c>
      <c r="H48" t="s">
        <v>950</v>
      </c>
      <c r="I48" t="s">
        <v>951</v>
      </c>
      <c r="J48" t="str">
        <f>_xlfn.XLOOKUP($I48,RazónMuerte!$A:$A,RazónMuerte!B:B,"",0)</f>
        <v>Fractura ósea</v>
      </c>
      <c r="K48" t="str">
        <f>_xlfn.XLOOKUP($I48,RazónMuerte!$A:$A,RazónMuerte!C:C,"",0)</f>
        <v>Rodilla / Carpal</v>
      </c>
      <c r="L48" t="str">
        <f>_xlfn.XLOOKUP($I48,RazónMuerte!$A:$A,RazónMuerte!D:D,"",0)</f>
        <v>Fatal injury</v>
      </c>
      <c r="M48" s="34" t="s">
        <v>1532</v>
      </c>
    </row>
    <row r="49" spans="1:13" x14ac:dyDescent="0.25">
      <c r="A49" t="s">
        <v>926</v>
      </c>
      <c r="B49" t="str">
        <f t="shared" si="2"/>
        <v>5</v>
      </c>
      <c r="C49" t="str">
        <f t="shared" si="3"/>
        <v>MARZO</v>
      </c>
      <c r="D49" s="20">
        <v>45719</v>
      </c>
      <c r="E49" s="20">
        <v>45721</v>
      </c>
      <c r="F49" t="s">
        <v>840</v>
      </c>
      <c r="G49" s="41">
        <v>48</v>
      </c>
      <c r="H49" t="s">
        <v>927</v>
      </c>
      <c r="I49" t="s">
        <v>928</v>
      </c>
      <c r="J49" t="str">
        <f>_xlfn.XLOOKUP($I49,RazónMuerte!$A:$A,RazónMuerte!B:B,"",0)</f>
        <v>Otras / No especificada</v>
      </c>
      <c r="K49">
        <f>_xlfn.XLOOKUP($I49,RazónMuerte!$A:$A,RazónMuerte!C:C,"",0)</f>
        <v>0</v>
      </c>
      <c r="L49" t="str">
        <f>_xlfn.XLOOKUP($I49,RazónMuerte!$A:$A,RazónMuerte!D:D,"",0)</f>
        <v>No clasificado</v>
      </c>
      <c r="M49" s="34" t="s">
        <v>1532</v>
      </c>
    </row>
    <row r="50" spans="1:13" x14ac:dyDescent="0.25">
      <c r="A50" t="s">
        <v>1168</v>
      </c>
      <c r="B50" t="str">
        <f t="shared" si="2"/>
        <v>13</v>
      </c>
      <c r="C50" t="str">
        <f t="shared" si="3"/>
        <v>AGOSTO</v>
      </c>
      <c r="D50" s="20">
        <v>45723</v>
      </c>
      <c r="E50" s="20">
        <v>45882</v>
      </c>
      <c r="F50" t="s">
        <v>61</v>
      </c>
      <c r="G50" s="41">
        <v>3816</v>
      </c>
      <c r="H50" t="s">
        <v>1169</v>
      </c>
      <c r="I50" t="s">
        <v>255</v>
      </c>
      <c r="J50" t="str">
        <f>_xlfn.XLOOKUP($I50,RazónMuerte!$A:$A,RazónMuerte!B:B,"",0)</f>
        <v>Fractura ósea</v>
      </c>
      <c r="K50" t="str">
        <f>_xlfn.XLOOKUP($I50,RazónMuerte!$A:$A,RazónMuerte!C:C,"",0)</f>
        <v>Rodilla / Carpal</v>
      </c>
      <c r="L50" t="str">
        <f>_xlfn.XLOOKUP($I50,RazónMuerte!$A:$A,RazónMuerte!D:D,"",0)</f>
        <v>Fatal injury</v>
      </c>
      <c r="M50" s="34" t="s">
        <v>1532</v>
      </c>
    </row>
    <row r="51" spans="1:13" x14ac:dyDescent="0.25">
      <c r="A51" t="s">
        <v>963</v>
      </c>
      <c r="B51" t="str">
        <f t="shared" si="2"/>
        <v>8</v>
      </c>
      <c r="C51" t="str">
        <f t="shared" si="3"/>
        <v>ABRIL</v>
      </c>
      <c r="D51" s="20">
        <v>45724</v>
      </c>
      <c r="E51" s="20">
        <v>45755</v>
      </c>
      <c r="F51" t="s">
        <v>31</v>
      </c>
      <c r="G51" s="41">
        <v>744</v>
      </c>
      <c r="H51" t="s">
        <v>971</v>
      </c>
      <c r="I51" t="s">
        <v>967</v>
      </c>
      <c r="J51" t="str">
        <f>_xlfn.XLOOKUP($I51,RazónMuerte!$A:$A,RazónMuerte!B:B,"",0)</f>
        <v>Fractura ósea</v>
      </c>
      <c r="K51" t="str">
        <f>_xlfn.XLOOKUP($I51,RazónMuerte!$A:$A,RazónMuerte!C:C,"",0)</f>
        <v>No especificado</v>
      </c>
      <c r="L51" t="str">
        <f>_xlfn.XLOOKUP($I51,RazónMuerte!$A:$A,RazónMuerte!D:D,"",0)</f>
        <v>Fatal injury</v>
      </c>
      <c r="M51" s="34" t="s">
        <v>1532</v>
      </c>
    </row>
    <row r="52" spans="1:13" s="30" customFormat="1" x14ac:dyDescent="0.25">
      <c r="A52" t="s">
        <v>934</v>
      </c>
      <c r="B52" t="str">
        <f t="shared" si="2"/>
        <v>10</v>
      </c>
      <c r="C52" t="str">
        <f t="shared" si="3"/>
        <v>MARZO</v>
      </c>
      <c r="D52" s="20">
        <v>45725</v>
      </c>
      <c r="E52" s="20">
        <v>45726</v>
      </c>
      <c r="F52" t="s">
        <v>96</v>
      </c>
      <c r="G52" s="41">
        <v>24</v>
      </c>
      <c r="H52" t="s">
        <v>939</v>
      </c>
      <c r="I52" t="s">
        <v>940</v>
      </c>
      <c r="J52" t="str">
        <f>_xlfn.XLOOKUP($I52,RazónMuerte!$A:$A,RazónMuerte!B:B,"",0)</f>
        <v>Otras / No especificada</v>
      </c>
      <c r="K52">
        <f>_xlfn.XLOOKUP($I52,RazónMuerte!$A:$A,RazónMuerte!C:C,"",0)</f>
        <v>0</v>
      </c>
      <c r="L52" t="str">
        <f>_xlfn.XLOOKUP($I52,RazónMuerte!$A:$A,RazónMuerte!D:D,"",0)</f>
        <v>No fatal injury (chronic/medical)</v>
      </c>
      <c r="M52" s="34" t="s">
        <v>1532</v>
      </c>
    </row>
    <row r="53" spans="1:13" s="30" customFormat="1" x14ac:dyDescent="0.25">
      <c r="A53" t="s">
        <v>1142</v>
      </c>
      <c r="B53" t="str">
        <f t="shared" si="2"/>
        <v>26</v>
      </c>
      <c r="C53" t="str">
        <f t="shared" si="3"/>
        <v>JULIO</v>
      </c>
      <c r="D53" s="20">
        <v>45729</v>
      </c>
      <c r="E53" s="20">
        <v>45864</v>
      </c>
      <c r="F53" t="s">
        <v>1141</v>
      </c>
      <c r="G53" s="41">
        <v>3240</v>
      </c>
      <c r="H53" t="s">
        <v>1140</v>
      </c>
      <c r="I53" t="s">
        <v>100</v>
      </c>
      <c r="J53" t="str">
        <f>_xlfn.XLOOKUP($I53,RazónMuerte!$A:$A,RazónMuerte!B:B,"",0)</f>
        <v>Fractura ósea</v>
      </c>
      <c r="K53" t="str">
        <f>_xlfn.XLOOKUP($I53,RazónMuerte!$A:$A,RazónMuerte!C:C,"",0)</f>
        <v>Rodilla / Carpal</v>
      </c>
      <c r="L53" t="str">
        <f>_xlfn.XLOOKUP($I53,RazónMuerte!$A:$A,RazónMuerte!D:D,"",0)</f>
        <v>Fatal injury</v>
      </c>
      <c r="M53" s="34" t="s">
        <v>1532</v>
      </c>
    </row>
    <row r="54" spans="1:13" x14ac:dyDescent="0.25">
      <c r="A54" t="s">
        <v>945</v>
      </c>
      <c r="B54" t="str">
        <f t="shared" si="2"/>
        <v>15</v>
      </c>
      <c r="C54" t="str">
        <f t="shared" si="3"/>
        <v>MARZO</v>
      </c>
      <c r="D54" s="20">
        <v>45730</v>
      </c>
      <c r="E54" s="20">
        <v>45731</v>
      </c>
      <c r="F54" t="s">
        <v>124</v>
      </c>
      <c r="G54" s="41">
        <v>24</v>
      </c>
      <c r="H54" t="s">
        <v>946</v>
      </c>
      <c r="I54" t="s">
        <v>947</v>
      </c>
      <c r="J54" t="str">
        <f>_xlfn.XLOOKUP($I54,RazónMuerte!$A:$A,RazónMuerte!B:B,"",0)</f>
        <v>Fractura ósea</v>
      </c>
      <c r="K54" t="str">
        <f>_xlfn.XLOOKUP($I54,RazónMuerte!$A:$A,RazónMuerte!C:C,"",0)</f>
        <v>No especificado</v>
      </c>
      <c r="L54" t="str">
        <f>_xlfn.XLOOKUP($I54,RazónMuerte!$A:$A,RazónMuerte!D:D,"",0)</f>
        <v>Fatal injury</v>
      </c>
      <c r="M54" s="34" t="s">
        <v>1532</v>
      </c>
    </row>
    <row r="55" spans="1:13" x14ac:dyDescent="0.25">
      <c r="A55" t="s">
        <v>952</v>
      </c>
      <c r="B55" t="str">
        <f t="shared" si="2"/>
        <v>18</v>
      </c>
      <c r="C55" t="str">
        <f t="shared" si="3"/>
        <v>MARZO</v>
      </c>
      <c r="D55" s="20">
        <v>45730</v>
      </c>
      <c r="E55" s="20">
        <v>45734</v>
      </c>
      <c r="F55" t="s">
        <v>389</v>
      </c>
      <c r="G55" s="41">
        <v>96</v>
      </c>
      <c r="H55" t="s">
        <v>953</v>
      </c>
      <c r="I55" t="s">
        <v>954</v>
      </c>
      <c r="J55" t="str">
        <f>_xlfn.XLOOKUP($I55,RazónMuerte!$A:$A,RazónMuerte!B:B,"",0)</f>
        <v>Fractura ósea</v>
      </c>
      <c r="K55" t="str">
        <f>_xlfn.XLOOKUP($I55,RazónMuerte!$A:$A,RazónMuerte!C:C,"",0)</f>
        <v>Splint</v>
      </c>
      <c r="L55" t="str">
        <f>_xlfn.XLOOKUP($I55,RazónMuerte!$A:$A,RazónMuerte!D:D,"",0)</f>
        <v>Fatal injury</v>
      </c>
      <c r="M55" s="34" t="s">
        <v>1532</v>
      </c>
    </row>
    <row r="56" spans="1:13" s="30" customFormat="1" x14ac:dyDescent="0.25">
      <c r="A56" t="s">
        <v>961</v>
      </c>
      <c r="B56" t="str">
        <f t="shared" si="2"/>
        <v>28</v>
      </c>
      <c r="C56" t="str">
        <f t="shared" si="3"/>
        <v>MARZO</v>
      </c>
      <c r="D56" s="20">
        <v>45736</v>
      </c>
      <c r="E56" s="20">
        <v>45744</v>
      </c>
      <c r="F56" t="s">
        <v>960</v>
      </c>
      <c r="G56" s="41">
        <v>192</v>
      </c>
      <c r="H56" t="s">
        <v>959</v>
      </c>
      <c r="I56" t="s">
        <v>958</v>
      </c>
      <c r="J56" t="str">
        <f>_xlfn.XLOOKUP($I56,RazónMuerte!$A:$A,RazónMuerte!B:B,"",0)</f>
        <v>Fractura ósea</v>
      </c>
      <c r="K56" t="str">
        <f>_xlfn.XLOOKUP($I56,RazónMuerte!$A:$A,RazónMuerte!C:C,"",0)</f>
        <v>Slab</v>
      </c>
      <c r="L56" t="str">
        <f>_xlfn.XLOOKUP($I56,RazónMuerte!$A:$A,RazónMuerte!D:D,"",0)</f>
        <v>Fatal injury</v>
      </c>
      <c r="M56" s="34" t="s">
        <v>1532</v>
      </c>
    </row>
    <row r="57" spans="1:13" x14ac:dyDescent="0.25">
      <c r="A57" t="s">
        <v>1126</v>
      </c>
      <c r="B57" t="str">
        <f t="shared" si="2"/>
        <v>17</v>
      </c>
      <c r="C57" t="str">
        <f t="shared" si="3"/>
        <v>JULIO</v>
      </c>
      <c r="D57" s="20">
        <v>45750</v>
      </c>
      <c r="E57" s="20">
        <v>45855</v>
      </c>
      <c r="F57" t="s">
        <v>1125</v>
      </c>
      <c r="G57" s="41">
        <v>2520</v>
      </c>
      <c r="H57" t="s">
        <v>1124</v>
      </c>
      <c r="I57" t="s">
        <v>1123</v>
      </c>
      <c r="J57" t="str">
        <f>_xlfn.XLOOKUP($I57,RazónMuerte!$A:$A,RazónMuerte!B:B,"",0)</f>
        <v>Fractura ósea</v>
      </c>
      <c r="K57" t="str">
        <f>_xlfn.XLOOKUP($I57,RazónMuerte!$A:$A,RazónMuerte!C:C,"",0)</f>
        <v>Rodilla / Carpal</v>
      </c>
      <c r="L57" t="str">
        <f>_xlfn.XLOOKUP($I57,RazónMuerte!$A:$A,RazónMuerte!D:D,"",0)</f>
        <v>Fatal injury</v>
      </c>
      <c r="M57" s="34" t="s">
        <v>1532</v>
      </c>
    </row>
    <row r="58" spans="1:13" x14ac:dyDescent="0.25">
      <c r="A58" t="s">
        <v>962</v>
      </c>
      <c r="B58" t="str">
        <f t="shared" si="2"/>
        <v>7</v>
      </c>
      <c r="C58" t="str">
        <f t="shared" si="3"/>
        <v>ABRIL</v>
      </c>
      <c r="D58" s="27">
        <v>45752</v>
      </c>
      <c r="E58" s="20">
        <v>45754</v>
      </c>
      <c r="F58" t="s">
        <v>9</v>
      </c>
      <c r="G58" s="41">
        <v>48</v>
      </c>
      <c r="H58" t="s">
        <v>972</v>
      </c>
      <c r="I58" t="s">
        <v>661</v>
      </c>
      <c r="J58" t="str">
        <f>_xlfn.XLOOKUP($I58,RazónMuerte!$A:$A,RazónMuerte!B:B,"",0)</f>
        <v>Fractura ósea</v>
      </c>
      <c r="K58" t="str">
        <f>_xlfn.XLOOKUP($I58,RazónMuerte!$A:$A,RazónMuerte!C:C,"",0)</f>
        <v>Rodilla / Carpal</v>
      </c>
      <c r="L58" t="str">
        <f>_xlfn.XLOOKUP($I58,RazónMuerte!$A:$A,RazónMuerte!D:D,"",0)</f>
        <v>Fatal injury</v>
      </c>
      <c r="M58" s="34" t="s">
        <v>1532</v>
      </c>
    </row>
    <row r="59" spans="1:13" x14ac:dyDescent="0.25">
      <c r="A59" t="s">
        <v>1079</v>
      </c>
      <c r="B59" t="str">
        <f t="shared" si="2"/>
        <v>30</v>
      </c>
      <c r="C59" t="str">
        <f t="shared" si="3"/>
        <v>JUNIO</v>
      </c>
      <c r="D59" s="20">
        <v>45752</v>
      </c>
      <c r="E59" s="20">
        <v>45838</v>
      </c>
      <c r="F59" t="s">
        <v>73</v>
      </c>
      <c r="G59" s="41">
        <v>2064</v>
      </c>
      <c r="H59" t="s">
        <v>1080</v>
      </c>
      <c r="I59" t="s">
        <v>1081</v>
      </c>
      <c r="J59" t="str">
        <f>_xlfn.XLOOKUP($I59,RazónMuerte!$A:$A,RazónMuerte!B:B,"",0)</f>
        <v>Fractura ósea</v>
      </c>
      <c r="K59" t="str">
        <f>_xlfn.XLOOKUP($I59,RazónMuerte!$A:$A,RazónMuerte!C:C,"",0)</f>
        <v>Sesamoideo</v>
      </c>
      <c r="L59" t="str">
        <f>_xlfn.XLOOKUP($I59,RazónMuerte!$A:$A,RazónMuerte!D:D,"",0)</f>
        <v>Fatal injury</v>
      </c>
      <c r="M59" s="34" t="s">
        <v>1532</v>
      </c>
    </row>
    <row r="60" spans="1:13" x14ac:dyDescent="0.25">
      <c r="A60" t="s">
        <v>983</v>
      </c>
      <c r="B60" t="str">
        <f t="shared" si="2"/>
        <v>25</v>
      </c>
      <c r="C60" t="str">
        <f t="shared" si="3"/>
        <v>ABRIL</v>
      </c>
      <c r="D60" s="20">
        <v>45753</v>
      </c>
      <c r="E60" s="20">
        <v>45772</v>
      </c>
      <c r="F60" t="s">
        <v>102</v>
      </c>
      <c r="G60" s="41">
        <v>456</v>
      </c>
      <c r="H60" t="s">
        <v>982</v>
      </c>
      <c r="I60" t="s">
        <v>981</v>
      </c>
      <c r="J60" t="str">
        <f>_xlfn.XLOOKUP($I60,RazónMuerte!$A:$A,RazónMuerte!B:B,"",0)</f>
        <v>Otras / No especificada</v>
      </c>
      <c r="K60">
        <f>_xlfn.XLOOKUP($I60,RazónMuerte!$A:$A,RazónMuerte!C:C,"",0)</f>
        <v>0</v>
      </c>
      <c r="L60" t="str">
        <f>_xlfn.XLOOKUP($I60,RazónMuerte!$A:$A,RazónMuerte!D:D,"",0)</f>
        <v>No clasificado</v>
      </c>
      <c r="M60" s="34" t="s">
        <v>1532</v>
      </c>
    </row>
    <row r="61" spans="1:13" x14ac:dyDescent="0.25">
      <c r="A61" t="s">
        <v>1018</v>
      </c>
      <c r="B61" t="str">
        <f t="shared" si="2"/>
        <v>24</v>
      </c>
      <c r="C61" t="str">
        <f t="shared" si="3"/>
        <v>MAYO</v>
      </c>
      <c r="D61" s="20">
        <v>45758</v>
      </c>
      <c r="E61" s="20">
        <v>45801</v>
      </c>
      <c r="F61" t="s">
        <v>812</v>
      </c>
      <c r="G61" s="41">
        <v>1032</v>
      </c>
      <c r="H61" t="s">
        <v>1019</v>
      </c>
      <c r="I61" t="s">
        <v>1020</v>
      </c>
      <c r="J61" t="str">
        <f>_xlfn.XLOOKUP($I61,RazónMuerte!$A:$A,RazónMuerte!B:B,"",0)</f>
        <v>Fractura ósea</v>
      </c>
      <c r="K61" t="str">
        <f>_xlfn.XLOOKUP($I61,RazónMuerte!$A:$A,RazónMuerte!C:C,"",0)</f>
        <v>Sesamoideo</v>
      </c>
      <c r="L61" t="str">
        <f>_xlfn.XLOOKUP($I61,RazónMuerte!$A:$A,RazónMuerte!D:D,"",0)</f>
        <v>Fatal injury</v>
      </c>
      <c r="M61" s="34" t="s">
        <v>1532</v>
      </c>
    </row>
    <row r="62" spans="1:13" x14ac:dyDescent="0.25">
      <c r="A62" t="s">
        <v>1071</v>
      </c>
      <c r="B62" t="str">
        <f t="shared" si="2"/>
        <v>27</v>
      </c>
      <c r="C62" t="str">
        <f t="shared" si="3"/>
        <v>JUNIO</v>
      </c>
      <c r="D62" s="20">
        <v>45766</v>
      </c>
      <c r="E62" s="20">
        <v>45835</v>
      </c>
      <c r="F62" t="s">
        <v>1072</v>
      </c>
      <c r="G62" s="41">
        <v>1656</v>
      </c>
      <c r="H62" t="s">
        <v>1118</v>
      </c>
      <c r="I62" t="s">
        <v>1073</v>
      </c>
      <c r="J62" t="str">
        <f>_xlfn.XLOOKUP($I62,RazónMuerte!$A:$A,RazónMuerte!B:B,"",0)</f>
        <v>Otras / No especificada</v>
      </c>
      <c r="K62">
        <f>_xlfn.XLOOKUP($I62,RazónMuerte!$A:$A,RazónMuerte!C:C,"",0)</f>
        <v>0</v>
      </c>
      <c r="L62" t="str">
        <f>_xlfn.XLOOKUP($I62,RazónMuerte!$A:$A,RazónMuerte!D:D,"",0)</f>
        <v>No fatal injury (chronic/medical)</v>
      </c>
      <c r="M62" s="34" t="s">
        <v>1532</v>
      </c>
    </row>
    <row r="63" spans="1:13" x14ac:dyDescent="0.25">
      <c r="A63" t="s">
        <v>1153</v>
      </c>
      <c r="B63" t="str">
        <f t="shared" si="2"/>
        <v>4</v>
      </c>
      <c r="C63" t="str">
        <f t="shared" si="3"/>
        <v>AGOSTO</v>
      </c>
      <c r="D63" s="20">
        <v>45766</v>
      </c>
      <c r="E63" s="20">
        <v>45873</v>
      </c>
      <c r="F63" t="s">
        <v>73</v>
      </c>
      <c r="G63" s="41">
        <v>2568</v>
      </c>
      <c r="H63" t="s">
        <v>1160</v>
      </c>
      <c r="I63" t="s">
        <v>1024</v>
      </c>
      <c r="J63" t="str">
        <f>_xlfn.XLOOKUP($I63,RazónMuerte!$A:$A,RazónMuerte!B:B,"",0)</f>
        <v>Fractura ósea</v>
      </c>
      <c r="K63" t="str">
        <f>_xlfn.XLOOKUP($I63,RazónMuerte!$A:$A,RazónMuerte!C:C,"",0)</f>
        <v>Slab</v>
      </c>
      <c r="L63" t="str">
        <f>_xlfn.XLOOKUP($I63,RazónMuerte!$A:$A,RazónMuerte!D:D,"",0)</f>
        <v>Fatal injury</v>
      </c>
      <c r="M63" s="34" t="s">
        <v>1532</v>
      </c>
    </row>
    <row r="64" spans="1:13" s="30" customFormat="1" x14ac:dyDescent="0.25">
      <c r="A64" t="s">
        <v>978</v>
      </c>
      <c r="B64" t="str">
        <f t="shared" si="2"/>
        <v>22</v>
      </c>
      <c r="C64" t="str">
        <f t="shared" si="3"/>
        <v>ABRIL</v>
      </c>
      <c r="D64" s="20">
        <v>45767</v>
      </c>
      <c r="E64" s="20">
        <v>45769</v>
      </c>
      <c r="F64" t="s">
        <v>108</v>
      </c>
      <c r="G64" s="41">
        <v>48</v>
      </c>
      <c r="H64" t="s">
        <v>979</v>
      </c>
      <c r="I64" t="s">
        <v>980</v>
      </c>
      <c r="J64" t="str">
        <f>_xlfn.XLOOKUP($I64,RazónMuerte!$A:$A,RazónMuerte!B:B,"",0)</f>
        <v>Otras / No especificada</v>
      </c>
      <c r="K64">
        <f>_xlfn.XLOOKUP($I64,RazónMuerte!$A:$A,RazónMuerte!C:C,"",0)</f>
        <v>0</v>
      </c>
      <c r="L64" t="str">
        <f>_xlfn.XLOOKUP($I64,RazónMuerte!$A:$A,RazónMuerte!D:D,"",0)</f>
        <v>No clasificado</v>
      </c>
      <c r="M64" s="34" t="s">
        <v>1532</v>
      </c>
    </row>
    <row r="65" spans="1:13" x14ac:dyDescent="0.25">
      <c r="A65" t="s">
        <v>1049</v>
      </c>
      <c r="B65" t="str">
        <f t="shared" si="2"/>
        <v>8</v>
      </c>
      <c r="C65" t="str">
        <f t="shared" si="3"/>
        <v>JUNIO</v>
      </c>
      <c r="D65" s="20">
        <v>45767</v>
      </c>
      <c r="E65" s="20">
        <v>45816</v>
      </c>
      <c r="F65" t="s">
        <v>1048</v>
      </c>
      <c r="G65" s="41">
        <v>1176</v>
      </c>
      <c r="H65" t="s">
        <v>1047</v>
      </c>
      <c r="I65" t="s">
        <v>1050</v>
      </c>
      <c r="J65" t="str">
        <f>_xlfn.XLOOKUP($I65,RazónMuerte!$A:$A,RazónMuerte!B:B,"",0)</f>
        <v>Fractura ósea</v>
      </c>
      <c r="K65" t="str">
        <f>_xlfn.XLOOKUP($I65,RazónMuerte!$A:$A,RazónMuerte!C:C,"",0)</f>
        <v>Condylar</v>
      </c>
      <c r="L65" t="str">
        <f>_xlfn.XLOOKUP($I65,RazónMuerte!$A:$A,RazónMuerte!D:D,"",0)</f>
        <v>Fatal injury</v>
      </c>
      <c r="M65" s="34" t="s">
        <v>1532</v>
      </c>
    </row>
    <row r="66" spans="1:13" s="30" customFormat="1" x14ac:dyDescent="0.25">
      <c r="A66" t="s">
        <v>1090</v>
      </c>
      <c r="B66" t="str">
        <f t="shared" ref="B66:B97" si="4">LEFT(A66,FIND("-",A66)-1)</f>
        <v>1</v>
      </c>
      <c r="C66" t="str">
        <f t="shared" ref="C66:C97" si="5">MID(A66,FIND("-",A66)+1,FIND("-",A66,FIND("-",A66)+1)-FIND("-",A66)-1)</f>
        <v>JULIO</v>
      </c>
      <c r="D66" s="20">
        <v>45768</v>
      </c>
      <c r="E66" s="20">
        <v>45839</v>
      </c>
      <c r="F66" t="s">
        <v>113</v>
      </c>
      <c r="G66" s="41">
        <v>1704</v>
      </c>
      <c r="H66" t="s">
        <v>1091</v>
      </c>
      <c r="I66" t="s">
        <v>1092</v>
      </c>
      <c r="J66" t="str">
        <f>_xlfn.XLOOKUP($I66,RazónMuerte!$A:$A,RazónMuerte!B:B,"",0)</f>
        <v>Fractura ósea</v>
      </c>
      <c r="K66" t="str">
        <f>_xlfn.XLOOKUP($I66,RazónMuerte!$A:$A,RazónMuerte!C:C,"",0)</f>
        <v>Fetlock</v>
      </c>
      <c r="L66" t="str">
        <f>_xlfn.XLOOKUP($I66,RazónMuerte!$A:$A,RazónMuerte!D:D,"",0)</f>
        <v>Fatal injury</v>
      </c>
      <c r="M66" s="34" t="s">
        <v>1532</v>
      </c>
    </row>
    <row r="67" spans="1:13" x14ac:dyDescent="0.25">
      <c r="A67" t="s">
        <v>1032</v>
      </c>
      <c r="B67" t="str">
        <f t="shared" si="4"/>
        <v>30</v>
      </c>
      <c r="C67" t="str">
        <f t="shared" si="5"/>
        <v>MAYO</v>
      </c>
      <c r="D67" s="20">
        <v>45775</v>
      </c>
      <c r="E67" s="20">
        <v>45807</v>
      </c>
      <c r="F67" t="s">
        <v>17</v>
      </c>
      <c r="G67" s="41">
        <v>768</v>
      </c>
      <c r="H67" t="s">
        <v>1035</v>
      </c>
      <c r="I67" t="s">
        <v>653</v>
      </c>
      <c r="J67" t="str">
        <f>_xlfn.XLOOKUP($I67,RazónMuerte!$A:$A,RazónMuerte!B:B,"",0)</f>
        <v>Otras / No especificada</v>
      </c>
      <c r="K67">
        <f>_xlfn.XLOOKUP($I67,RazónMuerte!$A:$A,RazónMuerte!C:C,"",0)</f>
        <v>0</v>
      </c>
      <c r="L67" t="str">
        <f>_xlfn.XLOOKUP($I67,RazónMuerte!$A:$A,RazónMuerte!D:D,"",0)</f>
        <v>No clasificado</v>
      </c>
      <c r="M67" s="34" t="s">
        <v>1532</v>
      </c>
    </row>
    <row r="68" spans="1:13" x14ac:dyDescent="0.25">
      <c r="A68" t="s">
        <v>1095</v>
      </c>
      <c r="B68" t="str">
        <f t="shared" si="4"/>
        <v>3</v>
      </c>
      <c r="C68" t="str">
        <f t="shared" si="5"/>
        <v>JULIO</v>
      </c>
      <c r="D68" s="20">
        <v>45775</v>
      </c>
      <c r="E68" s="20">
        <v>45841</v>
      </c>
      <c r="F68" t="s">
        <v>1096</v>
      </c>
      <c r="G68" s="41">
        <v>1584</v>
      </c>
      <c r="H68" t="s">
        <v>1097</v>
      </c>
      <c r="I68" t="s">
        <v>1098</v>
      </c>
      <c r="J68" t="str">
        <f>_xlfn.XLOOKUP($I68,RazónMuerte!$A:$A,RazónMuerte!B:B,"",0)</f>
        <v>Fractura ósea</v>
      </c>
      <c r="K68" t="str">
        <f>_xlfn.XLOOKUP($I68,RazónMuerte!$A:$A,RazónMuerte!C:C,"",0)</f>
        <v>Sesamoideo</v>
      </c>
      <c r="L68" t="str">
        <f>_xlfn.XLOOKUP($I68,RazónMuerte!$A:$A,RazónMuerte!D:D,"",0)</f>
        <v>Fatal injury</v>
      </c>
      <c r="M68" s="34" t="s">
        <v>1532</v>
      </c>
    </row>
    <row r="69" spans="1:13" x14ac:dyDescent="0.25">
      <c r="A69" t="s">
        <v>1009</v>
      </c>
      <c r="B69" t="str">
        <f t="shared" si="4"/>
        <v>16</v>
      </c>
      <c r="C69" t="str">
        <f t="shared" si="5"/>
        <v>MAYO</v>
      </c>
      <c r="D69" s="20">
        <v>45787</v>
      </c>
      <c r="E69" s="20">
        <v>45793</v>
      </c>
      <c r="F69" t="s">
        <v>1008</v>
      </c>
      <c r="G69" s="41">
        <v>144</v>
      </c>
      <c r="H69" t="s">
        <v>1007</v>
      </c>
      <c r="I69" t="s">
        <v>1006</v>
      </c>
      <c r="J69" t="str">
        <f>_xlfn.XLOOKUP($I69,RazónMuerte!$A:$A,RazónMuerte!B:B,"",0)</f>
        <v>Fractura ósea</v>
      </c>
      <c r="K69" t="str">
        <f>_xlfn.XLOOKUP($I69,RazónMuerte!$A:$A,RazónMuerte!C:C,"",0)</f>
        <v>Rodilla / Carpal</v>
      </c>
      <c r="L69" t="str">
        <f>_xlfn.XLOOKUP($I69,RazónMuerte!$A:$A,RazónMuerte!D:D,"",0)</f>
        <v>Fatal injury</v>
      </c>
      <c r="M69" s="34" t="s">
        <v>1532</v>
      </c>
    </row>
    <row r="70" spans="1:13" x14ac:dyDescent="0.25">
      <c r="A70" t="s">
        <v>996</v>
      </c>
      <c r="B70" t="str">
        <f t="shared" si="4"/>
        <v>12</v>
      </c>
      <c r="C70" t="str">
        <f t="shared" si="5"/>
        <v>MAYO</v>
      </c>
      <c r="D70" s="20">
        <v>45788</v>
      </c>
      <c r="E70" s="20">
        <v>45789</v>
      </c>
      <c r="F70" t="s">
        <v>349</v>
      </c>
      <c r="G70" s="41">
        <v>24</v>
      </c>
      <c r="H70" t="s">
        <v>997</v>
      </c>
      <c r="I70" t="s">
        <v>998</v>
      </c>
      <c r="J70" t="str">
        <f>_xlfn.XLOOKUP($I70,RazónMuerte!$A:$A,RazónMuerte!B:B,"",0)</f>
        <v>Fractura ósea</v>
      </c>
      <c r="K70" t="str">
        <f>_xlfn.XLOOKUP($I70,RazónMuerte!$A:$A,RazónMuerte!C:C,"",0)</f>
        <v>Caña / Cannon bone</v>
      </c>
      <c r="L70" t="str">
        <f>_xlfn.XLOOKUP($I70,RazónMuerte!$A:$A,RazónMuerte!D:D,"",0)</f>
        <v>Fatal injury</v>
      </c>
      <c r="M70" s="34" t="s">
        <v>1532</v>
      </c>
    </row>
    <row r="71" spans="1:13" x14ac:dyDescent="0.25">
      <c r="A71" t="s">
        <v>1031</v>
      </c>
      <c r="B71" t="str">
        <f t="shared" si="4"/>
        <v>29</v>
      </c>
      <c r="C71" t="str">
        <f t="shared" si="5"/>
        <v>MAYO</v>
      </c>
      <c r="D71" s="20">
        <v>45788</v>
      </c>
      <c r="E71" s="20">
        <v>45806</v>
      </c>
      <c r="F71" t="s">
        <v>61</v>
      </c>
      <c r="G71" s="41">
        <v>432</v>
      </c>
      <c r="H71" t="s">
        <v>1030</v>
      </c>
      <c r="I71" t="s">
        <v>1029</v>
      </c>
      <c r="J71" t="str">
        <f>_xlfn.XLOOKUP($I71,RazónMuerte!$A:$A,RazónMuerte!B:B,"",0)</f>
        <v>Lesión de ligamentos/tendones</v>
      </c>
      <c r="K71">
        <f>_xlfn.XLOOKUP($I71,RazónMuerte!$A:$A,RazónMuerte!C:C,"",0)</f>
        <v>0</v>
      </c>
      <c r="L71" t="str">
        <f>_xlfn.XLOOKUP($I71,RazónMuerte!$A:$A,RazónMuerte!D:D,"",0)</f>
        <v>No clasificado</v>
      </c>
      <c r="M71" s="34" t="s">
        <v>1532</v>
      </c>
    </row>
    <row r="72" spans="1:13" x14ac:dyDescent="0.25">
      <c r="A72" t="s">
        <v>1032</v>
      </c>
      <c r="B72" t="str">
        <f t="shared" si="4"/>
        <v>30</v>
      </c>
      <c r="C72" t="str">
        <f t="shared" si="5"/>
        <v>MAYO</v>
      </c>
      <c r="D72" s="20">
        <v>45788</v>
      </c>
      <c r="E72" s="20">
        <v>45807</v>
      </c>
      <c r="F72" t="s">
        <v>789</v>
      </c>
      <c r="G72" s="41">
        <v>456</v>
      </c>
      <c r="H72" t="s">
        <v>1033</v>
      </c>
      <c r="I72" t="s">
        <v>1034</v>
      </c>
      <c r="J72" t="str">
        <f>_xlfn.XLOOKUP($I72,RazónMuerte!$A:$A,RazónMuerte!B:B,"",0)</f>
        <v>Enfermedad degenerativa articular</v>
      </c>
      <c r="K72">
        <f>_xlfn.XLOOKUP($I72,RazónMuerte!$A:$A,RazónMuerte!C:C,"",0)</f>
        <v>0</v>
      </c>
      <c r="L72" t="str">
        <f>_xlfn.XLOOKUP($I72,RazónMuerte!$A:$A,RazónMuerte!D:D,"",0)</f>
        <v>No fatal injury (chronic/medical)</v>
      </c>
      <c r="M72" s="34" t="s">
        <v>1532</v>
      </c>
    </row>
    <row r="73" spans="1:13" x14ac:dyDescent="0.25">
      <c r="A73" t="s">
        <v>1009</v>
      </c>
      <c r="B73" t="str">
        <f t="shared" si="4"/>
        <v>16</v>
      </c>
      <c r="C73" t="str">
        <f t="shared" si="5"/>
        <v>MAYO</v>
      </c>
      <c r="D73" s="20">
        <v>45792</v>
      </c>
      <c r="E73" s="20">
        <v>45793</v>
      </c>
      <c r="F73" t="s">
        <v>10</v>
      </c>
      <c r="G73" s="41">
        <v>24</v>
      </c>
      <c r="H73" t="s">
        <v>1010</v>
      </c>
      <c r="I73" t="s">
        <v>1011</v>
      </c>
      <c r="J73" t="str">
        <f>_xlfn.XLOOKUP($I73,RazónMuerte!$A:$A,RazónMuerte!B:B,"",0)</f>
        <v>Fractura ósea</v>
      </c>
      <c r="K73" t="str">
        <f>_xlfn.XLOOKUP($I73,RazónMuerte!$A:$A,RazónMuerte!C:C,"",0)</f>
        <v>Slab</v>
      </c>
      <c r="L73" t="str">
        <f>_xlfn.XLOOKUP($I73,RazónMuerte!$A:$A,RazónMuerte!D:D,"",0)</f>
        <v>Fatal injury</v>
      </c>
      <c r="M73" s="34" t="s">
        <v>1532</v>
      </c>
    </row>
    <row r="74" spans="1:13" x14ac:dyDescent="0.25">
      <c r="A74" t="s">
        <v>1044</v>
      </c>
      <c r="B74" t="str">
        <f t="shared" si="4"/>
        <v>7</v>
      </c>
      <c r="C74" t="str">
        <f t="shared" si="5"/>
        <v>JUNIO</v>
      </c>
      <c r="D74" s="20">
        <v>45792</v>
      </c>
      <c r="E74" s="20">
        <v>45815</v>
      </c>
      <c r="F74" t="s">
        <v>81</v>
      </c>
      <c r="G74" s="41">
        <v>552</v>
      </c>
      <c r="H74" t="s">
        <v>1043</v>
      </c>
      <c r="I74" t="s">
        <v>1042</v>
      </c>
      <c r="J74" t="str">
        <f>_xlfn.XLOOKUP($I74,RazónMuerte!$A:$A,RazónMuerte!B:B,"",0)</f>
        <v>Otras / No especificada</v>
      </c>
      <c r="K74">
        <f>_xlfn.XLOOKUP($I74,RazónMuerte!$A:$A,RazónMuerte!C:C,"",0)</f>
        <v>0</v>
      </c>
      <c r="L74" t="str">
        <f>_xlfn.XLOOKUP($I74,RazónMuerte!$A:$A,RazónMuerte!D:D,"",0)</f>
        <v>No clasificado</v>
      </c>
      <c r="M74" s="34" t="s">
        <v>1532</v>
      </c>
    </row>
    <row r="75" spans="1:13" x14ac:dyDescent="0.25">
      <c r="A75" t="s">
        <v>1021</v>
      </c>
      <c r="B75" t="str">
        <f t="shared" si="4"/>
        <v>26</v>
      </c>
      <c r="C75" t="str">
        <f t="shared" si="5"/>
        <v>MAYO</v>
      </c>
      <c r="D75" s="20">
        <v>45799</v>
      </c>
      <c r="E75" s="20">
        <v>45803</v>
      </c>
      <c r="F75" t="s">
        <v>28</v>
      </c>
      <c r="G75" s="41">
        <v>96</v>
      </c>
      <c r="H75" t="s">
        <v>1022</v>
      </c>
      <c r="I75" t="s">
        <v>1023</v>
      </c>
      <c r="J75" t="str">
        <f>_xlfn.XLOOKUP($I75,RazónMuerte!$A:$A,RazónMuerte!B:B,"",0)</f>
        <v>Enfermedad degenerativa articular</v>
      </c>
      <c r="K75">
        <f>_xlfn.XLOOKUP($I75,RazónMuerte!$A:$A,RazónMuerte!C:C,"",0)</f>
        <v>0</v>
      </c>
      <c r="L75" t="str">
        <f>_xlfn.XLOOKUP($I75,RazónMuerte!$A:$A,RazónMuerte!D:D,"",0)</f>
        <v>Fatal injury</v>
      </c>
      <c r="M75" s="34" t="s">
        <v>1532</v>
      </c>
    </row>
    <row r="76" spans="1:13" s="30" customFormat="1" x14ac:dyDescent="0.25">
      <c r="A76" t="s">
        <v>1021</v>
      </c>
      <c r="B76" t="str">
        <f t="shared" si="4"/>
        <v>26</v>
      </c>
      <c r="C76" t="str">
        <f t="shared" si="5"/>
        <v>MAYO</v>
      </c>
      <c r="D76" s="20">
        <v>45800</v>
      </c>
      <c r="E76" s="20">
        <v>45803</v>
      </c>
      <c r="F76" t="s">
        <v>31</v>
      </c>
      <c r="G76" s="41">
        <v>72</v>
      </c>
      <c r="H76" t="s">
        <v>1025</v>
      </c>
      <c r="I76" t="s">
        <v>1024</v>
      </c>
      <c r="J76" t="str">
        <f>_xlfn.XLOOKUP($I76,RazónMuerte!$A:$A,RazónMuerte!B:B,"",0)</f>
        <v>Fractura ósea</v>
      </c>
      <c r="K76" t="str">
        <f>_xlfn.XLOOKUP($I76,RazónMuerte!$A:$A,RazónMuerte!C:C,"",0)</f>
        <v>Slab</v>
      </c>
      <c r="L76" t="str">
        <f>_xlfn.XLOOKUP($I76,RazónMuerte!$A:$A,RazónMuerte!D:D,"",0)</f>
        <v>Fatal injury</v>
      </c>
      <c r="M76" s="34" t="s">
        <v>1532</v>
      </c>
    </row>
    <row r="77" spans="1:13" x14ac:dyDescent="0.25">
      <c r="A77" t="s">
        <v>1109</v>
      </c>
      <c r="B77" t="str">
        <f t="shared" si="4"/>
        <v>14</v>
      </c>
      <c r="C77" t="str">
        <f t="shared" si="5"/>
        <v>JULIO</v>
      </c>
      <c r="D77" s="20">
        <v>45800</v>
      </c>
      <c r="E77" s="20">
        <v>45852</v>
      </c>
      <c r="F77" t="s">
        <v>1110</v>
      </c>
      <c r="G77" s="41">
        <v>1248</v>
      </c>
      <c r="H77" t="s">
        <v>1111</v>
      </c>
      <c r="I77" t="s">
        <v>1112</v>
      </c>
      <c r="J77" t="str">
        <f>_xlfn.XLOOKUP($I77,RazónMuerte!$A:$A,RazónMuerte!B:B,"",0)</f>
        <v>Fractura ósea</v>
      </c>
      <c r="K77" t="str">
        <f>_xlfn.XLOOKUP($I77,RazónMuerte!$A:$A,RazónMuerte!C:C,"",0)</f>
        <v>Slab</v>
      </c>
      <c r="L77" t="str">
        <f>_xlfn.XLOOKUP($I77,RazónMuerte!$A:$A,RazónMuerte!D:D,"",0)</f>
        <v>Fatal injury</v>
      </c>
      <c r="M77" s="34" t="s">
        <v>1532</v>
      </c>
    </row>
    <row r="78" spans="1:13" s="30" customFormat="1" x14ac:dyDescent="0.25">
      <c r="A78" t="s">
        <v>1105</v>
      </c>
      <c r="B78" t="str">
        <f t="shared" si="4"/>
        <v>11</v>
      </c>
      <c r="C78" t="str">
        <f t="shared" si="5"/>
        <v>JULIO</v>
      </c>
      <c r="D78" s="20">
        <v>45801</v>
      </c>
      <c r="E78" s="20">
        <v>45849</v>
      </c>
      <c r="F78" t="s">
        <v>111</v>
      </c>
      <c r="G78" s="41">
        <v>1152</v>
      </c>
      <c r="H78" t="s">
        <v>1106</v>
      </c>
      <c r="I78" t="s">
        <v>564</v>
      </c>
      <c r="J78" t="str">
        <f>_xlfn.XLOOKUP($I78,RazónMuerte!$A:$A,RazónMuerte!B:B,"",0)</f>
        <v>Fractura ósea</v>
      </c>
      <c r="K78" t="str">
        <f>_xlfn.XLOOKUP($I78,RazónMuerte!$A:$A,RazónMuerte!C:C,"",0)</f>
        <v>Sesamoideo</v>
      </c>
      <c r="L78" t="str">
        <f>_xlfn.XLOOKUP($I78,RazónMuerte!$A:$A,RazónMuerte!D:D,"",0)</f>
        <v>Fatal injury</v>
      </c>
      <c r="M78" s="34" t="s">
        <v>1532</v>
      </c>
    </row>
    <row r="79" spans="1:13" x14ac:dyDescent="0.25">
      <c r="A79" t="s">
        <v>1226</v>
      </c>
      <c r="B79" t="str">
        <f t="shared" si="4"/>
        <v>25</v>
      </c>
      <c r="C79" t="str">
        <f t="shared" si="5"/>
        <v>SEPTIEMBRE</v>
      </c>
      <c r="D79" s="20">
        <v>45801</v>
      </c>
      <c r="E79" s="20">
        <v>45925</v>
      </c>
      <c r="F79" t="s">
        <v>106</v>
      </c>
      <c r="G79" s="41">
        <v>2976</v>
      </c>
      <c r="H79" t="s">
        <v>1227</v>
      </c>
      <c r="I79" t="s">
        <v>1228</v>
      </c>
      <c r="J79" t="str">
        <f>_xlfn.XLOOKUP($I79,RazónMuerte!$A:$A,RazónMuerte!B:B,"",0)</f>
        <v>Fractura ósea</v>
      </c>
      <c r="K79" t="str">
        <f>_xlfn.XLOOKUP($I79,RazónMuerte!$A:$A,RazónMuerte!C:C,"",0)</f>
        <v>No especificado</v>
      </c>
      <c r="L79" t="str">
        <f>_xlfn.XLOOKUP($I79,RazónMuerte!$A:$A,RazónMuerte!D:D,"",0)</f>
        <v>Fatal injury</v>
      </c>
      <c r="M79" s="34" t="s">
        <v>1532</v>
      </c>
    </row>
    <row r="80" spans="1:13" x14ac:dyDescent="0.25">
      <c r="A80" t="s">
        <v>1032</v>
      </c>
      <c r="B80" t="str">
        <f t="shared" si="4"/>
        <v>30</v>
      </c>
      <c r="C80" t="str">
        <f t="shared" si="5"/>
        <v>MAYO</v>
      </c>
      <c r="D80" s="20">
        <v>45807</v>
      </c>
      <c r="E80" s="20">
        <v>45807</v>
      </c>
      <c r="F80" t="s">
        <v>1037</v>
      </c>
      <c r="G80" s="41">
        <v>0</v>
      </c>
      <c r="H80" t="s">
        <v>1038</v>
      </c>
      <c r="I80" t="s">
        <v>1039</v>
      </c>
      <c r="J80" t="str">
        <f>_xlfn.XLOOKUP($I80,RazónMuerte!$A:$A,RazónMuerte!B:B,"",0)</f>
        <v>Fractura ósea</v>
      </c>
      <c r="K80" t="str">
        <f>_xlfn.XLOOKUP($I80,RazónMuerte!$A:$A,RazónMuerte!C:C,"",0)</f>
        <v>Sesamoideo</v>
      </c>
      <c r="L80" t="str">
        <f>_xlfn.XLOOKUP($I80,RazónMuerte!$A:$A,RazónMuerte!D:D,"",0)</f>
        <v>Fatal injury</v>
      </c>
      <c r="M80" s="34" t="s">
        <v>1532</v>
      </c>
    </row>
    <row r="81" spans="1:13" s="30" customFormat="1" x14ac:dyDescent="0.25">
      <c r="A81" t="s">
        <v>1149</v>
      </c>
      <c r="B81" t="str">
        <f t="shared" si="4"/>
        <v>1</v>
      </c>
      <c r="C81" t="str">
        <f t="shared" si="5"/>
        <v>AGOSTO</v>
      </c>
      <c r="D81" s="20">
        <v>45807</v>
      </c>
      <c r="E81" s="20">
        <v>45870</v>
      </c>
      <c r="F81" t="s">
        <v>665</v>
      </c>
      <c r="G81" s="41">
        <v>1512</v>
      </c>
      <c r="H81" t="s">
        <v>1150</v>
      </c>
      <c r="I81" t="s">
        <v>1151</v>
      </c>
      <c r="J81" t="str">
        <f>_xlfn.XLOOKUP($I81,RazónMuerte!$A:$A,RazónMuerte!B:B,"",0)</f>
        <v>Enfermedad degenerativa articular</v>
      </c>
      <c r="K81">
        <f>_xlfn.XLOOKUP($I81,RazónMuerte!$A:$A,RazónMuerte!C:C,"",0)</f>
        <v>0</v>
      </c>
      <c r="L81" t="str">
        <f>_xlfn.XLOOKUP($I81,RazónMuerte!$A:$A,RazónMuerte!D:D,"",0)</f>
        <v>Fatal injury</v>
      </c>
      <c r="M81" s="34" t="s">
        <v>1532</v>
      </c>
    </row>
    <row r="82" spans="1:13" x14ac:dyDescent="0.25">
      <c r="A82" t="s">
        <v>1036</v>
      </c>
      <c r="B82" t="str">
        <f t="shared" si="4"/>
        <v>1</v>
      </c>
      <c r="C82" t="str">
        <f t="shared" si="5"/>
        <v>JUNIO</v>
      </c>
      <c r="D82" s="20">
        <v>45809</v>
      </c>
      <c r="E82" s="20">
        <v>45809</v>
      </c>
      <c r="F82" t="s">
        <v>1041</v>
      </c>
      <c r="G82" s="41">
        <v>0</v>
      </c>
      <c r="H82" t="s">
        <v>1040</v>
      </c>
      <c r="I82" t="s">
        <v>103</v>
      </c>
      <c r="J82" t="str">
        <f>_xlfn.XLOOKUP($I82,RazónMuerte!$A:$A,RazónMuerte!B:B,"",0)</f>
        <v>Fractura ósea</v>
      </c>
      <c r="K82" t="str">
        <f>_xlfn.XLOOKUP($I82,RazónMuerte!$A:$A,RazónMuerte!C:C,"",0)</f>
        <v>Sesamoideo</v>
      </c>
      <c r="L82" t="str">
        <f>_xlfn.XLOOKUP($I82,RazónMuerte!$A:$A,RazónMuerte!D:D,"",0)</f>
        <v>Fatal injury</v>
      </c>
      <c r="M82" s="34" t="s">
        <v>1532</v>
      </c>
    </row>
    <row r="83" spans="1:13" x14ac:dyDescent="0.25">
      <c r="A83" t="s">
        <v>1051</v>
      </c>
      <c r="B83" t="str">
        <f t="shared" si="4"/>
        <v>10</v>
      </c>
      <c r="C83" t="str">
        <f t="shared" si="5"/>
        <v>JUNIO</v>
      </c>
      <c r="D83" s="20">
        <v>45813</v>
      </c>
      <c r="E83" s="20">
        <v>45818</v>
      </c>
      <c r="F83" t="s">
        <v>1052</v>
      </c>
      <c r="G83" s="41">
        <v>120</v>
      </c>
      <c r="H83" t="s">
        <v>1053</v>
      </c>
      <c r="I83" t="s">
        <v>101</v>
      </c>
      <c r="J83" t="str">
        <f>_xlfn.XLOOKUP($I83,RazónMuerte!$A:$A,RazónMuerte!B:B,"",0)</f>
        <v>Fractura ósea</v>
      </c>
      <c r="K83" t="str">
        <f>_xlfn.XLOOKUP($I83,RazónMuerte!$A:$A,RazónMuerte!C:C,"",0)</f>
        <v>Rodilla / Carpal</v>
      </c>
      <c r="L83" t="str">
        <f>_xlfn.XLOOKUP($I83,RazónMuerte!$A:$A,RazónMuerte!D:D,"",0)</f>
        <v>Fatal injury</v>
      </c>
      <c r="M83" s="34" t="s">
        <v>1532</v>
      </c>
    </row>
    <row r="84" spans="1:13" x14ac:dyDescent="0.25">
      <c r="A84" t="s">
        <v>1045</v>
      </c>
      <c r="B84" t="str">
        <f t="shared" si="4"/>
        <v>9</v>
      </c>
      <c r="C84" t="str">
        <f t="shared" si="5"/>
        <v>JUNIO</v>
      </c>
      <c r="D84" s="20">
        <v>45814</v>
      </c>
      <c r="E84" s="20">
        <v>45817</v>
      </c>
      <c r="F84" t="s">
        <v>31</v>
      </c>
      <c r="G84" s="41">
        <v>72</v>
      </c>
      <c r="H84" t="s">
        <v>1046</v>
      </c>
      <c r="I84" t="s">
        <v>661</v>
      </c>
      <c r="J84" t="str">
        <f>_xlfn.XLOOKUP($I84,RazónMuerte!$A:$A,RazónMuerte!B:B,"",0)</f>
        <v>Fractura ósea</v>
      </c>
      <c r="K84" t="str">
        <f>_xlfn.XLOOKUP($I84,RazónMuerte!$A:$A,RazónMuerte!C:C,"",0)</f>
        <v>Rodilla / Carpal</v>
      </c>
      <c r="L84" t="str">
        <f>_xlfn.XLOOKUP($I84,RazónMuerte!$A:$A,RazónMuerte!D:D,"",0)</f>
        <v>Fatal injury</v>
      </c>
      <c r="M84" s="34" t="s">
        <v>1532</v>
      </c>
    </row>
    <row r="85" spans="1:13" x14ac:dyDescent="0.25">
      <c r="A85" t="s">
        <v>1079</v>
      </c>
      <c r="B85" t="str">
        <f t="shared" si="4"/>
        <v>30</v>
      </c>
      <c r="C85" t="str">
        <f t="shared" si="5"/>
        <v>JUNIO</v>
      </c>
      <c r="D85" s="20">
        <v>45814</v>
      </c>
      <c r="E85" s="20">
        <v>45838</v>
      </c>
      <c r="F85" t="s">
        <v>31</v>
      </c>
      <c r="G85" s="41">
        <v>576</v>
      </c>
      <c r="H85" t="s">
        <v>1083</v>
      </c>
      <c r="I85" t="s">
        <v>1082</v>
      </c>
      <c r="J85" t="str">
        <f>_xlfn.XLOOKUP($I85,RazónMuerte!$A:$A,RazónMuerte!B:B,"",0)</f>
        <v>Otras / No especificada</v>
      </c>
      <c r="K85">
        <f>_xlfn.XLOOKUP($I85,RazónMuerte!$A:$A,RazónMuerte!C:C,"",0)</f>
        <v>0</v>
      </c>
      <c r="L85" t="str">
        <f>_xlfn.XLOOKUP($I85,RazónMuerte!$A:$A,RazónMuerte!D:D,"",0)</f>
        <v>No clasificado</v>
      </c>
      <c r="M85" s="34" t="s">
        <v>1532</v>
      </c>
    </row>
    <row r="86" spans="1:13" s="30" customFormat="1" x14ac:dyDescent="0.25">
      <c r="A86" t="s">
        <v>1109</v>
      </c>
      <c r="B86" t="str">
        <f t="shared" si="4"/>
        <v>14</v>
      </c>
      <c r="C86" t="str">
        <f t="shared" si="5"/>
        <v>JULIO</v>
      </c>
      <c r="D86" s="20">
        <v>45814</v>
      </c>
      <c r="E86" s="20">
        <v>45852</v>
      </c>
      <c r="F86" t="s">
        <v>108</v>
      </c>
      <c r="G86" s="41">
        <v>912</v>
      </c>
      <c r="H86" t="s">
        <v>1114</v>
      </c>
      <c r="I86" t="s">
        <v>1113</v>
      </c>
      <c r="J86" t="str">
        <f>_xlfn.XLOOKUP($I86,RazónMuerte!$A:$A,RazónMuerte!B:B,"",0)</f>
        <v>Fractura ósea</v>
      </c>
      <c r="K86" t="str">
        <f>_xlfn.XLOOKUP($I86,RazónMuerte!$A:$A,RazónMuerte!C:C,"",0)</f>
        <v>Sesamoideo</v>
      </c>
      <c r="L86" t="str">
        <f>_xlfn.XLOOKUP($I86,RazónMuerte!$A:$A,RazónMuerte!D:D,"",0)</f>
        <v>Fatal injury</v>
      </c>
      <c r="M86" s="34" t="s">
        <v>1532</v>
      </c>
    </row>
    <row r="87" spans="1:13" x14ac:dyDescent="0.25">
      <c r="A87" t="s">
        <v>1237</v>
      </c>
      <c r="B87" t="str">
        <f t="shared" si="4"/>
        <v>27</v>
      </c>
      <c r="C87" t="str">
        <f t="shared" si="5"/>
        <v>SEPTIEMBRE</v>
      </c>
      <c r="D87" s="20">
        <v>45816</v>
      </c>
      <c r="E87" s="20">
        <v>45927</v>
      </c>
      <c r="F87" t="s">
        <v>106</v>
      </c>
      <c r="G87" s="41">
        <v>2664</v>
      </c>
      <c r="H87" t="s">
        <v>1240</v>
      </c>
      <c r="I87" t="s">
        <v>171</v>
      </c>
      <c r="J87" t="str">
        <f>_xlfn.XLOOKUP($I87,RazónMuerte!$A:$A,RazónMuerte!B:B,"",0)</f>
        <v>Enfermedad degenerativa articular</v>
      </c>
      <c r="K87">
        <f>_xlfn.XLOOKUP($I87,RazónMuerte!$A:$A,RazónMuerte!C:C,"",0)</f>
        <v>0</v>
      </c>
      <c r="L87" t="str">
        <f>_xlfn.XLOOKUP($I87,RazónMuerte!$A:$A,RazónMuerte!D:D,"",0)</f>
        <v>No fatal injury (chronic/medical)</v>
      </c>
      <c r="M87" s="34" t="s">
        <v>1532</v>
      </c>
    </row>
    <row r="88" spans="1:13" s="30" customFormat="1" x14ac:dyDescent="0.25">
      <c r="A88" t="s">
        <v>1196</v>
      </c>
      <c r="B88" t="str">
        <f t="shared" si="4"/>
        <v>15</v>
      </c>
      <c r="C88" t="str">
        <f t="shared" si="5"/>
        <v>SEPTIEMBRE</v>
      </c>
      <c r="D88" s="20">
        <v>45821</v>
      </c>
      <c r="E88" s="20">
        <v>45915</v>
      </c>
      <c r="F88" t="s">
        <v>1197</v>
      </c>
      <c r="G88" s="41">
        <v>2256</v>
      </c>
      <c r="H88" t="s">
        <v>1198</v>
      </c>
      <c r="I88" t="s">
        <v>255</v>
      </c>
      <c r="J88" t="str">
        <f>_xlfn.XLOOKUP($I88,RazónMuerte!$A:$A,RazónMuerte!B:B,"",0)</f>
        <v>Fractura ósea</v>
      </c>
      <c r="K88" t="str">
        <f>_xlfn.XLOOKUP($I88,RazónMuerte!$A:$A,RazónMuerte!C:C,"",0)</f>
        <v>Rodilla / Carpal</v>
      </c>
      <c r="L88" t="str">
        <f>_xlfn.XLOOKUP($I88,RazónMuerte!$A:$A,RazónMuerte!D:D,"",0)</f>
        <v>Fatal injury</v>
      </c>
      <c r="M88" s="34" t="s">
        <v>1532</v>
      </c>
    </row>
    <row r="89" spans="1:13" x14ac:dyDescent="0.25">
      <c r="A89" t="s">
        <v>1283</v>
      </c>
      <c r="B89" t="str">
        <f t="shared" si="4"/>
        <v>30</v>
      </c>
      <c r="C89" t="str">
        <f t="shared" si="5"/>
        <v>OCTUBRE</v>
      </c>
      <c r="D89" s="20">
        <v>45821</v>
      </c>
      <c r="E89" s="20">
        <v>45960</v>
      </c>
      <c r="F89" t="s">
        <v>74</v>
      </c>
      <c r="G89" s="41">
        <v>3336</v>
      </c>
      <c r="H89" t="s">
        <v>1284</v>
      </c>
      <c r="I89" t="s">
        <v>1285</v>
      </c>
      <c r="J89" t="str">
        <f>_xlfn.XLOOKUP($I89,RazónMuerte!$A:$A,RazónMuerte!B:B,"",0)</f>
        <v>Otras / No especificada</v>
      </c>
      <c r="K89">
        <f>_xlfn.XLOOKUP($I89,RazónMuerte!$A:$A,RazónMuerte!C:C,"",0)</f>
        <v>0</v>
      </c>
      <c r="L89" t="str">
        <f>_xlfn.XLOOKUP($I89,RazónMuerte!$A:$A,RazónMuerte!D:D,"",0)</f>
        <v>Fatal injury</v>
      </c>
      <c r="M89" s="34" t="s">
        <v>1532</v>
      </c>
    </row>
    <row r="90" spans="1:13" x14ac:dyDescent="0.25">
      <c r="A90" t="s">
        <v>1060</v>
      </c>
      <c r="B90" t="str">
        <f t="shared" si="4"/>
        <v>23</v>
      </c>
      <c r="C90" t="str">
        <f t="shared" si="5"/>
        <v>JUNIO</v>
      </c>
      <c r="D90" s="20">
        <v>45827</v>
      </c>
      <c r="E90" s="20">
        <v>45831</v>
      </c>
      <c r="F90" t="s">
        <v>1061</v>
      </c>
      <c r="G90" s="41">
        <v>96</v>
      </c>
      <c r="H90" t="s">
        <v>1062</v>
      </c>
      <c r="I90" t="s">
        <v>1063</v>
      </c>
      <c r="J90" t="str">
        <f>_xlfn.XLOOKUP($I90,RazónMuerte!$A:$A,RazónMuerte!B:B,"",0)</f>
        <v>Fractura ósea</v>
      </c>
      <c r="K90" t="str">
        <f>_xlfn.XLOOKUP($I90,RazónMuerte!$A:$A,RazónMuerte!C:C,"",0)</f>
        <v>Rodilla / Carpal</v>
      </c>
      <c r="L90" t="str">
        <f>_xlfn.XLOOKUP($I90,RazónMuerte!$A:$A,RazónMuerte!D:D,"",0)</f>
        <v>Fatal injury</v>
      </c>
      <c r="M90" s="34" t="s">
        <v>1532</v>
      </c>
    </row>
    <row r="91" spans="1:13" x14ac:dyDescent="0.25">
      <c r="A91" t="s">
        <v>1100</v>
      </c>
      <c r="B91" t="str">
        <f t="shared" si="4"/>
        <v>7</v>
      </c>
      <c r="C91" t="str">
        <f t="shared" si="5"/>
        <v>JULIO</v>
      </c>
      <c r="D91" s="20">
        <v>45830</v>
      </c>
      <c r="E91" s="20">
        <v>45845</v>
      </c>
      <c r="F91" t="s">
        <v>840</v>
      </c>
      <c r="G91" s="41">
        <v>360</v>
      </c>
      <c r="H91" t="s">
        <v>1099</v>
      </c>
      <c r="I91" t="s">
        <v>661</v>
      </c>
      <c r="J91" t="str">
        <f>_xlfn.XLOOKUP($I91,RazónMuerte!$A:$A,RazónMuerte!B:B,"",0)</f>
        <v>Fractura ósea</v>
      </c>
      <c r="K91" t="str">
        <f>_xlfn.XLOOKUP($I91,RazónMuerte!$A:$A,RazónMuerte!C:C,"",0)</f>
        <v>Rodilla / Carpal</v>
      </c>
      <c r="L91" t="str">
        <f>_xlfn.XLOOKUP($I91,RazónMuerte!$A:$A,RazónMuerte!D:D,"",0)</f>
        <v>Fatal injury</v>
      </c>
      <c r="M91" s="34" t="s">
        <v>1532</v>
      </c>
    </row>
    <row r="92" spans="1:13" x14ac:dyDescent="0.25">
      <c r="A92" t="s">
        <v>1133</v>
      </c>
      <c r="B92" t="str">
        <f t="shared" si="4"/>
        <v>21</v>
      </c>
      <c r="C92" t="str">
        <f t="shared" si="5"/>
        <v>JULIO</v>
      </c>
      <c r="D92" s="20">
        <v>45830</v>
      </c>
      <c r="E92" s="20">
        <v>45859</v>
      </c>
      <c r="F92" t="s">
        <v>31</v>
      </c>
      <c r="G92" s="41">
        <v>696</v>
      </c>
      <c r="H92" t="s">
        <v>1136</v>
      </c>
      <c r="I92" t="s">
        <v>1034</v>
      </c>
      <c r="J92" t="str">
        <f>_xlfn.XLOOKUP($I92,RazónMuerte!$A:$A,RazónMuerte!B:B,"",0)</f>
        <v>Enfermedad degenerativa articular</v>
      </c>
      <c r="K92">
        <f>_xlfn.XLOOKUP($I92,RazónMuerte!$A:$A,RazónMuerte!C:C,"",0)</f>
        <v>0</v>
      </c>
      <c r="L92" t="str">
        <f>_xlfn.XLOOKUP($I92,RazónMuerte!$A:$A,RazónMuerte!D:D,"",0)</f>
        <v>No fatal injury (chronic/medical)</v>
      </c>
      <c r="M92" s="34" t="s">
        <v>1532</v>
      </c>
    </row>
    <row r="93" spans="1:13" x14ac:dyDescent="0.25">
      <c r="A93" t="s">
        <v>1127</v>
      </c>
      <c r="B93" t="str">
        <f t="shared" si="4"/>
        <v>19</v>
      </c>
      <c r="C93" t="str">
        <f t="shared" si="5"/>
        <v>JULIO</v>
      </c>
      <c r="D93" s="20">
        <v>45834</v>
      </c>
      <c r="E93" s="20">
        <v>45857</v>
      </c>
      <c r="F93" t="s">
        <v>13</v>
      </c>
      <c r="G93" s="41">
        <v>552</v>
      </c>
      <c r="H93" t="s">
        <v>1128</v>
      </c>
      <c r="I93" t="s">
        <v>1129</v>
      </c>
      <c r="J93" t="str">
        <f>_xlfn.XLOOKUP($I93,RazónMuerte!$A:$A,RazónMuerte!B:B,"",0)</f>
        <v>Fractura ósea</v>
      </c>
      <c r="K93" t="str">
        <f>_xlfn.XLOOKUP($I93,RazónMuerte!$A:$A,RazónMuerte!C:C,"",0)</f>
        <v>No especificado</v>
      </c>
      <c r="L93" t="str">
        <f>_xlfn.XLOOKUP($I93,RazónMuerte!$A:$A,RazónMuerte!D:D,"",0)</f>
        <v>Fatal injury</v>
      </c>
      <c r="M93" s="34" t="s">
        <v>1532</v>
      </c>
    </row>
    <row r="94" spans="1:13" x14ac:dyDescent="0.25">
      <c r="A94" t="s">
        <v>1175</v>
      </c>
      <c r="B94" t="str">
        <f t="shared" si="4"/>
        <v>14</v>
      </c>
      <c r="C94" t="str">
        <f t="shared" si="5"/>
        <v>AGOSTO</v>
      </c>
      <c r="D94" s="20">
        <v>45834</v>
      </c>
      <c r="E94" s="20">
        <v>45883</v>
      </c>
      <c r="F94" t="s">
        <v>28</v>
      </c>
      <c r="G94" s="41">
        <v>1176</v>
      </c>
      <c r="H94" t="s">
        <v>1174</v>
      </c>
      <c r="I94" t="s">
        <v>1173</v>
      </c>
      <c r="J94" t="str">
        <f>_xlfn.XLOOKUP($I94,RazónMuerte!$A:$A,RazónMuerte!B:B,"",0)</f>
        <v>Enfermedad degenerativa articular</v>
      </c>
      <c r="K94">
        <f>_xlfn.XLOOKUP($I94,RazónMuerte!$A:$A,RazónMuerte!C:C,"",0)</f>
        <v>0</v>
      </c>
      <c r="L94" t="str">
        <f>_xlfn.XLOOKUP($I94,RazónMuerte!$A:$A,RazónMuerte!D:D,"",0)</f>
        <v>No fatal injury (chronic/medical)</v>
      </c>
      <c r="M94" s="34" t="s">
        <v>1532</v>
      </c>
    </row>
    <row r="95" spans="1:13" x14ac:dyDescent="0.25">
      <c r="A95" t="s">
        <v>1193</v>
      </c>
      <c r="B95" t="str">
        <f t="shared" si="4"/>
        <v>3</v>
      </c>
      <c r="C95" t="str">
        <f t="shared" si="5"/>
        <v>SEPTIEMBRE</v>
      </c>
      <c r="D95" s="20">
        <v>45834</v>
      </c>
      <c r="E95" s="20">
        <v>45903</v>
      </c>
      <c r="F95" t="s">
        <v>97</v>
      </c>
      <c r="G95" s="41">
        <v>1656</v>
      </c>
      <c r="H95" t="s">
        <v>1192</v>
      </c>
      <c r="I95" t="s">
        <v>1191</v>
      </c>
      <c r="J95" t="str">
        <f>_xlfn.XLOOKUP($I95,RazónMuerte!$A:$A,RazónMuerte!B:B,"",0)</f>
        <v>Otras / No especificada</v>
      </c>
      <c r="K95">
        <f>_xlfn.XLOOKUP($I95,RazónMuerte!$A:$A,RazónMuerte!C:C,"",0)</f>
        <v>0</v>
      </c>
      <c r="L95" t="str">
        <f>_xlfn.XLOOKUP($I95,RazónMuerte!$A:$A,RazónMuerte!D:D,"",0)</f>
        <v>No clasificado</v>
      </c>
      <c r="M95" s="34" t="s">
        <v>1532</v>
      </c>
    </row>
    <row r="96" spans="1:13" x14ac:dyDescent="0.25">
      <c r="A96" t="s">
        <v>1119</v>
      </c>
      <c r="B96" t="str">
        <f t="shared" si="4"/>
        <v>16</v>
      </c>
      <c r="C96" t="str">
        <f t="shared" si="5"/>
        <v>JULIO</v>
      </c>
      <c r="D96" s="20">
        <v>45843</v>
      </c>
      <c r="E96" s="20">
        <v>45854</v>
      </c>
      <c r="F96" t="s">
        <v>1120</v>
      </c>
      <c r="G96" s="41">
        <v>264</v>
      </c>
      <c r="H96" t="s">
        <v>1121</v>
      </c>
      <c r="I96" t="s">
        <v>1122</v>
      </c>
      <c r="J96" t="str">
        <f>_xlfn.XLOOKUP($I96,RazónMuerte!$A:$A,RazónMuerte!B:B,"",0)</f>
        <v>Fractura ósea</v>
      </c>
      <c r="K96" t="str">
        <f>_xlfn.XLOOKUP($I96,RazónMuerte!$A:$A,RazónMuerte!C:C,"",0)</f>
        <v>Slab</v>
      </c>
      <c r="L96" t="str">
        <f>_xlfn.XLOOKUP($I96,RazónMuerte!$A:$A,RazónMuerte!D:D,"",0)</f>
        <v>Fatal injury</v>
      </c>
      <c r="M96" s="34" t="s">
        <v>1532</v>
      </c>
    </row>
    <row r="97" spans="1:13" x14ac:dyDescent="0.25">
      <c r="A97" t="s">
        <v>1153</v>
      </c>
      <c r="B97" t="str">
        <f t="shared" si="4"/>
        <v>4</v>
      </c>
      <c r="C97" t="str">
        <f t="shared" si="5"/>
        <v>AGOSTO</v>
      </c>
      <c r="D97" s="20">
        <v>45843</v>
      </c>
      <c r="E97" s="20">
        <v>45873</v>
      </c>
      <c r="F97" t="s">
        <v>72</v>
      </c>
      <c r="G97" s="41">
        <v>720</v>
      </c>
      <c r="H97" t="s">
        <v>1152</v>
      </c>
      <c r="I97" t="s">
        <v>937</v>
      </c>
      <c r="J97" t="str">
        <f>_xlfn.XLOOKUP($I97,RazónMuerte!$A:$A,RazónMuerte!B:B,"",0)</f>
        <v>Fractura ósea</v>
      </c>
      <c r="K97" t="str">
        <f>_xlfn.XLOOKUP($I97,RazónMuerte!$A:$A,RazónMuerte!C:C,"",0)</f>
        <v>Slab</v>
      </c>
      <c r="L97" t="str">
        <f>_xlfn.XLOOKUP($I97,RazónMuerte!$A:$A,RazónMuerte!D:D,"",0)</f>
        <v>Fatal injury</v>
      </c>
      <c r="M97" s="34" t="s">
        <v>1532</v>
      </c>
    </row>
    <row r="98" spans="1:13" x14ac:dyDescent="0.25">
      <c r="A98" t="s">
        <v>1153</v>
      </c>
      <c r="B98" t="str">
        <f t="shared" ref="B98:B129" si="6">LEFT(A98,FIND("-",A98)-1)</f>
        <v>4</v>
      </c>
      <c r="C98" t="str">
        <f t="shared" ref="C98:C129" si="7">MID(A98,FIND("-",A98)+1,FIND("-",A98,FIND("-",A98)+1)-FIND("-",A98)-1)</f>
        <v>AGOSTO</v>
      </c>
      <c r="D98" s="20">
        <v>45843</v>
      </c>
      <c r="E98" s="20">
        <v>45873</v>
      </c>
      <c r="F98" t="s">
        <v>632</v>
      </c>
      <c r="G98" s="41">
        <v>720</v>
      </c>
      <c r="H98" t="s">
        <v>1159</v>
      </c>
      <c r="I98" t="s">
        <v>1158</v>
      </c>
      <c r="J98" t="str">
        <f>_xlfn.XLOOKUP($I98,RazónMuerte!$A:$A,RazónMuerte!B:B,"",0)</f>
        <v>Fractura ósea</v>
      </c>
      <c r="K98" t="str">
        <f>_xlfn.XLOOKUP($I98,RazónMuerte!$A:$A,RazónMuerte!C:C,"",0)</f>
        <v>Sesamoideo</v>
      </c>
      <c r="L98" t="str">
        <f>_xlfn.XLOOKUP($I98,RazónMuerte!$A:$A,RazónMuerte!D:D,"",0)</f>
        <v>Fatal injury</v>
      </c>
      <c r="M98" s="34" t="s">
        <v>1532</v>
      </c>
    </row>
    <row r="99" spans="1:13" x14ac:dyDescent="0.25">
      <c r="A99" t="s">
        <v>1101</v>
      </c>
      <c r="B99" t="str">
        <f t="shared" si="6"/>
        <v>6</v>
      </c>
      <c r="C99" t="str">
        <f t="shared" si="7"/>
        <v>JULIO</v>
      </c>
      <c r="D99" s="20">
        <v>45844</v>
      </c>
      <c r="E99" s="20">
        <v>45844</v>
      </c>
      <c r="F99" t="s">
        <v>1102</v>
      </c>
      <c r="G99" s="41">
        <v>0</v>
      </c>
      <c r="H99" t="s">
        <v>1103</v>
      </c>
      <c r="I99" t="s">
        <v>1104</v>
      </c>
      <c r="J99" t="str">
        <f>_xlfn.XLOOKUP($I99,RazónMuerte!$A:$A,RazónMuerte!B:B,"",0)</f>
        <v>Fractura ósea</v>
      </c>
      <c r="K99" t="str">
        <f>_xlfn.XLOOKUP($I99,RazónMuerte!$A:$A,RazónMuerte!C:C,"",0)</f>
        <v>No especificado</v>
      </c>
      <c r="L99" t="str">
        <f>_xlfn.XLOOKUP($I99,RazónMuerte!$A:$A,RazónMuerte!D:D,"",0)</f>
        <v>Fatal injury</v>
      </c>
      <c r="M99" s="34" t="s">
        <v>1532</v>
      </c>
    </row>
    <row r="100" spans="1:13" x14ac:dyDescent="0.25">
      <c r="A100" t="s">
        <v>1109</v>
      </c>
      <c r="B100" t="str">
        <f t="shared" si="6"/>
        <v>14</v>
      </c>
      <c r="C100" t="str">
        <f t="shared" si="7"/>
        <v>JULIO</v>
      </c>
      <c r="D100" s="20">
        <v>45848</v>
      </c>
      <c r="E100" s="20">
        <v>45852</v>
      </c>
      <c r="F100" t="s">
        <v>96</v>
      </c>
      <c r="G100" s="41">
        <v>96</v>
      </c>
      <c r="H100" t="s">
        <v>1108</v>
      </c>
      <c r="I100" t="s">
        <v>1107</v>
      </c>
      <c r="J100" t="str">
        <f>_xlfn.XLOOKUP($I100,RazónMuerte!$A:$A,RazónMuerte!B:B,"",0)</f>
        <v>Fractura ósea</v>
      </c>
      <c r="K100" t="str">
        <f>_xlfn.XLOOKUP($I100,RazónMuerte!$A:$A,RazónMuerte!C:C,"",0)</f>
        <v>Rodilla / Carpal</v>
      </c>
      <c r="L100" t="str">
        <f>_xlfn.XLOOKUP($I100,RazónMuerte!$A:$A,RazónMuerte!D:D,"",0)</f>
        <v>Fatal injury</v>
      </c>
      <c r="M100" s="34" t="s">
        <v>1532</v>
      </c>
    </row>
    <row r="101" spans="1:13" x14ac:dyDescent="0.25">
      <c r="A101" t="s">
        <v>1176</v>
      </c>
      <c r="B101" t="str">
        <f t="shared" si="6"/>
        <v>18</v>
      </c>
      <c r="C101" t="str">
        <f t="shared" si="7"/>
        <v>AGOSTO</v>
      </c>
      <c r="D101" s="20">
        <v>45848</v>
      </c>
      <c r="E101" s="20">
        <v>45887</v>
      </c>
      <c r="F101" t="s">
        <v>1183</v>
      </c>
      <c r="G101" s="41">
        <v>936</v>
      </c>
      <c r="H101" t="s">
        <v>1182</v>
      </c>
      <c r="I101" t="s">
        <v>1181</v>
      </c>
      <c r="J101" t="str">
        <f>_xlfn.XLOOKUP($I101,RazónMuerte!$A:$A,RazónMuerte!B:B,"",0)</f>
        <v>Fractura ósea</v>
      </c>
      <c r="K101" t="str">
        <f>_xlfn.XLOOKUP($I101,RazónMuerte!$A:$A,RazónMuerte!C:C,"",0)</f>
        <v>Rodilla / Carpal</v>
      </c>
      <c r="L101" t="str">
        <f>_xlfn.XLOOKUP($I101,RazónMuerte!$A:$A,RazónMuerte!D:D,"",0)</f>
        <v>Fatal injury</v>
      </c>
      <c r="M101" s="34" t="s">
        <v>1532</v>
      </c>
    </row>
    <row r="102" spans="1:13" x14ac:dyDescent="0.25">
      <c r="A102" t="s">
        <v>1133</v>
      </c>
      <c r="B102" t="str">
        <f t="shared" si="6"/>
        <v>21</v>
      </c>
      <c r="C102" t="str">
        <f t="shared" si="7"/>
        <v>JULIO</v>
      </c>
      <c r="D102" s="20">
        <v>45855</v>
      </c>
      <c r="E102" s="20">
        <v>45859</v>
      </c>
      <c r="F102" t="s">
        <v>1048</v>
      </c>
      <c r="G102" s="41">
        <v>96</v>
      </c>
      <c r="H102" t="s">
        <v>1134</v>
      </c>
      <c r="I102" t="s">
        <v>1135</v>
      </c>
      <c r="J102" t="str">
        <f>_xlfn.XLOOKUP($I102,RazónMuerte!$A:$A,RazónMuerte!B:B,"",0)</f>
        <v>Fractura ósea</v>
      </c>
      <c r="K102" t="str">
        <f>_xlfn.XLOOKUP($I102,RazónMuerte!$A:$A,RazónMuerte!C:C,"",0)</f>
        <v>Slab</v>
      </c>
      <c r="L102" t="str">
        <f>_xlfn.XLOOKUP($I102,RazónMuerte!$A:$A,RazónMuerte!D:D,"",0)</f>
        <v>Fatal injury</v>
      </c>
      <c r="M102" s="34" t="s">
        <v>1532</v>
      </c>
    </row>
    <row r="103" spans="1:13" x14ac:dyDescent="0.25">
      <c r="A103" t="s">
        <v>1164</v>
      </c>
      <c r="B103" t="str">
        <f t="shared" si="6"/>
        <v>11</v>
      </c>
      <c r="C103" t="str">
        <f t="shared" si="7"/>
        <v>AGOSTO</v>
      </c>
      <c r="D103" s="20">
        <v>45855</v>
      </c>
      <c r="E103" s="20">
        <v>45880</v>
      </c>
      <c r="F103" t="s">
        <v>1165</v>
      </c>
      <c r="G103" s="41">
        <v>600</v>
      </c>
      <c r="H103" t="s">
        <v>1166</v>
      </c>
      <c r="I103" t="s">
        <v>255</v>
      </c>
      <c r="J103" t="str">
        <f>_xlfn.XLOOKUP($I103,RazónMuerte!$A:$A,RazónMuerte!B:B,"",0)</f>
        <v>Fractura ósea</v>
      </c>
      <c r="K103" t="str">
        <f>_xlfn.XLOOKUP($I103,RazónMuerte!$A:$A,RazónMuerte!C:C,"",0)</f>
        <v>Rodilla / Carpal</v>
      </c>
      <c r="L103" t="str">
        <f>_xlfn.XLOOKUP($I103,RazónMuerte!$A:$A,RazónMuerte!D:D,"",0)</f>
        <v>Fatal injury</v>
      </c>
      <c r="M103" s="34" t="s">
        <v>1532</v>
      </c>
    </row>
    <row r="104" spans="1:13" x14ac:dyDescent="0.25">
      <c r="A104" t="s">
        <v>1133</v>
      </c>
      <c r="B104" t="str">
        <f t="shared" si="6"/>
        <v>21</v>
      </c>
      <c r="C104" t="str">
        <f t="shared" si="7"/>
        <v>JULIO</v>
      </c>
      <c r="D104" s="20">
        <v>45856</v>
      </c>
      <c r="E104" s="20">
        <v>45859</v>
      </c>
      <c r="F104" t="s">
        <v>1132</v>
      </c>
      <c r="G104" s="41">
        <v>72</v>
      </c>
      <c r="H104" t="s">
        <v>1131</v>
      </c>
      <c r="I104" t="s">
        <v>1130</v>
      </c>
      <c r="J104" t="str">
        <f>_xlfn.XLOOKUP($I104,RazónMuerte!$A:$A,RazónMuerte!B:B,"",0)</f>
        <v>Otras / No especificada</v>
      </c>
      <c r="K104">
        <f>_xlfn.XLOOKUP($I104,RazónMuerte!$A:$A,RazónMuerte!C:C,"",0)</f>
        <v>0</v>
      </c>
      <c r="L104" t="str">
        <f>_xlfn.XLOOKUP($I104,RazónMuerte!$A:$A,RazónMuerte!D:D,"",0)</f>
        <v>No clasificado</v>
      </c>
      <c r="M104" s="34" t="s">
        <v>1532</v>
      </c>
    </row>
    <row r="105" spans="1:13" x14ac:dyDescent="0.25">
      <c r="A105" t="s">
        <v>1137</v>
      </c>
      <c r="B105" t="str">
        <f t="shared" si="6"/>
        <v>23</v>
      </c>
      <c r="C105" t="str">
        <f t="shared" si="7"/>
        <v>JULIO</v>
      </c>
      <c r="D105" s="20">
        <v>45858</v>
      </c>
      <c r="E105" s="20">
        <v>45861</v>
      </c>
      <c r="F105" t="s">
        <v>1138</v>
      </c>
      <c r="G105" s="41">
        <v>72</v>
      </c>
      <c r="H105" t="s">
        <v>1139</v>
      </c>
      <c r="I105" t="s">
        <v>255</v>
      </c>
      <c r="J105" t="str">
        <f>_xlfn.XLOOKUP($I105,RazónMuerte!$A:$A,RazónMuerte!B:B,"",0)</f>
        <v>Fractura ósea</v>
      </c>
      <c r="K105" t="str">
        <f>_xlfn.XLOOKUP($I105,RazónMuerte!$A:$A,RazónMuerte!C:C,"",0)</f>
        <v>Rodilla / Carpal</v>
      </c>
      <c r="L105" t="str">
        <f>_xlfn.XLOOKUP($I105,RazónMuerte!$A:$A,RazónMuerte!D:D,"",0)</f>
        <v>Fatal injury</v>
      </c>
      <c r="M105" s="34" t="s">
        <v>1532</v>
      </c>
    </row>
    <row r="106" spans="1:13" s="30" customFormat="1" x14ac:dyDescent="0.25">
      <c r="A106" t="s">
        <v>1154</v>
      </c>
      <c r="B106" t="str">
        <f t="shared" si="6"/>
        <v>31</v>
      </c>
      <c r="C106" t="str">
        <f t="shared" si="7"/>
        <v>JULIO</v>
      </c>
      <c r="D106" s="20">
        <v>45864</v>
      </c>
      <c r="E106" s="20">
        <v>45869</v>
      </c>
      <c r="F106" t="s">
        <v>79</v>
      </c>
      <c r="G106" s="41">
        <v>120</v>
      </c>
      <c r="H106" t="s">
        <v>1155</v>
      </c>
      <c r="I106" t="s">
        <v>1024</v>
      </c>
      <c r="J106" t="str">
        <f>_xlfn.XLOOKUP($I106,RazónMuerte!$A:$A,RazónMuerte!B:B,"",0)</f>
        <v>Fractura ósea</v>
      </c>
      <c r="K106" t="str">
        <f>_xlfn.XLOOKUP($I106,RazónMuerte!$A:$A,RazónMuerte!C:C,"",0)</f>
        <v>Slab</v>
      </c>
      <c r="L106" t="str">
        <f>_xlfn.XLOOKUP($I106,RazónMuerte!$A:$A,RazónMuerte!D:D,"",0)</f>
        <v>Fatal injury</v>
      </c>
      <c r="M106" s="34" t="s">
        <v>1532</v>
      </c>
    </row>
    <row r="107" spans="1:13" x14ac:dyDescent="0.25">
      <c r="A107" t="s">
        <v>1176</v>
      </c>
      <c r="B107" t="str">
        <f t="shared" si="6"/>
        <v>18</v>
      </c>
      <c r="C107" t="str">
        <f t="shared" si="7"/>
        <v>AGOSTO</v>
      </c>
      <c r="D107" s="20">
        <v>45865</v>
      </c>
      <c r="E107" s="20">
        <v>45887</v>
      </c>
      <c r="F107" t="s">
        <v>10</v>
      </c>
      <c r="G107" s="41">
        <v>528</v>
      </c>
      <c r="H107" t="s">
        <v>1179</v>
      </c>
      <c r="I107" t="s">
        <v>1180</v>
      </c>
      <c r="J107" t="str">
        <f>_xlfn.XLOOKUP($I107,RazónMuerte!$A:$A,RazónMuerte!B:B,"",0)</f>
        <v>Otras / No especificada</v>
      </c>
      <c r="K107">
        <f>_xlfn.XLOOKUP($I107,RazónMuerte!$A:$A,RazónMuerte!C:C,"",0)</f>
        <v>0</v>
      </c>
      <c r="L107" t="str">
        <f>_xlfn.XLOOKUP($I107,RazónMuerte!$A:$A,RazónMuerte!D:D,"",0)</f>
        <v>No clasificado</v>
      </c>
      <c r="M107" s="34" t="s">
        <v>1532</v>
      </c>
    </row>
    <row r="108" spans="1:13" x14ac:dyDescent="0.25">
      <c r="A108" t="s">
        <v>1149</v>
      </c>
      <c r="B108" t="str">
        <f t="shared" si="6"/>
        <v>1</v>
      </c>
      <c r="C108" t="str">
        <f t="shared" si="7"/>
        <v>AGOSTO</v>
      </c>
      <c r="D108" s="20">
        <v>45870</v>
      </c>
      <c r="E108" s="20">
        <v>45870</v>
      </c>
      <c r="F108" t="s">
        <v>39</v>
      </c>
      <c r="G108" s="41">
        <v>0</v>
      </c>
      <c r="H108" t="s">
        <v>1156</v>
      </c>
      <c r="I108" t="s">
        <v>1157</v>
      </c>
      <c r="J108" t="str">
        <f>_xlfn.XLOOKUP($I108,RazónMuerte!$A:$A,RazónMuerte!B:B,"",0)</f>
        <v>Otras / No especificada</v>
      </c>
      <c r="K108">
        <f>_xlfn.XLOOKUP($I108,RazónMuerte!$A:$A,RazónMuerte!C:C,"",0)</f>
        <v>0</v>
      </c>
      <c r="L108" t="str">
        <f>_xlfn.XLOOKUP($I108,RazónMuerte!$A:$A,RazónMuerte!D:D,"",0)</f>
        <v>No clasificado</v>
      </c>
      <c r="M108" s="34" t="s">
        <v>1532</v>
      </c>
    </row>
    <row r="109" spans="1:13" x14ac:dyDescent="0.25">
      <c r="A109" t="s">
        <v>1163</v>
      </c>
      <c r="B109" t="str">
        <f t="shared" si="6"/>
        <v>3</v>
      </c>
      <c r="C109" t="str">
        <f t="shared" si="7"/>
        <v>AGOSTO</v>
      </c>
      <c r="D109" s="20">
        <v>45872</v>
      </c>
      <c r="E109" s="20">
        <v>45872</v>
      </c>
      <c r="F109" t="s">
        <v>876</v>
      </c>
      <c r="G109" s="41">
        <v>0</v>
      </c>
      <c r="H109" t="s">
        <v>1162</v>
      </c>
      <c r="I109" t="s">
        <v>1161</v>
      </c>
      <c r="J109" t="str">
        <f>_xlfn.XLOOKUP($I109,RazónMuerte!$A:$A,RazónMuerte!B:B,"",0)</f>
        <v>Fractura ósea</v>
      </c>
      <c r="K109" t="str">
        <f>_xlfn.XLOOKUP($I109,RazónMuerte!$A:$A,RazónMuerte!C:C,"",0)</f>
        <v>Rodilla / Carpal</v>
      </c>
      <c r="L109" t="str">
        <f>_xlfn.XLOOKUP($I109,RazónMuerte!$A:$A,RazónMuerte!D:D,"",0)</f>
        <v>Fatal injury</v>
      </c>
      <c r="M109" s="34" t="s">
        <v>1532</v>
      </c>
    </row>
    <row r="110" spans="1:13" x14ac:dyDescent="0.25">
      <c r="A110" t="s">
        <v>1163</v>
      </c>
      <c r="B110" t="str">
        <f t="shared" si="6"/>
        <v>3</v>
      </c>
      <c r="C110" t="str">
        <f t="shared" si="7"/>
        <v>AGOSTO</v>
      </c>
      <c r="D110" s="20">
        <v>45872</v>
      </c>
      <c r="E110" s="20">
        <v>45872</v>
      </c>
      <c r="F110" t="s">
        <v>1199</v>
      </c>
      <c r="G110" s="41">
        <v>0</v>
      </c>
      <c r="H110" t="s">
        <v>1200</v>
      </c>
      <c r="J110">
        <f>_xlfn.XLOOKUP($I110,RazónMuerte!$A:$A,RazónMuerte!B:B,"",0)</f>
        <v>0</v>
      </c>
      <c r="K110">
        <f>_xlfn.XLOOKUP($I110,RazónMuerte!$A:$A,RazónMuerte!C:C,"",0)</f>
        <v>0</v>
      </c>
      <c r="L110">
        <f>_xlfn.XLOOKUP($I110,RazónMuerte!$A:$A,RazónMuerte!D:D,"",0)</f>
        <v>0</v>
      </c>
      <c r="M110" s="34" t="s">
        <v>1532</v>
      </c>
    </row>
    <row r="111" spans="1:13" x14ac:dyDescent="0.25">
      <c r="A111" t="s">
        <v>1286</v>
      </c>
      <c r="B111" t="str">
        <f t="shared" si="6"/>
        <v>1</v>
      </c>
      <c r="C111" t="str">
        <f t="shared" si="7"/>
        <v>OCTUBRE</v>
      </c>
      <c r="D111" s="20">
        <v>45872</v>
      </c>
      <c r="E111" s="20">
        <v>45931</v>
      </c>
      <c r="F111" t="s">
        <v>12</v>
      </c>
      <c r="G111" s="41">
        <v>1416</v>
      </c>
      <c r="H111" t="s">
        <v>1287</v>
      </c>
      <c r="I111" t="s">
        <v>1295</v>
      </c>
      <c r="J111" t="str">
        <f>_xlfn.XLOOKUP($I111,RazónMuerte!$A:$A,RazónMuerte!B:B,"",0)</f>
        <v>Enfermedad degenerativa articular</v>
      </c>
      <c r="K111">
        <f>_xlfn.XLOOKUP($I111,RazónMuerte!$A:$A,RazónMuerte!C:C,"",0)</f>
        <v>0</v>
      </c>
      <c r="L111" t="str">
        <f>_xlfn.XLOOKUP($I111,RazónMuerte!$A:$A,RazónMuerte!D:D,"",0)</f>
        <v>No fatal injury (chronic/medical)</v>
      </c>
      <c r="M111" s="34" t="s">
        <v>1532</v>
      </c>
    </row>
    <row r="112" spans="1:13" x14ac:dyDescent="0.25">
      <c r="A112" t="s">
        <v>1229</v>
      </c>
      <c r="B112" t="str">
        <f t="shared" si="6"/>
        <v>26</v>
      </c>
      <c r="C112" t="str">
        <f t="shared" si="7"/>
        <v>SEPTIEMBRE</v>
      </c>
      <c r="D112" s="20">
        <v>45876</v>
      </c>
      <c r="E112" s="20">
        <v>45926</v>
      </c>
      <c r="F112" t="s">
        <v>106</v>
      </c>
      <c r="G112" s="41">
        <v>1200</v>
      </c>
      <c r="H112" t="s">
        <v>1230</v>
      </c>
      <c r="I112" t="s">
        <v>1232</v>
      </c>
      <c r="J112" t="str">
        <f>_xlfn.XLOOKUP($I112,RazónMuerte!$A:$A,RazónMuerte!B:B,"",0)</f>
        <v>Lesión de ligamentos/tendones</v>
      </c>
      <c r="K112">
        <f>_xlfn.XLOOKUP($I112,RazónMuerte!$A:$A,RazónMuerte!C:C,"",0)</f>
        <v>0</v>
      </c>
      <c r="L112" t="str">
        <f>_xlfn.XLOOKUP($I112,RazónMuerte!$A:$A,RazónMuerte!D:D,"",0)</f>
        <v>No fatal injury (chronic/medical)</v>
      </c>
      <c r="M112" s="34" t="s">
        <v>1532</v>
      </c>
    </row>
    <row r="113" spans="1:13" x14ac:dyDescent="0.25">
      <c r="A113" t="s">
        <v>1201</v>
      </c>
      <c r="B113" t="str">
        <f t="shared" si="6"/>
        <v>25</v>
      </c>
      <c r="C113" t="str">
        <f t="shared" si="7"/>
        <v>AGOSTO</v>
      </c>
      <c r="D113" s="20">
        <v>45877</v>
      </c>
      <c r="E113" s="20">
        <v>45894</v>
      </c>
      <c r="F113" t="s">
        <v>1202</v>
      </c>
      <c r="G113" s="41">
        <v>408</v>
      </c>
      <c r="H113" t="s">
        <v>1203</v>
      </c>
      <c r="I113" t="s">
        <v>1211</v>
      </c>
      <c r="J113" t="str">
        <f>_xlfn.XLOOKUP($I113,RazónMuerte!$A:$A,RazónMuerte!B:B,"",0)</f>
        <v>Otras / No especificada</v>
      </c>
      <c r="K113">
        <f>_xlfn.XLOOKUP($I113,RazónMuerte!$A:$A,RazónMuerte!C:C,"",0)</f>
        <v>0</v>
      </c>
      <c r="L113" t="str">
        <f>_xlfn.XLOOKUP($I113,RazónMuerte!$A:$A,RazónMuerte!D:D,"",0)</f>
        <v>No clasificado</v>
      </c>
      <c r="M113" s="34" t="s">
        <v>1532</v>
      </c>
    </row>
    <row r="114" spans="1:13" x14ac:dyDescent="0.25">
      <c r="A114" t="s">
        <v>1217</v>
      </c>
      <c r="B114" t="str">
        <f t="shared" si="6"/>
        <v>19</v>
      </c>
      <c r="C114" t="str">
        <f t="shared" si="7"/>
        <v>SEPTIEMBRE</v>
      </c>
      <c r="D114" s="20">
        <v>45877</v>
      </c>
      <c r="E114" s="20">
        <v>45919</v>
      </c>
      <c r="F114" t="s">
        <v>1218</v>
      </c>
      <c r="G114" s="41">
        <v>1008</v>
      </c>
      <c r="H114" t="s">
        <v>1219</v>
      </c>
      <c r="I114" t="s">
        <v>103</v>
      </c>
      <c r="J114" t="str">
        <f>_xlfn.XLOOKUP($I114,RazónMuerte!$A:$A,RazónMuerte!B:B,"",0)</f>
        <v>Fractura ósea</v>
      </c>
      <c r="K114" t="str">
        <f>_xlfn.XLOOKUP($I114,RazónMuerte!$A:$A,RazónMuerte!C:C,"",0)</f>
        <v>Sesamoideo</v>
      </c>
      <c r="L114" t="str">
        <f>_xlfn.XLOOKUP($I114,RazónMuerte!$A:$A,RazónMuerte!D:D,"",0)</f>
        <v>Fatal injury</v>
      </c>
      <c r="M114" s="34" t="s">
        <v>1532</v>
      </c>
    </row>
    <row r="115" spans="1:13" x14ac:dyDescent="0.25">
      <c r="A115" t="s">
        <v>1167</v>
      </c>
      <c r="B115" t="str">
        <f t="shared" si="6"/>
        <v>9</v>
      </c>
      <c r="C115" t="str">
        <f t="shared" si="7"/>
        <v>AGOSTO</v>
      </c>
      <c r="D115" s="27">
        <v>45878</v>
      </c>
      <c r="E115" s="20">
        <v>45878</v>
      </c>
      <c r="F115" t="s">
        <v>11</v>
      </c>
      <c r="G115" s="41">
        <v>0</v>
      </c>
      <c r="H115" t="s">
        <v>1177</v>
      </c>
      <c r="I115" t="s">
        <v>1178</v>
      </c>
      <c r="J115" t="str">
        <f>_xlfn.XLOOKUP($I115,RazónMuerte!$A:$A,RazónMuerte!B:B,"",0)</f>
        <v>Otras / No especificada</v>
      </c>
      <c r="K115">
        <f>_xlfn.XLOOKUP($I115,RazónMuerte!$A:$A,RazónMuerte!C:C,"",0)</f>
        <v>0</v>
      </c>
      <c r="L115" t="str">
        <f>_xlfn.XLOOKUP($I115,RazónMuerte!$A:$A,RazónMuerte!D:D,"",0)</f>
        <v>No clasificado</v>
      </c>
      <c r="M115" s="34" t="s">
        <v>1532</v>
      </c>
    </row>
    <row r="116" spans="1:13" x14ac:dyDescent="0.25">
      <c r="A116" t="s">
        <v>1184</v>
      </c>
      <c r="B116" t="str">
        <f t="shared" si="6"/>
        <v>20</v>
      </c>
      <c r="C116" t="str">
        <f t="shared" si="7"/>
        <v>AGOSTO</v>
      </c>
      <c r="D116" s="20">
        <v>45878</v>
      </c>
      <c r="E116" s="20">
        <v>45889</v>
      </c>
      <c r="F116" t="s">
        <v>1185</v>
      </c>
      <c r="G116" s="41">
        <v>264</v>
      </c>
      <c r="H116" t="s">
        <v>1186</v>
      </c>
      <c r="I116" t="s">
        <v>1187</v>
      </c>
      <c r="J116" t="str">
        <f>_xlfn.XLOOKUP($I116,RazónMuerte!$A:$A,RazónMuerte!B:B,"",0)</f>
        <v>Enfermedad degenerativa articular</v>
      </c>
      <c r="K116">
        <f>_xlfn.XLOOKUP($I116,RazónMuerte!$A:$A,RazónMuerte!C:C,"",0)</f>
        <v>0</v>
      </c>
      <c r="L116" t="str">
        <f>_xlfn.XLOOKUP($I116,RazónMuerte!$A:$A,RazónMuerte!D:D,"",0)</f>
        <v>No fatal injury (chronic/medical)</v>
      </c>
      <c r="M116" s="34" t="s">
        <v>1532</v>
      </c>
    </row>
    <row r="117" spans="1:13" x14ac:dyDescent="0.25">
      <c r="A117" t="s">
        <v>1222</v>
      </c>
      <c r="B117" t="str">
        <f t="shared" si="6"/>
        <v>24</v>
      </c>
      <c r="C117" t="str">
        <f t="shared" si="7"/>
        <v>SEPTIEMBRE</v>
      </c>
      <c r="D117" s="20">
        <v>45879</v>
      </c>
      <c r="E117" s="20">
        <v>45924</v>
      </c>
      <c r="F117" t="s">
        <v>30</v>
      </c>
      <c r="G117" s="41">
        <v>1080</v>
      </c>
      <c r="H117" t="s">
        <v>1223</v>
      </c>
      <c r="I117" t="s">
        <v>1224</v>
      </c>
      <c r="J117" t="str">
        <f>_xlfn.XLOOKUP($I117,RazónMuerte!$A:$A,RazónMuerte!B:B,"",0)</f>
        <v>Enfermedad degenerativa articular</v>
      </c>
      <c r="K117">
        <f>_xlfn.XLOOKUP($I117,RazónMuerte!$A:$A,RazónMuerte!C:C,"",0)</f>
        <v>0</v>
      </c>
      <c r="L117" t="str">
        <f>_xlfn.XLOOKUP($I117,RazónMuerte!$A:$A,RazónMuerte!D:D,"",0)</f>
        <v>No fatal injury (chronic/medical)</v>
      </c>
      <c r="M117" s="34" t="s">
        <v>1532</v>
      </c>
    </row>
    <row r="118" spans="1:13" x14ac:dyDescent="0.25">
      <c r="A118" t="s">
        <v>1269</v>
      </c>
      <c r="B118" t="str">
        <f t="shared" si="6"/>
        <v>21</v>
      </c>
      <c r="C118" t="str">
        <f t="shared" si="7"/>
        <v>OCTUBRE</v>
      </c>
      <c r="D118" s="20">
        <v>45883</v>
      </c>
      <c r="E118" s="20">
        <v>45951</v>
      </c>
      <c r="F118" t="s">
        <v>1125</v>
      </c>
      <c r="G118" s="41">
        <v>1632</v>
      </c>
      <c r="H118" t="s">
        <v>1270</v>
      </c>
      <c r="I118" t="s">
        <v>1271</v>
      </c>
      <c r="J118" t="str">
        <f>_xlfn.XLOOKUP($I118,RazónMuerte!$A:$A,RazónMuerte!B:B,"",0)</f>
        <v>Fractura ósea</v>
      </c>
      <c r="K118" t="str">
        <f>_xlfn.XLOOKUP($I118,RazónMuerte!$A:$A,RazónMuerte!C:C,"",0)</f>
        <v>Slab</v>
      </c>
      <c r="L118" t="str">
        <f>_xlfn.XLOOKUP($I118,RazónMuerte!$A:$A,RazónMuerte!D:D,"",0)</f>
        <v>Fatal injury</v>
      </c>
      <c r="M118" s="34" t="s">
        <v>1532</v>
      </c>
    </row>
    <row r="119" spans="1:13" x14ac:dyDescent="0.25">
      <c r="A119" t="s">
        <v>1194</v>
      </c>
      <c r="B119" t="str">
        <f t="shared" si="6"/>
        <v>4</v>
      </c>
      <c r="C119" t="str">
        <f t="shared" si="7"/>
        <v>SEPTIEMBRE</v>
      </c>
      <c r="D119" s="20">
        <v>45884</v>
      </c>
      <c r="E119" s="20">
        <v>45904</v>
      </c>
      <c r="F119" t="s">
        <v>218</v>
      </c>
      <c r="G119" s="41">
        <v>480</v>
      </c>
      <c r="H119" t="s">
        <v>1195</v>
      </c>
      <c r="I119" t="s">
        <v>255</v>
      </c>
      <c r="J119" t="str">
        <f>_xlfn.XLOOKUP($I119,RazónMuerte!$A:$A,RazónMuerte!B:B,"",0)</f>
        <v>Fractura ósea</v>
      </c>
      <c r="K119" t="str">
        <f>_xlfn.XLOOKUP($I119,RazónMuerte!$A:$A,RazónMuerte!C:C,"",0)</f>
        <v>Rodilla / Carpal</v>
      </c>
      <c r="L119" t="str">
        <f>_xlfn.XLOOKUP($I119,RazónMuerte!$A:$A,RazónMuerte!D:D,"",0)</f>
        <v>Fatal injury</v>
      </c>
      <c r="M119" s="34" t="s">
        <v>1532</v>
      </c>
    </row>
    <row r="120" spans="1:13" x14ac:dyDescent="0.25">
      <c r="A120" t="s">
        <v>1264</v>
      </c>
      <c r="B120" t="str">
        <f t="shared" si="6"/>
        <v>15</v>
      </c>
      <c r="C120" t="str">
        <f t="shared" si="7"/>
        <v>OCTUBRE</v>
      </c>
      <c r="D120" s="20">
        <v>45884</v>
      </c>
      <c r="E120" s="20">
        <v>45945</v>
      </c>
      <c r="F120" t="s">
        <v>895</v>
      </c>
      <c r="G120" s="41">
        <v>1464</v>
      </c>
      <c r="H120" t="s">
        <v>1265</v>
      </c>
      <c r="I120" t="s">
        <v>255</v>
      </c>
      <c r="J120" t="str">
        <f>_xlfn.XLOOKUP($I120,RazónMuerte!$A:$A,RazónMuerte!B:B,"",0)</f>
        <v>Fractura ósea</v>
      </c>
      <c r="K120" t="str">
        <f>_xlfn.XLOOKUP($I120,RazónMuerte!$A:$A,RazónMuerte!C:C,"",0)</f>
        <v>Rodilla / Carpal</v>
      </c>
      <c r="L120" t="str">
        <f>_xlfn.XLOOKUP($I120,RazónMuerte!$A:$A,RazónMuerte!D:D,"",0)</f>
        <v>Fatal injury</v>
      </c>
      <c r="M120" s="34" t="s">
        <v>1532</v>
      </c>
    </row>
    <row r="121" spans="1:13" x14ac:dyDescent="0.25">
      <c r="A121" t="s">
        <v>1193</v>
      </c>
      <c r="B121" t="str">
        <f t="shared" si="6"/>
        <v>3</v>
      </c>
      <c r="C121" t="str">
        <f t="shared" si="7"/>
        <v>SEPTIEMBRE</v>
      </c>
      <c r="D121" s="20">
        <v>45885</v>
      </c>
      <c r="E121" s="20">
        <v>45903</v>
      </c>
      <c r="F121" t="s">
        <v>1207</v>
      </c>
      <c r="G121" s="41">
        <v>432</v>
      </c>
      <c r="H121" t="s">
        <v>1208</v>
      </c>
      <c r="I121" t="s">
        <v>1213</v>
      </c>
      <c r="J121" t="str">
        <f>_xlfn.XLOOKUP($I121,RazónMuerte!$A:$A,RazónMuerte!B:B,"",0)</f>
        <v>Otras / No especificada</v>
      </c>
      <c r="K121">
        <f>_xlfn.XLOOKUP($I121,RazónMuerte!$A:$A,RazónMuerte!C:C,"",0)</f>
        <v>0</v>
      </c>
      <c r="L121" t="str">
        <f>_xlfn.XLOOKUP($I121,RazónMuerte!$A:$A,RazónMuerte!D:D,"",0)</f>
        <v>No clasificado</v>
      </c>
      <c r="M121" s="34" t="s">
        <v>1532</v>
      </c>
    </row>
    <row r="122" spans="1:13" x14ac:dyDescent="0.25">
      <c r="A122" t="s">
        <v>1272</v>
      </c>
      <c r="B122" t="str">
        <f t="shared" si="6"/>
        <v>24</v>
      </c>
      <c r="C122" t="str">
        <f t="shared" si="7"/>
        <v>OCTUBRE</v>
      </c>
      <c r="D122" s="20">
        <v>45886</v>
      </c>
      <c r="E122" s="20">
        <v>45954</v>
      </c>
      <c r="F122" t="s">
        <v>1277</v>
      </c>
      <c r="G122" s="41">
        <v>1632</v>
      </c>
      <c r="H122" t="s">
        <v>1276</v>
      </c>
      <c r="I122" t="s">
        <v>1275</v>
      </c>
      <c r="J122" t="str">
        <f>_xlfn.XLOOKUP($I122,RazónMuerte!$A:$A,RazónMuerte!B:B,"",0)</f>
        <v>Fractura ósea</v>
      </c>
      <c r="K122" t="str">
        <f>_xlfn.XLOOKUP($I122,RazónMuerte!$A:$A,RazónMuerte!C:C,"",0)</f>
        <v>Rodilla / Carpal</v>
      </c>
      <c r="L122" t="str">
        <f>_xlfn.XLOOKUP($I122,RazónMuerte!$A:$A,RazónMuerte!D:D,"",0)</f>
        <v>Fatal injury</v>
      </c>
      <c r="M122" s="34" t="s">
        <v>1532</v>
      </c>
    </row>
    <row r="123" spans="1:13" x14ac:dyDescent="0.25">
      <c r="A123" t="s">
        <v>1188</v>
      </c>
      <c r="B123" t="str">
        <f t="shared" si="6"/>
        <v>24</v>
      </c>
      <c r="C123" t="str">
        <f t="shared" si="7"/>
        <v>AGOSTO</v>
      </c>
      <c r="D123" s="20">
        <v>45893</v>
      </c>
      <c r="E123" s="20">
        <v>45893</v>
      </c>
      <c r="F123" t="s">
        <v>837</v>
      </c>
      <c r="G123" s="41">
        <v>0</v>
      </c>
      <c r="H123" t="s">
        <v>1189</v>
      </c>
      <c r="I123" t="s">
        <v>1190</v>
      </c>
      <c r="J123" t="str">
        <f>_xlfn.XLOOKUP($I123,RazónMuerte!$A:$A,RazónMuerte!B:B,"",0)</f>
        <v>Fractura ósea</v>
      </c>
      <c r="K123" t="str">
        <f>_xlfn.XLOOKUP($I123,RazónMuerte!$A:$A,RazónMuerte!C:C,"",0)</f>
        <v>Caña / Cannon bone</v>
      </c>
      <c r="L123" t="str">
        <f>_xlfn.XLOOKUP($I123,RazónMuerte!$A:$A,RazónMuerte!D:D,"",0)</f>
        <v>Fatal injury</v>
      </c>
      <c r="M123" s="34" t="s">
        <v>1532</v>
      </c>
    </row>
    <row r="124" spans="1:13" x14ac:dyDescent="0.25">
      <c r="A124" t="s">
        <v>1204</v>
      </c>
      <c r="B124" t="str">
        <f t="shared" si="6"/>
        <v>28</v>
      </c>
      <c r="C124" t="str">
        <f t="shared" si="7"/>
        <v>AGOSTO</v>
      </c>
      <c r="D124" s="20">
        <v>45897</v>
      </c>
      <c r="E124" s="20">
        <v>45897</v>
      </c>
      <c r="F124" t="s">
        <v>1205</v>
      </c>
      <c r="G124" s="41">
        <v>0</v>
      </c>
      <c r="H124" t="s">
        <v>1206</v>
      </c>
      <c r="I124" t="s">
        <v>1212</v>
      </c>
      <c r="J124" t="str">
        <f>_xlfn.XLOOKUP($I124,RazónMuerte!$A:$A,RazónMuerte!B:B,"",0)</f>
        <v>Otras / No especificada</v>
      </c>
      <c r="K124">
        <f>_xlfn.XLOOKUP($I124,RazónMuerte!$A:$A,RazónMuerte!C:C,"",0)</f>
        <v>0</v>
      </c>
      <c r="L124" t="str">
        <f>_xlfn.XLOOKUP($I124,RazónMuerte!$A:$A,RazónMuerte!D:D,"",0)</f>
        <v>Fatal injury</v>
      </c>
      <c r="M124" s="34" t="s">
        <v>1532</v>
      </c>
    </row>
    <row r="125" spans="1:13" x14ac:dyDescent="0.25">
      <c r="A125" t="s">
        <v>1350</v>
      </c>
      <c r="B125" t="str">
        <f t="shared" si="6"/>
        <v>9</v>
      </c>
      <c r="C125" t="str">
        <f t="shared" si="7"/>
        <v>DICIEMBRE</v>
      </c>
      <c r="D125" s="20">
        <v>45897</v>
      </c>
      <c r="E125" s="20">
        <v>46000</v>
      </c>
      <c r="F125" t="s">
        <v>1277</v>
      </c>
      <c r="G125" s="41">
        <v>2472</v>
      </c>
      <c r="H125" t="s">
        <v>1348</v>
      </c>
      <c r="I125" t="s">
        <v>1349</v>
      </c>
      <c r="J125" t="str">
        <f>_xlfn.XLOOKUP($I125,RazónMuerte!$A:$A,RazónMuerte!B:B,"",0)</f>
        <v>Fractura ósea</v>
      </c>
      <c r="K125" t="str">
        <f>_xlfn.XLOOKUP($I125,RazónMuerte!$A:$A,RazónMuerte!C:C,"",0)</f>
        <v>Rodilla / Carpal</v>
      </c>
      <c r="L125" t="str">
        <f>_xlfn.XLOOKUP($I125,RazónMuerte!$A:$A,RazónMuerte!D:D,"",0)</f>
        <v>Fatal injury</v>
      </c>
      <c r="M125" s="34" t="s">
        <v>1532</v>
      </c>
    </row>
    <row r="126" spans="1:13" x14ac:dyDescent="0.25">
      <c r="A126" t="s">
        <v>1247</v>
      </c>
      <c r="B126" t="str">
        <f t="shared" si="6"/>
        <v>3</v>
      </c>
      <c r="C126" t="str">
        <f t="shared" si="7"/>
        <v>OCTUBRE</v>
      </c>
      <c r="D126" s="20">
        <v>45898</v>
      </c>
      <c r="E126" s="20">
        <v>45933</v>
      </c>
      <c r="F126" t="s">
        <v>106</v>
      </c>
      <c r="G126" s="41">
        <v>840</v>
      </c>
      <c r="H126" t="s">
        <v>1246</v>
      </c>
      <c r="I126" t="s">
        <v>57</v>
      </c>
      <c r="J126" t="str">
        <f>_xlfn.XLOOKUP($I126,RazónMuerte!$A:$A,RazónMuerte!B:B,"",0)</f>
        <v>Otras / No especificada</v>
      </c>
      <c r="K126">
        <f>_xlfn.XLOOKUP($I126,RazónMuerte!$A:$A,RazónMuerte!C:C,"",0)</f>
        <v>0</v>
      </c>
      <c r="L126" t="str">
        <f>_xlfn.XLOOKUP($I126,RazónMuerte!$A:$A,RazónMuerte!D:D,"",0)</f>
        <v>No clasificado</v>
      </c>
      <c r="M126" s="34" t="s">
        <v>1532</v>
      </c>
    </row>
    <row r="127" spans="1:13" x14ac:dyDescent="0.25">
      <c r="A127" t="s">
        <v>1233</v>
      </c>
      <c r="B127" t="str">
        <f t="shared" si="6"/>
        <v>29</v>
      </c>
      <c r="C127" t="str">
        <f t="shared" si="7"/>
        <v>SEPTIEMBRE</v>
      </c>
      <c r="D127" s="20">
        <v>45900</v>
      </c>
      <c r="E127" s="20">
        <v>45929</v>
      </c>
      <c r="F127" t="s">
        <v>1234</v>
      </c>
      <c r="G127" s="41">
        <v>696</v>
      </c>
      <c r="H127" t="s">
        <v>1235</v>
      </c>
      <c r="I127" t="s">
        <v>1236</v>
      </c>
      <c r="J127" t="str">
        <f>_xlfn.XLOOKUP($I127,RazónMuerte!$A:$A,RazónMuerte!B:B,"",0)</f>
        <v>Lesión de ligamentos/tendones</v>
      </c>
      <c r="K127">
        <f>_xlfn.XLOOKUP($I127,RazónMuerte!$A:$A,RazónMuerte!C:C,"",0)</f>
        <v>0</v>
      </c>
      <c r="L127" t="str">
        <f>_xlfn.XLOOKUP($I127,RazónMuerte!$A:$A,RazónMuerte!D:D,"",0)</f>
        <v>No clasificado</v>
      </c>
      <c r="M127" s="34" t="s">
        <v>1532</v>
      </c>
    </row>
    <row r="128" spans="1:13" x14ac:dyDescent="0.25">
      <c r="A128" t="s">
        <v>1248</v>
      </c>
      <c r="B128" t="str">
        <f t="shared" si="6"/>
        <v>6</v>
      </c>
      <c r="C128" t="str">
        <f t="shared" si="7"/>
        <v>OCTUBRE</v>
      </c>
      <c r="D128" s="20">
        <v>45901</v>
      </c>
      <c r="E128" s="20">
        <v>45936</v>
      </c>
      <c r="F128" t="s">
        <v>1089</v>
      </c>
      <c r="G128" s="41">
        <v>840</v>
      </c>
      <c r="H128" t="s">
        <v>1249</v>
      </c>
      <c r="I128" t="s">
        <v>1250</v>
      </c>
      <c r="J128" t="str">
        <f>_xlfn.XLOOKUP($I128,RazónMuerte!$A:$A,RazónMuerte!B:B,"",0)</f>
        <v>Fractura ósea</v>
      </c>
      <c r="K128" t="str">
        <f>_xlfn.XLOOKUP($I128,RazónMuerte!$A:$A,RazónMuerte!C:C,"",0)</f>
        <v>No especificado</v>
      </c>
      <c r="L128" t="str">
        <f>_xlfn.XLOOKUP($I128,RazónMuerte!$A:$A,RazónMuerte!D:D,"",0)</f>
        <v>Fatal injury</v>
      </c>
      <c r="M128" s="34" t="s">
        <v>1532</v>
      </c>
    </row>
    <row r="129" spans="1:13" x14ac:dyDescent="0.25">
      <c r="A129" t="s">
        <v>1254</v>
      </c>
      <c r="B129" t="str">
        <f t="shared" si="6"/>
        <v>13</v>
      </c>
      <c r="C129" t="str">
        <f t="shared" si="7"/>
        <v>OCTUBRE</v>
      </c>
      <c r="D129" s="20">
        <v>45905</v>
      </c>
      <c r="E129" s="20">
        <v>45943</v>
      </c>
      <c r="F129" t="s">
        <v>42</v>
      </c>
      <c r="G129" s="41">
        <v>912</v>
      </c>
      <c r="H129" t="s">
        <v>1258</v>
      </c>
      <c r="I129" t="s">
        <v>1257</v>
      </c>
      <c r="J129" t="str">
        <f>_xlfn.XLOOKUP($I129,RazónMuerte!$A:$A,RazónMuerte!B:B,"",0)</f>
        <v>Otras / No especificada</v>
      </c>
      <c r="K129">
        <f>_xlfn.XLOOKUP($I129,RazónMuerte!$A:$A,RazónMuerte!C:C,"",0)</f>
        <v>0</v>
      </c>
      <c r="L129" t="str">
        <f>_xlfn.XLOOKUP($I129,RazónMuerte!$A:$A,RazónMuerte!D:D,"",0)</f>
        <v>Fatal injury</v>
      </c>
      <c r="M129" s="34" t="s">
        <v>1532</v>
      </c>
    </row>
    <row r="130" spans="1:13" s="30" customFormat="1" x14ac:dyDescent="0.25">
      <c r="A130" t="s">
        <v>1333</v>
      </c>
      <c r="B130" t="str">
        <f t="shared" ref="B130:B161" si="8">LEFT(A130,FIND("-",A130)-1)</f>
        <v>26</v>
      </c>
      <c r="C130" t="str">
        <f t="shared" ref="C130:C161" si="9">MID(A130,FIND("-",A130)+1,FIND("-",A130,FIND("-",A130)+1)-FIND("-",A130)-1)</f>
        <v>NOVIEMBRE</v>
      </c>
      <c r="D130" s="20">
        <v>45905</v>
      </c>
      <c r="E130" s="20">
        <v>45987</v>
      </c>
      <c r="F130" t="s">
        <v>1234</v>
      </c>
      <c r="G130" s="41">
        <v>1968</v>
      </c>
      <c r="H130" t="s">
        <v>1334</v>
      </c>
      <c r="I130" t="s">
        <v>1335</v>
      </c>
      <c r="J130" t="str">
        <f>_xlfn.XLOOKUP($I130,RazónMuerte!$A:$A,RazónMuerte!B:B,"",0)</f>
        <v>Fractura ósea</v>
      </c>
      <c r="K130" t="str">
        <f>_xlfn.XLOOKUP($I130,RazónMuerte!$A:$A,RazónMuerte!C:C,"",0)</f>
        <v>Sesamoideo</v>
      </c>
      <c r="L130" t="str">
        <f>_xlfn.XLOOKUP($I130,RazónMuerte!$A:$A,RazónMuerte!D:D,"",0)</f>
        <v>Fatal injury</v>
      </c>
      <c r="M130" s="34" t="s">
        <v>1532</v>
      </c>
    </row>
    <row r="131" spans="1:13" x14ac:dyDescent="0.25">
      <c r="A131" t="s">
        <v>1254</v>
      </c>
      <c r="B131" t="str">
        <f t="shared" si="8"/>
        <v>13</v>
      </c>
      <c r="C131" t="str">
        <f t="shared" si="9"/>
        <v>OCTUBRE</v>
      </c>
      <c r="D131" s="20">
        <v>45907</v>
      </c>
      <c r="E131" s="20">
        <v>45943</v>
      </c>
      <c r="F131" t="s">
        <v>10</v>
      </c>
      <c r="G131" s="41">
        <v>864</v>
      </c>
      <c r="H131" t="s">
        <v>1259</v>
      </c>
      <c r="I131" t="s">
        <v>1260</v>
      </c>
      <c r="J131" t="str">
        <f>_xlfn.XLOOKUP($I131,RazónMuerte!$A:$A,RazónMuerte!B:B,"",0)</f>
        <v>Lesión de ligamentos/tendones</v>
      </c>
      <c r="K131">
        <f>_xlfn.XLOOKUP($I131,RazónMuerte!$A:$A,RazónMuerte!C:C,"",0)</f>
        <v>0</v>
      </c>
      <c r="L131" t="str">
        <f>_xlfn.XLOOKUP($I131,RazónMuerte!$A:$A,RazónMuerte!D:D,"",0)</f>
        <v>No clasificado</v>
      </c>
      <c r="M131" s="34" t="s">
        <v>1532</v>
      </c>
    </row>
    <row r="132" spans="1:13" x14ac:dyDescent="0.25">
      <c r="A132" t="s">
        <v>1303</v>
      </c>
      <c r="B132" t="str">
        <f t="shared" si="8"/>
        <v>3</v>
      </c>
      <c r="C132" t="str">
        <f t="shared" si="9"/>
        <v>NOVIEMBRE</v>
      </c>
      <c r="D132" s="20">
        <v>45911</v>
      </c>
      <c r="E132" s="20">
        <v>45964</v>
      </c>
      <c r="F132" t="s">
        <v>1304</v>
      </c>
      <c r="G132" s="41">
        <v>1272</v>
      </c>
      <c r="H132" t="s">
        <v>1305</v>
      </c>
      <c r="I132" t="s">
        <v>255</v>
      </c>
      <c r="J132" t="str">
        <f>_xlfn.XLOOKUP($I132,RazónMuerte!$A:$A,RazónMuerte!B:B,"",0)</f>
        <v>Fractura ósea</v>
      </c>
      <c r="K132" t="str">
        <f>_xlfn.XLOOKUP($I132,RazónMuerte!$A:$A,RazónMuerte!C:C,"",0)</f>
        <v>Rodilla / Carpal</v>
      </c>
      <c r="L132" t="str">
        <f>_xlfn.XLOOKUP($I132,RazónMuerte!$A:$A,RazónMuerte!D:D,"",0)</f>
        <v>Fatal injury</v>
      </c>
      <c r="M132" s="34" t="s">
        <v>1532</v>
      </c>
    </row>
    <row r="133" spans="1:13" x14ac:dyDescent="0.25">
      <c r="A133" t="s">
        <v>1222</v>
      </c>
      <c r="B133" t="str">
        <f t="shared" si="8"/>
        <v>24</v>
      </c>
      <c r="C133" t="str">
        <f t="shared" si="9"/>
        <v>SEPTIEMBRE</v>
      </c>
      <c r="D133" s="20">
        <v>45914</v>
      </c>
      <c r="E133" s="20">
        <v>45924</v>
      </c>
      <c r="F133" t="s">
        <v>106</v>
      </c>
      <c r="G133" s="41">
        <v>240</v>
      </c>
      <c r="H133" t="s">
        <v>1225</v>
      </c>
      <c r="I133" t="s">
        <v>661</v>
      </c>
      <c r="J133" t="str">
        <f>_xlfn.XLOOKUP($I133,RazónMuerte!$A:$A,RazónMuerte!B:B,"",0)</f>
        <v>Fractura ósea</v>
      </c>
      <c r="K133" t="str">
        <f>_xlfn.XLOOKUP($I133,RazónMuerte!$A:$A,RazónMuerte!C:C,"",0)</f>
        <v>Rodilla / Carpal</v>
      </c>
      <c r="L133" t="str">
        <f>_xlfn.XLOOKUP($I133,RazónMuerte!$A:$A,RazónMuerte!D:D,"",0)</f>
        <v>Fatal injury</v>
      </c>
      <c r="M133" s="34" t="s">
        <v>1532</v>
      </c>
    </row>
    <row r="134" spans="1:13" s="30" customFormat="1" x14ac:dyDescent="0.25">
      <c r="A134" t="s">
        <v>1237</v>
      </c>
      <c r="B134" t="str">
        <f t="shared" si="8"/>
        <v>27</v>
      </c>
      <c r="C134" t="str">
        <f t="shared" si="9"/>
        <v>SEPTIEMBRE</v>
      </c>
      <c r="D134" s="20">
        <v>45926</v>
      </c>
      <c r="E134" s="20">
        <v>45927</v>
      </c>
      <c r="F134" t="s">
        <v>597</v>
      </c>
      <c r="G134" s="41">
        <v>24</v>
      </c>
      <c r="H134" t="s">
        <v>1238</v>
      </c>
      <c r="I134" t="s">
        <v>1239</v>
      </c>
      <c r="J134" t="str">
        <f>_xlfn.XLOOKUP($I134,RazónMuerte!$A:$A,RazónMuerte!B:B,"",0)</f>
        <v>Fractura ósea</v>
      </c>
      <c r="K134" t="str">
        <f>_xlfn.XLOOKUP($I134,RazónMuerte!$A:$A,RazónMuerte!C:C,"",0)</f>
        <v>No especificado</v>
      </c>
      <c r="L134" t="str">
        <f>_xlfn.XLOOKUP($I134,RazónMuerte!$A:$A,RazónMuerte!D:D,"",0)</f>
        <v>Fatal injury</v>
      </c>
      <c r="M134" s="34" t="s">
        <v>1532</v>
      </c>
    </row>
    <row r="135" spans="1:13" s="30" customFormat="1" x14ac:dyDescent="0.25">
      <c r="A135" t="s">
        <v>1273</v>
      </c>
      <c r="B135" t="str">
        <f t="shared" si="8"/>
        <v>23</v>
      </c>
      <c r="C135" t="str">
        <f t="shared" si="9"/>
        <v>OCTUBRE</v>
      </c>
      <c r="D135" s="20">
        <v>45926</v>
      </c>
      <c r="E135" s="20">
        <v>45953</v>
      </c>
      <c r="F135" t="s">
        <v>26</v>
      </c>
      <c r="G135" s="41">
        <v>648</v>
      </c>
      <c r="H135" t="s">
        <v>1274</v>
      </c>
      <c r="I135" t="s">
        <v>100</v>
      </c>
      <c r="J135" t="str">
        <f>_xlfn.XLOOKUP($I135,RazónMuerte!$A:$A,RazónMuerte!B:B,"",0)</f>
        <v>Fractura ósea</v>
      </c>
      <c r="K135" t="str">
        <f>_xlfn.XLOOKUP($I135,RazónMuerte!$A:$A,RazónMuerte!C:C,"",0)</f>
        <v>Rodilla / Carpal</v>
      </c>
      <c r="L135" t="str">
        <f>_xlfn.XLOOKUP($I135,RazónMuerte!$A:$A,RazónMuerte!D:D,"",0)</f>
        <v>Fatal injury</v>
      </c>
      <c r="M135" s="34" t="s">
        <v>1532</v>
      </c>
    </row>
    <row r="136" spans="1:13" x14ac:dyDescent="0.25">
      <c r="A136" t="s">
        <v>1243</v>
      </c>
      <c r="B136" t="str">
        <f t="shared" si="8"/>
        <v>28</v>
      </c>
      <c r="C136" t="str">
        <f t="shared" si="9"/>
        <v>SEPTIEMBRE</v>
      </c>
      <c r="D136" s="20">
        <v>45927</v>
      </c>
      <c r="E136" s="20">
        <v>45928</v>
      </c>
      <c r="F136" t="s">
        <v>159</v>
      </c>
      <c r="G136" s="41">
        <v>24</v>
      </c>
      <c r="H136" t="s">
        <v>1244</v>
      </c>
      <c r="I136" t="s">
        <v>1245</v>
      </c>
      <c r="J136" t="str">
        <f>_xlfn.XLOOKUP($I136,RazónMuerte!$A:$A,RazónMuerte!B:B,"",0)</f>
        <v>Fractura ósea</v>
      </c>
      <c r="K136" t="str">
        <f>_xlfn.XLOOKUP($I136,RazónMuerte!$A:$A,RazónMuerte!C:C,"",0)</f>
        <v>No especificado</v>
      </c>
      <c r="L136" t="str">
        <f>_xlfn.XLOOKUP($I136,RazónMuerte!$A:$A,RazónMuerte!D:D,"",0)</f>
        <v>Fatal injury</v>
      </c>
      <c r="M136" s="34" t="s">
        <v>1532</v>
      </c>
    </row>
    <row r="137" spans="1:13" x14ac:dyDescent="0.25">
      <c r="A137" t="s">
        <v>1385</v>
      </c>
      <c r="B137" t="str">
        <f t="shared" si="8"/>
        <v>30</v>
      </c>
      <c r="C137" t="str">
        <f t="shared" si="9"/>
        <v>DICIEMBRE</v>
      </c>
      <c r="D137" s="20">
        <v>45928</v>
      </c>
      <c r="E137" s="20">
        <v>46021</v>
      </c>
      <c r="F137" t="s">
        <v>1391</v>
      </c>
      <c r="G137" s="41">
        <v>2232</v>
      </c>
      <c r="H137" t="s">
        <v>1390</v>
      </c>
      <c r="I137" t="s">
        <v>1389</v>
      </c>
      <c r="J137" t="str">
        <f>_xlfn.XLOOKUP($I137,RazónMuerte!$A:$A,RazónMuerte!B:B,"",0)</f>
        <v>Enfermedad degenerativa articular</v>
      </c>
      <c r="K137">
        <f>_xlfn.XLOOKUP($I137,RazónMuerte!$A:$A,RazónMuerte!C:C,"",0)</f>
        <v>0</v>
      </c>
      <c r="L137" t="str">
        <f>_xlfn.XLOOKUP($I137,RazónMuerte!$A:$A,RazónMuerte!D:D,"",0)</f>
        <v>No fatal injury (chronic/medical)</v>
      </c>
      <c r="M137" s="34" t="s">
        <v>1532</v>
      </c>
    </row>
    <row r="138" spans="1:13" x14ac:dyDescent="0.25">
      <c r="A138" t="s">
        <v>1248</v>
      </c>
      <c r="B138" t="str">
        <f t="shared" si="8"/>
        <v>6</v>
      </c>
      <c r="C138" t="str">
        <f t="shared" si="9"/>
        <v>OCTUBRE</v>
      </c>
      <c r="D138" s="20">
        <v>45933</v>
      </c>
      <c r="E138" s="20">
        <v>45936</v>
      </c>
      <c r="F138" t="s">
        <v>1253</v>
      </c>
      <c r="G138" s="41">
        <v>72</v>
      </c>
      <c r="H138" t="s">
        <v>1252</v>
      </c>
      <c r="I138" t="s">
        <v>1251</v>
      </c>
      <c r="J138" t="str">
        <f>_xlfn.XLOOKUP($I138,RazónMuerte!$A:$A,RazónMuerte!B:B,"",0)</f>
        <v>Enfermedad degenerativa articular</v>
      </c>
      <c r="K138">
        <f>_xlfn.XLOOKUP($I138,RazónMuerte!$A:$A,RazónMuerte!C:C,"",0)</f>
        <v>0</v>
      </c>
      <c r="L138" t="str">
        <f>_xlfn.XLOOKUP($I138,RazónMuerte!$A:$A,RazónMuerte!D:D,"",0)</f>
        <v>No fatal injury (chronic/medical)</v>
      </c>
      <c r="M138" s="34" t="s">
        <v>1532</v>
      </c>
    </row>
    <row r="139" spans="1:13" x14ac:dyDescent="0.25">
      <c r="A139" t="s">
        <v>1371</v>
      </c>
      <c r="B139" t="str">
        <f t="shared" si="8"/>
        <v>23</v>
      </c>
      <c r="C139" t="str">
        <f t="shared" si="9"/>
        <v>DICIEMBRE</v>
      </c>
      <c r="D139" s="20">
        <v>45935</v>
      </c>
      <c r="E139" s="20">
        <v>46014</v>
      </c>
      <c r="F139" t="s">
        <v>1373</v>
      </c>
      <c r="G139" s="41">
        <v>1896</v>
      </c>
      <c r="H139" t="s">
        <v>1372</v>
      </c>
      <c r="I139" t="s">
        <v>1374</v>
      </c>
      <c r="J139" t="str">
        <f>_xlfn.XLOOKUP($I139,RazónMuerte!$A:$A,RazónMuerte!B:B,"",0)</f>
        <v>Otras / No especificada</v>
      </c>
      <c r="K139">
        <f>_xlfn.XLOOKUP($I139,RazónMuerte!$A:$A,RazónMuerte!C:C,"",0)</f>
        <v>0</v>
      </c>
      <c r="L139" t="str">
        <f>_xlfn.XLOOKUP($I139,RazónMuerte!$A:$A,RazónMuerte!D:D,"",0)</f>
        <v>Fatal injury</v>
      </c>
      <c r="M139" s="34" t="s">
        <v>1532</v>
      </c>
    </row>
    <row r="140" spans="1:13" x14ac:dyDescent="0.25">
      <c r="A140" t="s">
        <v>1263</v>
      </c>
      <c r="B140" t="str">
        <f t="shared" si="8"/>
        <v>14</v>
      </c>
      <c r="C140" t="str">
        <f t="shared" si="9"/>
        <v>OCTUBRE</v>
      </c>
      <c r="D140" s="20">
        <v>45939</v>
      </c>
      <c r="E140" s="20">
        <v>45944</v>
      </c>
      <c r="F140" t="s">
        <v>665</v>
      </c>
      <c r="G140" s="41">
        <v>120</v>
      </c>
      <c r="H140" t="s">
        <v>1262</v>
      </c>
      <c r="I140" t="s">
        <v>1261</v>
      </c>
      <c r="J140" t="str">
        <f>_xlfn.XLOOKUP($I140,RazónMuerte!$A:$A,RazónMuerte!B:B,"",0)</f>
        <v>Fractura ósea</v>
      </c>
      <c r="K140" t="str">
        <f>_xlfn.XLOOKUP($I140,RazónMuerte!$A:$A,RazónMuerte!C:C,"",0)</f>
        <v>Rodilla / Carpal</v>
      </c>
      <c r="L140" t="str">
        <f>_xlfn.XLOOKUP($I140,RazónMuerte!$A:$A,RazónMuerte!D:D,"",0)</f>
        <v>Fatal injury</v>
      </c>
      <c r="M140" s="34" t="s">
        <v>1532</v>
      </c>
    </row>
    <row r="141" spans="1:13" x14ac:dyDescent="0.25">
      <c r="A141" t="s">
        <v>1292</v>
      </c>
      <c r="B141" t="str">
        <f t="shared" si="8"/>
        <v>31</v>
      </c>
      <c r="C141" t="str">
        <f t="shared" si="9"/>
        <v>OCTUBRE</v>
      </c>
      <c r="D141" s="20">
        <v>45940</v>
      </c>
      <c r="E141" s="20">
        <v>45961</v>
      </c>
      <c r="F141" t="s">
        <v>12</v>
      </c>
      <c r="G141" s="41">
        <v>504</v>
      </c>
      <c r="H141" t="s">
        <v>1293</v>
      </c>
      <c r="I141" t="s">
        <v>1294</v>
      </c>
      <c r="J141" t="str">
        <f>_xlfn.XLOOKUP($I141,RazónMuerte!$A:$A,RazónMuerte!B:B,"",0)</f>
        <v>Enfermedad degenerativa articular</v>
      </c>
      <c r="K141">
        <f>_xlfn.XLOOKUP($I141,RazónMuerte!$A:$A,RazónMuerte!C:C,"",0)</f>
        <v>0</v>
      </c>
      <c r="L141" t="str">
        <f>_xlfn.XLOOKUP($I141,RazónMuerte!$A:$A,RazónMuerte!D:D,"",0)</f>
        <v>Fatal injury</v>
      </c>
      <c r="M141" s="34" t="s">
        <v>1532</v>
      </c>
    </row>
    <row r="142" spans="1:13" s="30" customFormat="1" x14ac:dyDescent="0.25">
      <c r="A142" t="s">
        <v>1254</v>
      </c>
      <c r="B142" t="str">
        <f t="shared" si="8"/>
        <v>13</v>
      </c>
      <c r="C142" t="str">
        <f t="shared" si="9"/>
        <v>OCTUBRE</v>
      </c>
      <c r="D142" s="20">
        <v>45941</v>
      </c>
      <c r="E142" s="20">
        <v>45943</v>
      </c>
      <c r="F142" t="s">
        <v>239</v>
      </c>
      <c r="G142" s="41">
        <v>48</v>
      </c>
      <c r="H142" t="s">
        <v>1255</v>
      </c>
      <c r="I142" t="s">
        <v>1256</v>
      </c>
      <c r="J142" t="str">
        <f>_xlfn.XLOOKUP($I142,RazónMuerte!$A:$A,RazónMuerte!B:B,"",0)</f>
        <v>Fractura ósea</v>
      </c>
      <c r="K142" t="str">
        <f>_xlfn.XLOOKUP($I142,RazónMuerte!$A:$A,RazónMuerte!C:C,"",0)</f>
        <v>No especificado</v>
      </c>
      <c r="L142" t="str">
        <f>_xlfn.XLOOKUP($I142,RazónMuerte!$A:$A,RazónMuerte!D:D,"",0)</f>
        <v>Fatal injury</v>
      </c>
      <c r="M142" s="34" t="s">
        <v>1532</v>
      </c>
    </row>
    <row r="143" spans="1:13" x14ac:dyDescent="0.25">
      <c r="A143" t="s">
        <v>1268</v>
      </c>
      <c r="B143" t="str">
        <f t="shared" si="8"/>
        <v>20</v>
      </c>
      <c r="C143" t="str">
        <f t="shared" si="9"/>
        <v>OCTUBRE</v>
      </c>
      <c r="D143" s="20">
        <v>45943</v>
      </c>
      <c r="E143" s="20">
        <v>45950</v>
      </c>
      <c r="F143" t="s">
        <v>43</v>
      </c>
      <c r="G143" s="41">
        <v>168</v>
      </c>
      <c r="H143" t="s">
        <v>1267</v>
      </c>
      <c r="I143" t="s">
        <v>1266</v>
      </c>
      <c r="J143" t="str">
        <f>_xlfn.XLOOKUP($I143,RazónMuerte!$A:$A,RazónMuerte!B:B,"",0)</f>
        <v>Fractura ósea</v>
      </c>
      <c r="K143" t="str">
        <f>_xlfn.XLOOKUP($I143,RazónMuerte!$A:$A,RazónMuerte!C:C,"",0)</f>
        <v>Caña / Cannon bone</v>
      </c>
      <c r="L143" t="str">
        <f>_xlfn.XLOOKUP($I143,RazónMuerte!$A:$A,RazónMuerte!D:D,"",0)</f>
        <v>Fatal injury</v>
      </c>
      <c r="M143" s="34" t="s">
        <v>1532</v>
      </c>
    </row>
    <row r="144" spans="1:13" x14ac:dyDescent="0.25">
      <c r="A144" t="s">
        <v>1329</v>
      </c>
      <c r="B144" t="str">
        <f t="shared" si="8"/>
        <v>24</v>
      </c>
      <c r="C144" t="str">
        <f t="shared" si="9"/>
        <v>NOVIEMBRE</v>
      </c>
      <c r="D144" s="20">
        <v>45953</v>
      </c>
      <c r="E144" s="20">
        <v>45985</v>
      </c>
      <c r="F144" t="s">
        <v>1330</v>
      </c>
      <c r="G144" s="41">
        <v>768</v>
      </c>
      <c r="H144" t="s">
        <v>1331</v>
      </c>
      <c r="I144" t="s">
        <v>1332</v>
      </c>
      <c r="J144" t="str">
        <f>_xlfn.XLOOKUP($I144,RazónMuerte!$A:$A,RazónMuerte!B:B,"",0)</f>
        <v>Fractura ósea</v>
      </c>
      <c r="K144" t="str">
        <f>_xlfn.XLOOKUP($I144,RazónMuerte!$A:$A,RazónMuerte!C:C,"",0)</f>
        <v>Sesamoideo</v>
      </c>
      <c r="L144" t="str">
        <f>_xlfn.XLOOKUP($I144,RazónMuerte!$A:$A,RazónMuerte!D:D,"",0)</f>
        <v>Fatal injury</v>
      </c>
      <c r="M144" s="34" t="s">
        <v>1532</v>
      </c>
    </row>
    <row r="145" spans="1:13" x14ac:dyDescent="0.25">
      <c r="A145" t="s">
        <v>1358</v>
      </c>
      <c r="B145" t="str">
        <f t="shared" si="8"/>
        <v>16</v>
      </c>
      <c r="C145" t="str">
        <f t="shared" si="9"/>
        <v>DICIEMBRE</v>
      </c>
      <c r="D145" s="20">
        <v>45953</v>
      </c>
      <c r="E145" s="20">
        <v>46007</v>
      </c>
      <c r="F145" t="s">
        <v>102</v>
      </c>
      <c r="G145" s="41">
        <v>1296</v>
      </c>
      <c r="H145" t="s">
        <v>1359</v>
      </c>
      <c r="I145" t="s">
        <v>653</v>
      </c>
      <c r="J145" t="str">
        <f>_xlfn.XLOOKUP($I145,RazónMuerte!$A:$A,RazónMuerte!B:B,"",0)</f>
        <v>Otras / No especificada</v>
      </c>
      <c r="K145">
        <f>_xlfn.XLOOKUP($I145,RazónMuerte!$A:$A,RazónMuerte!C:C,"",0)</f>
        <v>0</v>
      </c>
      <c r="L145" t="str">
        <f>_xlfn.XLOOKUP($I145,RazónMuerte!$A:$A,RazónMuerte!D:D,"",0)</f>
        <v>No clasificado</v>
      </c>
      <c r="M145" s="34" t="s">
        <v>1532</v>
      </c>
    </row>
    <row r="146" spans="1:13" x14ac:dyDescent="0.25">
      <c r="A146" t="s">
        <v>1340</v>
      </c>
      <c r="B146" t="str">
        <f t="shared" si="8"/>
        <v>1</v>
      </c>
      <c r="C146" t="str">
        <f t="shared" si="9"/>
        <v>DICIEMBRE</v>
      </c>
      <c r="D146" s="20">
        <v>45954</v>
      </c>
      <c r="E146" s="20">
        <v>45992</v>
      </c>
      <c r="F146" t="s">
        <v>895</v>
      </c>
      <c r="G146" s="41">
        <v>912</v>
      </c>
      <c r="H146" t="s">
        <v>1341</v>
      </c>
      <c r="I146" t="s">
        <v>667</v>
      </c>
      <c r="J146" t="str">
        <f>_xlfn.XLOOKUP($I146,RazónMuerte!$A:$A,RazónMuerte!B:B,"",0)</f>
        <v>Enfermedad degenerativa articular</v>
      </c>
      <c r="K146">
        <f>_xlfn.XLOOKUP($I146,RazónMuerte!$A:$A,RazónMuerte!C:C,"",0)</f>
        <v>0</v>
      </c>
      <c r="L146" t="str">
        <f>_xlfn.XLOOKUP($I146,RazónMuerte!$A:$A,RazónMuerte!D:D,"",0)</f>
        <v>No fatal injury (chronic/medical)</v>
      </c>
      <c r="M146" s="34" t="s">
        <v>1532</v>
      </c>
    </row>
    <row r="147" spans="1:13" x14ac:dyDescent="0.25">
      <c r="A147" t="s">
        <v>1368</v>
      </c>
      <c r="B147" t="str">
        <f t="shared" si="8"/>
        <v>24</v>
      </c>
      <c r="C147" t="str">
        <f t="shared" si="9"/>
        <v>DICIEMBRE</v>
      </c>
      <c r="D147" s="20">
        <v>45961</v>
      </c>
      <c r="E147" s="20">
        <v>46015</v>
      </c>
      <c r="F147" t="s">
        <v>11</v>
      </c>
      <c r="G147" s="41">
        <v>1296</v>
      </c>
      <c r="H147" t="s">
        <v>1369</v>
      </c>
      <c r="I147" t="s">
        <v>1370</v>
      </c>
      <c r="J147" t="str">
        <f>_xlfn.XLOOKUP($I147,RazónMuerte!$A:$A,RazónMuerte!B:B,"",0)</f>
        <v>Otras / No especificada</v>
      </c>
      <c r="K147">
        <f>_xlfn.XLOOKUP($I147,RazónMuerte!$A:$A,RazónMuerte!C:C,"",0)</f>
        <v>0</v>
      </c>
      <c r="L147" t="str">
        <f>_xlfn.XLOOKUP($I147,RazónMuerte!$A:$A,RazónMuerte!D:D,"",0)</f>
        <v>No clasificado</v>
      </c>
      <c r="M147" s="34" t="s">
        <v>1532</v>
      </c>
    </row>
    <row r="148" spans="1:13" x14ac:dyDescent="0.25">
      <c r="A148" t="s">
        <v>1303</v>
      </c>
      <c r="B148" t="str">
        <f t="shared" si="8"/>
        <v>3</v>
      </c>
      <c r="C148" t="str">
        <f t="shared" si="9"/>
        <v>NOVIEMBRE</v>
      </c>
      <c r="D148" s="20">
        <v>45962</v>
      </c>
      <c r="E148" s="20">
        <v>45964</v>
      </c>
      <c r="F148" t="s">
        <v>73</v>
      </c>
      <c r="G148" s="41">
        <v>48</v>
      </c>
      <c r="H148" t="s">
        <v>1306</v>
      </c>
      <c r="I148" t="s">
        <v>255</v>
      </c>
      <c r="J148" t="str">
        <f>_xlfn.XLOOKUP($I148,RazónMuerte!$A:$A,RazónMuerte!B:B,"",0)</f>
        <v>Fractura ósea</v>
      </c>
      <c r="K148" t="str">
        <f>_xlfn.XLOOKUP($I148,RazónMuerte!$A:$A,RazónMuerte!C:C,"",0)</f>
        <v>Rodilla / Carpal</v>
      </c>
      <c r="L148" t="str">
        <f>_xlfn.XLOOKUP($I148,RazónMuerte!$A:$A,RazónMuerte!D:D,"",0)</f>
        <v>Fatal injury</v>
      </c>
      <c r="M148" s="34" t="s">
        <v>1532</v>
      </c>
    </row>
    <row r="149" spans="1:13" x14ac:dyDescent="0.25">
      <c r="A149" t="s">
        <v>1336</v>
      </c>
      <c r="B149" t="str">
        <f t="shared" si="8"/>
        <v>28</v>
      </c>
      <c r="C149" t="str">
        <f t="shared" si="9"/>
        <v>NOVIEMBRE</v>
      </c>
      <c r="D149" s="20">
        <v>45963</v>
      </c>
      <c r="E149" s="20">
        <v>45989</v>
      </c>
      <c r="F149" t="s">
        <v>1339</v>
      </c>
      <c r="G149" s="41">
        <v>624</v>
      </c>
      <c r="H149" t="s">
        <v>1338</v>
      </c>
      <c r="I149" t="s">
        <v>87</v>
      </c>
      <c r="J149" t="str">
        <f>_xlfn.XLOOKUP($I149,RazónMuerte!$A:$A,RazónMuerte!B:B,"",0)</f>
        <v>Otras / No especificada</v>
      </c>
      <c r="K149">
        <f>_xlfn.XLOOKUP($I149,RazónMuerte!$A:$A,RazónMuerte!C:C,"",0)</f>
        <v>0</v>
      </c>
      <c r="L149" t="str">
        <f>_xlfn.XLOOKUP($I149,RazónMuerte!$A:$A,RazónMuerte!D:D,"",0)</f>
        <v>No clasificado</v>
      </c>
      <c r="M149" s="34" t="s">
        <v>1532</v>
      </c>
    </row>
    <row r="150" spans="1:13" x14ac:dyDescent="0.25">
      <c r="A150" t="s">
        <v>1342</v>
      </c>
      <c r="B150" t="str">
        <f t="shared" si="8"/>
        <v>4</v>
      </c>
      <c r="C150" t="str">
        <f t="shared" si="9"/>
        <v>DICIEMBRE</v>
      </c>
      <c r="D150" s="20">
        <v>45963</v>
      </c>
      <c r="E150" s="20">
        <v>45995</v>
      </c>
      <c r="F150" t="s">
        <v>1089</v>
      </c>
      <c r="G150" s="41">
        <v>768</v>
      </c>
      <c r="H150" t="s">
        <v>1343</v>
      </c>
      <c r="I150" t="s">
        <v>1344</v>
      </c>
      <c r="J150" t="str">
        <f>_xlfn.XLOOKUP($I150,RazónMuerte!$A:$A,RazónMuerte!B:B,"",0)</f>
        <v>Otras / No especificada</v>
      </c>
      <c r="K150">
        <f>_xlfn.XLOOKUP($I150,RazónMuerte!$A:$A,RazónMuerte!C:C,"",0)</f>
        <v>0</v>
      </c>
      <c r="L150" t="str">
        <f>_xlfn.XLOOKUP($I150,RazónMuerte!$A:$A,RazónMuerte!D:D,"",0)</f>
        <v>No clasificado</v>
      </c>
      <c r="M150" s="34" t="s">
        <v>1532</v>
      </c>
    </row>
    <row r="151" spans="1:13" x14ac:dyDescent="0.25">
      <c r="A151" t="s">
        <v>1314</v>
      </c>
      <c r="B151" t="str">
        <f t="shared" si="8"/>
        <v>20</v>
      </c>
      <c r="C151" t="str">
        <f t="shared" si="9"/>
        <v>NOVIEMBRE</v>
      </c>
      <c r="D151" s="20">
        <v>45968</v>
      </c>
      <c r="E151" s="20">
        <v>45981</v>
      </c>
      <c r="F151" t="s">
        <v>1234</v>
      </c>
      <c r="G151" s="41">
        <v>312</v>
      </c>
      <c r="H151" t="s">
        <v>1315</v>
      </c>
      <c r="I151" t="s">
        <v>255</v>
      </c>
      <c r="J151" t="str">
        <f>_xlfn.XLOOKUP($I151,RazónMuerte!$A:$A,RazónMuerte!B:B,"",0)</f>
        <v>Fractura ósea</v>
      </c>
      <c r="K151" t="str">
        <f>_xlfn.XLOOKUP($I151,RazónMuerte!$A:$A,RazónMuerte!C:C,"",0)</f>
        <v>Rodilla / Carpal</v>
      </c>
      <c r="L151" t="str">
        <f>_xlfn.XLOOKUP($I151,RazónMuerte!$A:$A,RazónMuerte!D:D,"",0)</f>
        <v>Fatal injury</v>
      </c>
      <c r="M151" s="34" t="s">
        <v>1532</v>
      </c>
    </row>
    <row r="152" spans="1:13" x14ac:dyDescent="0.25">
      <c r="A152" t="s">
        <v>1382</v>
      </c>
      <c r="B152" t="str">
        <f t="shared" si="8"/>
        <v>31</v>
      </c>
      <c r="C152" t="str">
        <f t="shared" si="9"/>
        <v>DICIEMBRE</v>
      </c>
      <c r="D152" s="20">
        <v>45968</v>
      </c>
      <c r="E152" s="20">
        <v>46022</v>
      </c>
      <c r="F152" t="s">
        <v>10</v>
      </c>
      <c r="G152" s="41">
        <v>1296</v>
      </c>
      <c r="H152" t="s">
        <v>1392</v>
      </c>
      <c r="I152" t="s">
        <v>1393</v>
      </c>
      <c r="J152" t="str">
        <f>_xlfn.XLOOKUP($I152,RazónMuerte!$A:$A,RazónMuerte!B:B,"",0)</f>
        <v>Otras / No especificada</v>
      </c>
      <c r="K152">
        <f>_xlfn.XLOOKUP($I152,RazónMuerte!$A:$A,RazónMuerte!C:C,"",0)</f>
        <v>0</v>
      </c>
      <c r="L152" t="str">
        <f>_xlfn.XLOOKUP($I152,RazónMuerte!$A:$A,RazónMuerte!D:D,"",0)</f>
        <v>No fatal injury (chronic/medical)</v>
      </c>
      <c r="M152" s="34" t="s">
        <v>1532</v>
      </c>
    </row>
    <row r="153" spans="1:13" x14ac:dyDescent="0.25">
      <c r="A153" t="s">
        <v>1314</v>
      </c>
      <c r="B153" t="str">
        <f t="shared" si="8"/>
        <v>20</v>
      </c>
      <c r="C153" t="str">
        <f t="shared" si="9"/>
        <v>NOVIEMBRE</v>
      </c>
      <c r="D153" s="20">
        <v>45980</v>
      </c>
      <c r="E153" s="20">
        <v>45981</v>
      </c>
      <c r="F153" t="s">
        <v>26</v>
      </c>
      <c r="G153" s="41">
        <v>24</v>
      </c>
      <c r="H153" t="s">
        <v>1317</v>
      </c>
      <c r="I153" t="s">
        <v>657</v>
      </c>
      <c r="J153" t="str">
        <f>_xlfn.XLOOKUP($I153,RazónMuerte!$A:$A,RazónMuerte!B:B,"",0)</f>
        <v>Enfermedad degenerativa articular</v>
      </c>
      <c r="K153">
        <f>_xlfn.XLOOKUP($I153,RazónMuerte!$A:$A,RazónMuerte!C:C,"",0)</f>
        <v>0</v>
      </c>
      <c r="L153" t="str">
        <f>_xlfn.XLOOKUP($I153,RazónMuerte!$A:$A,RazónMuerte!D:D,"",0)</f>
        <v>No fatal injury (chronic/medical)</v>
      </c>
      <c r="M153" s="34" t="s">
        <v>1532</v>
      </c>
    </row>
    <row r="154" spans="1:13" x14ac:dyDescent="0.25">
      <c r="A154" t="s">
        <v>1324</v>
      </c>
      <c r="B154" t="str">
        <f t="shared" si="8"/>
        <v>22</v>
      </c>
      <c r="C154" t="str">
        <f t="shared" si="9"/>
        <v>NOVIEMBRE</v>
      </c>
      <c r="D154" s="20">
        <v>45980</v>
      </c>
      <c r="E154" s="20">
        <v>45983</v>
      </c>
      <c r="F154" t="s">
        <v>1325</v>
      </c>
      <c r="G154" s="41">
        <v>72</v>
      </c>
      <c r="H154" t="s">
        <v>1326</v>
      </c>
      <c r="I154" t="s">
        <v>1271</v>
      </c>
      <c r="J154" t="str">
        <f>_xlfn.XLOOKUP($I154,RazónMuerte!$A:$A,RazónMuerte!B:B,"",0)</f>
        <v>Fractura ósea</v>
      </c>
      <c r="K154" t="str">
        <f>_xlfn.XLOOKUP($I154,RazónMuerte!$A:$A,RazónMuerte!C:C,"",0)</f>
        <v>Slab</v>
      </c>
      <c r="L154" t="str">
        <f>_xlfn.XLOOKUP($I154,RazónMuerte!$A:$A,RazónMuerte!D:D,"",0)</f>
        <v>Fatal injury</v>
      </c>
      <c r="M154" s="34" t="s">
        <v>1532</v>
      </c>
    </row>
    <row r="155" spans="1:13" x14ac:dyDescent="0.25">
      <c r="A155" t="s">
        <v>1329</v>
      </c>
      <c r="B155" t="str">
        <f t="shared" si="8"/>
        <v>24</v>
      </c>
      <c r="C155" t="str">
        <f t="shared" si="9"/>
        <v>NOVIEMBRE</v>
      </c>
      <c r="D155" s="20">
        <v>45982</v>
      </c>
      <c r="E155" s="20">
        <v>45985</v>
      </c>
      <c r="F155" t="s">
        <v>73</v>
      </c>
      <c r="G155" s="41">
        <v>72</v>
      </c>
      <c r="H155" t="s">
        <v>1328</v>
      </c>
      <c r="I155" t="s">
        <v>1327</v>
      </c>
      <c r="J155" t="str">
        <f>_xlfn.XLOOKUP($I155,RazónMuerte!$A:$A,RazónMuerte!B:B,"",0)</f>
        <v>Fractura ósea</v>
      </c>
      <c r="K155" t="str">
        <f>_xlfn.XLOOKUP($I155,RazónMuerte!$A:$A,RazónMuerte!C:C,"",0)</f>
        <v>Rodilla / Carpal</v>
      </c>
      <c r="L155" t="str">
        <f>_xlfn.XLOOKUP($I155,RazónMuerte!$A:$A,RazónMuerte!D:D,"",0)</f>
        <v>Fatal injury</v>
      </c>
      <c r="M155" s="34" t="s">
        <v>1532</v>
      </c>
    </row>
    <row r="156" spans="1:13" x14ac:dyDescent="0.25">
      <c r="A156" t="s">
        <v>1371</v>
      </c>
      <c r="B156" t="str">
        <f t="shared" si="8"/>
        <v>23</v>
      </c>
      <c r="C156" t="str">
        <f t="shared" si="9"/>
        <v>DICIEMBRE</v>
      </c>
      <c r="D156" s="20">
        <v>45988</v>
      </c>
      <c r="E156" s="20">
        <v>46014</v>
      </c>
      <c r="F156" t="s">
        <v>294</v>
      </c>
      <c r="G156" s="41">
        <v>624</v>
      </c>
      <c r="H156" t="s">
        <v>1376</v>
      </c>
      <c r="I156" t="s">
        <v>1375</v>
      </c>
      <c r="J156" t="str">
        <f>_xlfn.XLOOKUP($I156,RazónMuerte!$A:$A,RazónMuerte!B:B,"",0)</f>
        <v>Enfermedad degenerativa articular</v>
      </c>
      <c r="K156">
        <f>_xlfn.XLOOKUP($I156,RazónMuerte!$A:$A,RazónMuerte!C:C,"",0)</f>
        <v>0</v>
      </c>
      <c r="L156" t="str">
        <f>_xlfn.XLOOKUP($I156,RazónMuerte!$A:$A,RazónMuerte!D:D,"",0)</f>
        <v>No fatal injury (chronic/medical)</v>
      </c>
      <c r="M156" s="34" t="s">
        <v>1532</v>
      </c>
    </row>
    <row r="157" spans="1:13" x14ac:dyDescent="0.25">
      <c r="A157" t="s">
        <v>1354</v>
      </c>
      <c r="B157" t="str">
        <f t="shared" si="8"/>
        <v>13</v>
      </c>
      <c r="C157" t="str">
        <f t="shared" si="9"/>
        <v>DICIEMBRE</v>
      </c>
      <c r="D157" s="20">
        <v>45989</v>
      </c>
      <c r="E157" s="20">
        <v>46004</v>
      </c>
      <c r="F157" t="s">
        <v>1355</v>
      </c>
      <c r="G157" s="41">
        <v>360</v>
      </c>
      <c r="H157" t="s">
        <v>1356</v>
      </c>
      <c r="I157" t="s">
        <v>1357</v>
      </c>
      <c r="J157" t="str">
        <f>_xlfn.XLOOKUP($I157,RazónMuerte!$A:$A,RazónMuerte!B:B,"",0)</f>
        <v>Otras / No especificada</v>
      </c>
      <c r="K157">
        <f>_xlfn.XLOOKUP($I157,RazónMuerte!$A:$A,RazónMuerte!C:C,"",0)</f>
        <v>0</v>
      </c>
      <c r="L157" t="str">
        <f>_xlfn.XLOOKUP($I157,RazónMuerte!$A:$A,RazónMuerte!D:D,"",0)</f>
        <v>No fatal injury (chronic/medical)</v>
      </c>
      <c r="M157" s="34" t="s">
        <v>1532</v>
      </c>
    </row>
    <row r="158" spans="1:13" s="30" customFormat="1" x14ac:dyDescent="0.25">
      <c r="A158" t="s">
        <v>1360</v>
      </c>
      <c r="B158" t="str">
        <f t="shared" si="8"/>
        <v>19</v>
      </c>
      <c r="C158" t="str">
        <f t="shared" si="9"/>
        <v>DICIEMBRE</v>
      </c>
      <c r="D158" s="20">
        <v>45990</v>
      </c>
      <c r="E158" s="20">
        <v>46010</v>
      </c>
      <c r="F158" t="s">
        <v>15</v>
      </c>
      <c r="G158" s="41">
        <v>480</v>
      </c>
      <c r="H158" t="s">
        <v>1363</v>
      </c>
      <c r="I158" t="s">
        <v>1362</v>
      </c>
      <c r="J158" t="str">
        <f>_xlfn.XLOOKUP($I158,RazónMuerte!$A:$A,RazónMuerte!B:B,"",0)</f>
        <v>Fractura ósea</v>
      </c>
      <c r="K158" t="str">
        <f>_xlfn.XLOOKUP($I158,RazónMuerte!$A:$A,RazónMuerte!C:C,"",0)</f>
        <v>Slab</v>
      </c>
      <c r="L158" t="str">
        <f>_xlfn.XLOOKUP($I158,RazónMuerte!$A:$A,RazónMuerte!D:D,"",0)</f>
        <v>Fatal injury</v>
      </c>
      <c r="M158" s="34" t="s">
        <v>1532</v>
      </c>
    </row>
    <row r="159" spans="1:13" s="30" customFormat="1" x14ac:dyDescent="0.25">
      <c r="A159" t="s">
        <v>1347</v>
      </c>
      <c r="B159" t="str">
        <f t="shared" si="8"/>
        <v>5</v>
      </c>
      <c r="C159" t="str">
        <f t="shared" si="9"/>
        <v>DICIEMBRE</v>
      </c>
      <c r="D159" s="20">
        <v>45991</v>
      </c>
      <c r="E159" s="20">
        <v>45996</v>
      </c>
      <c r="F159" t="s">
        <v>1185</v>
      </c>
      <c r="G159" s="41">
        <v>120</v>
      </c>
      <c r="H159" t="s">
        <v>1346</v>
      </c>
      <c r="I159" t="s">
        <v>1345</v>
      </c>
      <c r="J159" t="str">
        <f>_xlfn.XLOOKUP($I159,RazónMuerte!$A:$A,RazónMuerte!B:B,"",0)</f>
        <v>Otras / No especificada</v>
      </c>
      <c r="K159">
        <f>_xlfn.XLOOKUP($I159,RazónMuerte!$A:$A,RazónMuerte!C:C,"",0)</f>
        <v>0</v>
      </c>
      <c r="L159" t="str">
        <f>_xlfn.XLOOKUP($I159,RazónMuerte!$A:$A,RazónMuerte!D:D,"",0)</f>
        <v>No clasificado</v>
      </c>
      <c r="M159" s="34" t="s">
        <v>1532</v>
      </c>
    </row>
    <row r="160" spans="1:13" x14ac:dyDescent="0.25">
      <c r="A160" t="s">
        <v>1351</v>
      </c>
      <c r="B160" t="str">
        <f t="shared" si="8"/>
        <v>12</v>
      </c>
      <c r="C160" t="str">
        <f t="shared" si="9"/>
        <v>DICIEMBRE</v>
      </c>
      <c r="D160" s="20">
        <v>45997</v>
      </c>
      <c r="E160" s="20">
        <v>46003</v>
      </c>
      <c r="F160" t="s">
        <v>52</v>
      </c>
      <c r="G160" s="41">
        <v>144</v>
      </c>
      <c r="H160" t="s">
        <v>1352</v>
      </c>
      <c r="I160" t="s">
        <v>1353</v>
      </c>
      <c r="J160" t="str">
        <f>_xlfn.XLOOKUP($I160,RazónMuerte!$A:$A,RazónMuerte!B:B,"",0)</f>
        <v>Fractura ósea</v>
      </c>
      <c r="K160" t="str">
        <f>_xlfn.XLOOKUP($I160,RazónMuerte!$A:$A,RazónMuerte!C:C,"",0)</f>
        <v>Slab</v>
      </c>
      <c r="L160" t="str">
        <f>_xlfn.XLOOKUP($I160,RazónMuerte!$A:$A,RazónMuerte!D:D,"",0)</f>
        <v>Fatal injury</v>
      </c>
      <c r="M160" s="34" t="s">
        <v>1532</v>
      </c>
    </row>
    <row r="161" spans="1:13" x14ac:dyDescent="0.25">
      <c r="A161" t="s">
        <v>1377</v>
      </c>
      <c r="B161" t="str">
        <f t="shared" si="8"/>
        <v>26</v>
      </c>
      <c r="C161" t="str">
        <f t="shared" si="9"/>
        <v>DICIEMBRE</v>
      </c>
      <c r="D161" s="20">
        <v>45998</v>
      </c>
      <c r="E161" s="20">
        <v>46017</v>
      </c>
      <c r="F161" t="s">
        <v>11</v>
      </c>
      <c r="G161" s="41">
        <v>456</v>
      </c>
      <c r="H161" t="s">
        <v>1378</v>
      </c>
      <c r="I161" t="s">
        <v>1379</v>
      </c>
      <c r="J161" t="str">
        <f>_xlfn.XLOOKUP($I161,RazónMuerte!$A:$A,RazónMuerte!B:B,"",0)</f>
        <v>Otras / No especificada</v>
      </c>
      <c r="K161">
        <f>_xlfn.XLOOKUP($I161,RazónMuerte!$A:$A,RazónMuerte!C:C,"",0)</f>
        <v>0</v>
      </c>
      <c r="L161" t="str">
        <f>_xlfn.XLOOKUP($I161,RazónMuerte!$A:$A,RazónMuerte!D:D,"",0)</f>
        <v>No clasificado</v>
      </c>
      <c r="M161" s="34" t="s">
        <v>1532</v>
      </c>
    </row>
    <row r="162" spans="1:13" s="30" customFormat="1" x14ac:dyDescent="0.25">
      <c r="A162" t="s">
        <v>1360</v>
      </c>
      <c r="B162" t="str">
        <f t="shared" ref="B162:B193" si="10">LEFT(A162,FIND("-",A162)-1)</f>
        <v>19</v>
      </c>
      <c r="C162" t="str">
        <f t="shared" ref="C162:C198" si="11">MID(A162,FIND("-",A162)+1,FIND("-",A162,FIND("-",A162)+1)-FIND("-",A162)-1)</f>
        <v>DICIEMBRE</v>
      </c>
      <c r="D162" s="20">
        <v>46002</v>
      </c>
      <c r="E162" s="20">
        <v>46010</v>
      </c>
      <c r="F162" t="s">
        <v>572</v>
      </c>
      <c r="G162" s="41">
        <v>192</v>
      </c>
      <c r="H162" t="s">
        <v>1361</v>
      </c>
      <c r="I162" t="s">
        <v>1362</v>
      </c>
      <c r="J162" t="str">
        <f>_xlfn.XLOOKUP($I162,RazónMuerte!$A:$A,RazónMuerte!B:B,"",0)</f>
        <v>Fractura ósea</v>
      </c>
      <c r="K162" t="str">
        <f>_xlfn.XLOOKUP($I162,RazónMuerte!$A:$A,RazónMuerte!C:C,"",0)</f>
        <v>Slab</v>
      </c>
      <c r="L162" t="str">
        <f>_xlfn.XLOOKUP($I162,RazónMuerte!$A:$A,RazónMuerte!D:D,"",0)</f>
        <v>Fatal injury</v>
      </c>
      <c r="M162" s="34" t="s">
        <v>1532</v>
      </c>
    </row>
    <row r="163" spans="1:13" x14ac:dyDescent="0.25">
      <c r="A163" t="s">
        <v>1365</v>
      </c>
      <c r="B163" t="str">
        <f t="shared" si="10"/>
        <v>20</v>
      </c>
      <c r="C163" t="str">
        <f t="shared" si="11"/>
        <v>DICIEMBRE</v>
      </c>
      <c r="D163" s="20">
        <v>46010</v>
      </c>
      <c r="E163" s="20">
        <v>46011</v>
      </c>
      <c r="F163" t="s">
        <v>1253</v>
      </c>
      <c r="G163" s="41">
        <v>24</v>
      </c>
      <c r="H163" t="s">
        <v>1366</v>
      </c>
      <c r="I163" t="s">
        <v>1367</v>
      </c>
      <c r="J163" t="str">
        <f>_xlfn.XLOOKUP($I163,RazónMuerte!$A:$A,RazónMuerte!B:B,"",0)</f>
        <v>Lesión de ligamentos/tendones</v>
      </c>
      <c r="K163">
        <f>_xlfn.XLOOKUP($I163,RazónMuerte!$A:$A,RazónMuerte!C:C,"",0)</f>
        <v>0</v>
      </c>
      <c r="L163" t="str">
        <f>_xlfn.XLOOKUP($I163,RazónMuerte!$A:$A,RazónMuerte!D:D,"",0)</f>
        <v>No clasificado</v>
      </c>
      <c r="M163" s="34" t="s">
        <v>1532</v>
      </c>
    </row>
    <row r="164" spans="1:13" s="30" customFormat="1" x14ac:dyDescent="0.25">
      <c r="A164" t="s">
        <v>1385</v>
      </c>
      <c r="B164" t="str">
        <f t="shared" si="10"/>
        <v>30</v>
      </c>
      <c r="C164" t="str">
        <f t="shared" si="11"/>
        <v>DICIEMBRE</v>
      </c>
      <c r="D164" s="20">
        <v>46010</v>
      </c>
      <c r="E164" s="20">
        <v>46021</v>
      </c>
      <c r="F164" t="s">
        <v>1386</v>
      </c>
      <c r="G164" s="41">
        <v>264</v>
      </c>
      <c r="H164" t="s">
        <v>1387</v>
      </c>
      <c r="I164" t="s">
        <v>1388</v>
      </c>
      <c r="J164" t="str">
        <f>_xlfn.XLOOKUP($I164,RazónMuerte!$A:$A,RazónMuerte!B:B,"",0)</f>
        <v>Fractura ósea</v>
      </c>
      <c r="K164" t="str">
        <f>_xlfn.XLOOKUP($I164,RazónMuerte!$A:$A,RazónMuerte!C:C,"",0)</f>
        <v>Splint</v>
      </c>
      <c r="L164" t="str">
        <f>_xlfn.XLOOKUP($I164,RazónMuerte!$A:$A,RazónMuerte!D:D,"",0)</f>
        <v>Fatal injury</v>
      </c>
      <c r="M164" s="34" t="s">
        <v>1532</v>
      </c>
    </row>
    <row r="165" spans="1:13" x14ac:dyDescent="0.25">
      <c r="A165" s="30" t="s">
        <v>875</v>
      </c>
      <c r="B165" s="30" t="str">
        <f t="shared" si="10"/>
        <v>11</v>
      </c>
      <c r="C165" s="30" t="str">
        <f t="shared" si="11"/>
        <v>FEBRERO</v>
      </c>
      <c r="D165" s="30"/>
      <c r="E165" s="31">
        <v>45699</v>
      </c>
      <c r="F165" s="30" t="s">
        <v>22</v>
      </c>
      <c r="G165" s="43">
        <v>1096776</v>
      </c>
      <c r="H165" s="30" t="s">
        <v>879</v>
      </c>
      <c r="I165" s="30" t="s">
        <v>880</v>
      </c>
      <c r="J165" s="30" t="str">
        <f>_xlfn.XLOOKUP($I165,RazónMuerte!$A:$A,RazónMuerte!B:B,"",0)</f>
        <v>Fractura ósea</v>
      </c>
      <c r="K165" s="30" t="str">
        <f>_xlfn.XLOOKUP($I165,RazónMuerte!$A:$A,RazónMuerte!C:C,"",0)</f>
        <v>No especificado</v>
      </c>
      <c r="L165" s="30" t="str">
        <f>_xlfn.XLOOKUP($I165,RazónMuerte!$A:$A,RazónMuerte!D:D,"",0)</f>
        <v>Fatal injury</v>
      </c>
      <c r="M165" s="33" t="s">
        <v>1530</v>
      </c>
    </row>
    <row r="166" spans="1:13" x14ac:dyDescent="0.25">
      <c r="A166" s="30" t="s">
        <v>896</v>
      </c>
      <c r="B166" s="30" t="str">
        <f t="shared" si="10"/>
        <v>18</v>
      </c>
      <c r="C166" s="30" t="str">
        <f t="shared" si="11"/>
        <v>FEBRERO</v>
      </c>
      <c r="D166" s="30"/>
      <c r="E166" s="31">
        <v>45706</v>
      </c>
      <c r="F166" s="30" t="s">
        <v>73</v>
      </c>
      <c r="G166" s="43">
        <v>1096944</v>
      </c>
      <c r="H166" s="30" t="s">
        <v>897</v>
      </c>
      <c r="I166" s="30" t="s">
        <v>898</v>
      </c>
      <c r="J166" s="30" t="str">
        <f>_xlfn.XLOOKUP($I166,RazónMuerte!$A:$A,RazónMuerte!B:B,"",0)</f>
        <v>Fractura ósea</v>
      </c>
      <c r="K166" s="30" t="str">
        <f>_xlfn.XLOOKUP($I166,RazónMuerte!$A:$A,RazónMuerte!C:C,"",0)</f>
        <v>No especificado</v>
      </c>
      <c r="L166" s="30" t="str">
        <f>_xlfn.XLOOKUP($I166,RazónMuerte!$A:$A,RazónMuerte!D:D,"",0)</f>
        <v>Fatal injury</v>
      </c>
      <c r="M166" s="33" t="s">
        <v>1530</v>
      </c>
    </row>
    <row r="167" spans="1:13" x14ac:dyDescent="0.25">
      <c r="A167" s="30" t="s">
        <v>914</v>
      </c>
      <c r="B167" s="30" t="str">
        <f t="shared" si="10"/>
        <v>1</v>
      </c>
      <c r="C167" s="30" t="str">
        <f t="shared" si="11"/>
        <v>MARZO</v>
      </c>
      <c r="D167" s="30"/>
      <c r="E167" s="31">
        <v>45717</v>
      </c>
      <c r="F167" s="30" t="s">
        <v>11</v>
      </c>
      <c r="G167" s="43">
        <v>1097208</v>
      </c>
      <c r="H167" s="30" t="s">
        <v>915</v>
      </c>
      <c r="I167" s="30" t="s">
        <v>916</v>
      </c>
      <c r="J167" s="30" t="str">
        <f>_xlfn.XLOOKUP($I167,RazónMuerte!$A:$A,RazónMuerte!B:B,"",0)</f>
        <v>Fractura ósea</v>
      </c>
      <c r="K167" s="30" t="str">
        <f>_xlfn.XLOOKUP($I167,RazónMuerte!$A:$A,RazónMuerte!C:C,"",0)</f>
        <v>Sesamoideo</v>
      </c>
      <c r="L167" s="30" t="str">
        <f>_xlfn.XLOOKUP($I167,RazónMuerte!$A:$A,RazónMuerte!D:D,"",0)</f>
        <v>Fatal injury</v>
      </c>
      <c r="M167" s="33" t="s">
        <v>1530</v>
      </c>
    </row>
    <row r="168" spans="1:13" s="30" customFormat="1" x14ac:dyDescent="0.25">
      <c r="A168" s="30" t="s">
        <v>914</v>
      </c>
      <c r="B168" s="30" t="str">
        <f t="shared" si="10"/>
        <v>1</v>
      </c>
      <c r="C168" s="30" t="str">
        <f t="shared" si="11"/>
        <v>MARZO</v>
      </c>
      <c r="E168" s="31">
        <v>45717</v>
      </c>
      <c r="F168" s="30" t="s">
        <v>99</v>
      </c>
      <c r="G168" s="43">
        <v>1097208</v>
      </c>
      <c r="H168" s="30" t="s">
        <v>918</v>
      </c>
      <c r="I168" s="30" t="s">
        <v>917</v>
      </c>
      <c r="J168" s="30" t="str">
        <f>_xlfn.XLOOKUP($I168,RazónMuerte!$A:$A,RazónMuerte!B:B,"",0)</f>
        <v>Fractura ósea</v>
      </c>
      <c r="K168" s="30" t="str">
        <f>_xlfn.XLOOKUP($I168,RazónMuerte!$A:$A,RazónMuerte!C:C,"",0)</f>
        <v>Rodilla / Carpal</v>
      </c>
      <c r="L168" s="30" t="str">
        <f>_xlfn.XLOOKUP($I168,RazónMuerte!$A:$A,RazónMuerte!D:D,"",0)</f>
        <v>Fatal injury</v>
      </c>
      <c r="M168" s="33" t="s">
        <v>1530</v>
      </c>
    </row>
    <row r="169" spans="1:13" s="30" customFormat="1" x14ac:dyDescent="0.25">
      <c r="A169" s="30" t="s">
        <v>933</v>
      </c>
      <c r="B169" s="30" t="str">
        <f t="shared" si="10"/>
        <v>7</v>
      </c>
      <c r="C169" s="30" t="str">
        <f t="shared" si="11"/>
        <v>MARZO</v>
      </c>
      <c r="E169" s="31">
        <v>45723</v>
      </c>
      <c r="F169" s="30" t="s">
        <v>35</v>
      </c>
      <c r="G169" s="43">
        <v>1097352</v>
      </c>
      <c r="H169" s="30" t="s">
        <v>932</v>
      </c>
      <c r="I169" s="30" t="s">
        <v>810</v>
      </c>
      <c r="J169" s="30" t="str">
        <f>_xlfn.XLOOKUP($I169,RazónMuerte!$A:$A,RazónMuerte!B:B,"",0)</f>
        <v>Fractura ósea</v>
      </c>
      <c r="K169" s="30" t="str">
        <f>_xlfn.XLOOKUP($I169,RazónMuerte!$A:$A,RazónMuerte!C:C,"",0)</f>
        <v>No especificado</v>
      </c>
      <c r="L169" s="30" t="str">
        <f>_xlfn.XLOOKUP($I169,RazónMuerte!$A:$A,RazónMuerte!D:D,"",0)</f>
        <v>Fatal injury</v>
      </c>
      <c r="M169" s="33" t="s">
        <v>1530</v>
      </c>
    </row>
    <row r="170" spans="1:13" x14ac:dyDescent="0.25">
      <c r="A170" s="30" t="s">
        <v>955</v>
      </c>
      <c r="B170" s="30" t="str">
        <f t="shared" si="10"/>
        <v>22</v>
      </c>
      <c r="C170" s="30" t="str">
        <f t="shared" si="11"/>
        <v>MARZO</v>
      </c>
      <c r="D170" s="30"/>
      <c r="E170" s="31">
        <v>45738</v>
      </c>
      <c r="F170" s="30" t="s">
        <v>35</v>
      </c>
      <c r="G170" s="43">
        <v>1097712</v>
      </c>
      <c r="H170" s="30" t="s">
        <v>956</v>
      </c>
      <c r="I170" s="30" t="s">
        <v>957</v>
      </c>
      <c r="J170" s="30" t="str">
        <f>_xlfn.XLOOKUP($I170,RazónMuerte!$A:$A,RazónMuerte!B:B,"",0)</f>
        <v>Otras / No especificada</v>
      </c>
      <c r="K170" s="30">
        <f>_xlfn.XLOOKUP($I170,RazónMuerte!$A:$A,RazónMuerte!C:C,"",0)</f>
        <v>0</v>
      </c>
      <c r="L170" s="30" t="str">
        <f>_xlfn.XLOOKUP($I170,RazónMuerte!$A:$A,RazónMuerte!D:D,"",0)</f>
        <v>No clasificado</v>
      </c>
      <c r="M170" s="33" t="s">
        <v>1530</v>
      </c>
    </row>
    <row r="171" spans="1:13" x14ac:dyDescent="0.25">
      <c r="A171" s="30" t="s">
        <v>963</v>
      </c>
      <c r="B171" s="30" t="str">
        <f t="shared" si="10"/>
        <v>8</v>
      </c>
      <c r="C171" s="30" t="str">
        <f t="shared" si="11"/>
        <v>ABRIL</v>
      </c>
      <c r="D171" s="30"/>
      <c r="E171" s="31">
        <v>45755</v>
      </c>
      <c r="F171" s="30" t="s">
        <v>964</v>
      </c>
      <c r="G171" s="43">
        <v>1098120</v>
      </c>
      <c r="H171" s="30" t="s">
        <v>965</v>
      </c>
      <c r="I171" s="30" t="s">
        <v>966</v>
      </c>
      <c r="J171" s="30" t="str">
        <f>_xlfn.XLOOKUP($I171,RazónMuerte!$A:$A,RazónMuerte!B:B,"",0)</f>
        <v>Fractura ósea</v>
      </c>
      <c r="K171" s="30" t="str">
        <f>_xlfn.XLOOKUP($I171,RazónMuerte!$A:$A,RazónMuerte!C:C,"",0)</f>
        <v>No especificado</v>
      </c>
      <c r="L171" s="30" t="str">
        <f>_xlfn.XLOOKUP($I171,RazónMuerte!$A:$A,RazónMuerte!D:D,"",0)</f>
        <v>Fatal injury</v>
      </c>
      <c r="M171" s="33" t="s">
        <v>1530</v>
      </c>
    </row>
    <row r="172" spans="1:13" s="30" customFormat="1" x14ac:dyDescent="0.25">
      <c r="A172" s="30" t="s">
        <v>963</v>
      </c>
      <c r="B172" s="30" t="str">
        <f t="shared" si="10"/>
        <v>8</v>
      </c>
      <c r="C172" s="30" t="str">
        <f t="shared" si="11"/>
        <v>ABRIL</v>
      </c>
      <c r="E172" s="31">
        <v>45755</v>
      </c>
      <c r="F172" s="30" t="s">
        <v>969</v>
      </c>
      <c r="G172" s="43">
        <v>1098120</v>
      </c>
      <c r="H172" s="30" t="s">
        <v>970</v>
      </c>
      <c r="I172" s="30" t="s">
        <v>968</v>
      </c>
      <c r="J172" s="30" t="str">
        <f>_xlfn.XLOOKUP($I172,RazónMuerte!$A:$A,RazónMuerte!B:B,"",0)</f>
        <v>Fractura ósea</v>
      </c>
      <c r="K172" s="30" t="str">
        <f>_xlfn.XLOOKUP($I172,RazónMuerte!$A:$A,RazónMuerte!C:C,"",0)</f>
        <v>Slab</v>
      </c>
      <c r="L172" s="30" t="str">
        <f>_xlfn.XLOOKUP($I172,RazónMuerte!$A:$A,RazónMuerte!D:D,"",0)</f>
        <v>Fatal injury</v>
      </c>
      <c r="M172" s="33" t="s">
        <v>1530</v>
      </c>
    </row>
    <row r="173" spans="1:13" s="30" customFormat="1" x14ac:dyDescent="0.25">
      <c r="A173" s="30" t="s">
        <v>990</v>
      </c>
      <c r="B173" s="30" t="str">
        <f t="shared" si="10"/>
        <v>3</v>
      </c>
      <c r="C173" s="30" t="str">
        <f t="shared" si="11"/>
        <v>MAYO</v>
      </c>
      <c r="E173" s="31">
        <v>45780</v>
      </c>
      <c r="F173" s="30" t="s">
        <v>991</v>
      </c>
      <c r="G173" s="43">
        <v>1098720</v>
      </c>
      <c r="H173" s="30" t="s">
        <v>992</v>
      </c>
      <c r="I173" s="30" t="s">
        <v>966</v>
      </c>
      <c r="J173" s="30" t="str">
        <f>_xlfn.XLOOKUP($I173,RazónMuerte!$A:$A,RazónMuerte!B:B,"",0)</f>
        <v>Fractura ósea</v>
      </c>
      <c r="K173" s="30" t="str">
        <f>_xlfn.XLOOKUP($I173,RazónMuerte!$A:$A,RazónMuerte!C:C,"",0)</f>
        <v>No especificado</v>
      </c>
      <c r="L173" s="30" t="str">
        <f>_xlfn.XLOOKUP($I173,RazónMuerte!$A:$A,RazónMuerte!D:D,"",0)</f>
        <v>Fatal injury</v>
      </c>
      <c r="M173" s="33" t="s">
        <v>1530</v>
      </c>
    </row>
    <row r="174" spans="1:13" x14ac:dyDescent="0.25">
      <c r="A174" s="30" t="s">
        <v>995</v>
      </c>
      <c r="B174" s="30" t="str">
        <f t="shared" si="10"/>
        <v>9</v>
      </c>
      <c r="C174" s="30" t="str">
        <f t="shared" si="11"/>
        <v>MAYO</v>
      </c>
      <c r="D174" s="30"/>
      <c r="E174" s="31">
        <v>45786</v>
      </c>
      <c r="F174" s="30" t="s">
        <v>99</v>
      </c>
      <c r="G174" s="43">
        <v>1098864</v>
      </c>
      <c r="H174" s="30" t="s">
        <v>994</v>
      </c>
      <c r="I174" s="30" t="s">
        <v>993</v>
      </c>
      <c r="J174" s="30" t="str">
        <f>_xlfn.XLOOKUP($I174,RazónMuerte!$A:$A,RazónMuerte!B:B,"",0)</f>
        <v>Otras / No especificada</v>
      </c>
      <c r="K174" s="30">
        <f>_xlfn.XLOOKUP($I174,RazónMuerte!$A:$A,RazónMuerte!C:C,"",0)</f>
        <v>0</v>
      </c>
      <c r="L174" s="30" t="str">
        <f>_xlfn.XLOOKUP($I174,RazónMuerte!$A:$A,RazónMuerte!D:D,"",0)</f>
        <v>No clasificado</v>
      </c>
      <c r="M174" s="33" t="s">
        <v>1530</v>
      </c>
    </row>
    <row r="175" spans="1:13" x14ac:dyDescent="0.25">
      <c r="A175" s="30" t="s">
        <v>1002</v>
      </c>
      <c r="B175" s="30" t="str">
        <f t="shared" si="10"/>
        <v>14</v>
      </c>
      <c r="C175" s="30" t="str">
        <f t="shared" si="11"/>
        <v>MAYO</v>
      </c>
      <c r="D175" s="30"/>
      <c r="E175" s="31">
        <v>45791</v>
      </c>
      <c r="F175" s="30" t="s">
        <v>1003</v>
      </c>
      <c r="G175" s="43">
        <v>1098984</v>
      </c>
      <c r="H175" s="30" t="s">
        <v>1004</v>
      </c>
      <c r="I175" s="30" t="s">
        <v>1005</v>
      </c>
      <c r="J175" s="30" t="str">
        <f>_xlfn.XLOOKUP($I175,RazónMuerte!$A:$A,RazónMuerte!B:B,"",0)</f>
        <v>Fractura ósea</v>
      </c>
      <c r="K175" s="30" t="str">
        <f>_xlfn.XLOOKUP($I175,RazónMuerte!$A:$A,RazónMuerte!C:C,"",0)</f>
        <v>No especificado</v>
      </c>
      <c r="L175" s="30" t="str">
        <f>_xlfn.XLOOKUP($I175,RazónMuerte!$A:$A,RazónMuerte!D:D,"",0)</f>
        <v>Fatal injury</v>
      </c>
      <c r="M175" s="33" t="s">
        <v>1530</v>
      </c>
    </row>
    <row r="176" spans="1:13" x14ac:dyDescent="0.25">
      <c r="A176" s="30" t="s">
        <v>1021</v>
      </c>
      <c r="B176" s="30" t="str">
        <f t="shared" si="10"/>
        <v>26</v>
      </c>
      <c r="C176" s="30" t="str">
        <f t="shared" si="11"/>
        <v>MAYO</v>
      </c>
      <c r="D176" s="30"/>
      <c r="E176" s="31">
        <v>45803</v>
      </c>
      <c r="F176" s="30" t="s">
        <v>1026</v>
      </c>
      <c r="G176" s="43">
        <v>1099272</v>
      </c>
      <c r="H176" s="30" t="s">
        <v>1027</v>
      </c>
      <c r="I176" s="30" t="s">
        <v>1028</v>
      </c>
      <c r="J176" s="30" t="str">
        <f>_xlfn.XLOOKUP($I176,RazónMuerte!$A:$A,RazónMuerte!B:B,"",0)</f>
        <v>Otras / No especificada</v>
      </c>
      <c r="K176" s="30">
        <f>_xlfn.XLOOKUP($I176,RazónMuerte!$A:$A,RazónMuerte!C:C,"",0)</f>
        <v>0</v>
      </c>
      <c r="L176" s="30" t="str">
        <f>_xlfn.XLOOKUP($I176,RazónMuerte!$A:$A,RazónMuerte!D:D,"",0)</f>
        <v>No clasificado</v>
      </c>
      <c r="M176" s="33" t="s">
        <v>1530</v>
      </c>
    </row>
    <row r="177" spans="1:13" x14ac:dyDescent="0.25">
      <c r="A177" s="30" t="s">
        <v>1031</v>
      </c>
      <c r="B177" s="30" t="str">
        <f t="shared" si="10"/>
        <v>29</v>
      </c>
      <c r="C177" s="30" t="str">
        <f t="shared" si="11"/>
        <v>MAYO</v>
      </c>
      <c r="D177" s="30"/>
      <c r="E177" s="31">
        <v>45806</v>
      </c>
      <c r="F177" s="30" t="s">
        <v>52</v>
      </c>
      <c r="G177" s="43">
        <v>1099344</v>
      </c>
      <c r="H177" s="30" t="s">
        <v>1069</v>
      </c>
      <c r="I177" s="30" t="s">
        <v>1070</v>
      </c>
      <c r="J177" s="30" t="str">
        <f>_xlfn.XLOOKUP($I177,RazónMuerte!$A:$A,RazónMuerte!B:B,"",0)</f>
        <v>Otras / No especificada</v>
      </c>
      <c r="K177" s="30">
        <f>_xlfn.XLOOKUP($I177,RazónMuerte!$A:$A,RazónMuerte!C:C,"",0)</f>
        <v>0</v>
      </c>
      <c r="L177" s="30" t="str">
        <f>_xlfn.XLOOKUP($I177,RazónMuerte!$A:$A,RazónMuerte!D:D,"",0)</f>
        <v>No clasificado</v>
      </c>
      <c r="M177" s="33" t="s">
        <v>1530</v>
      </c>
    </row>
    <row r="178" spans="1:13" s="30" customFormat="1" x14ac:dyDescent="0.25">
      <c r="A178" s="30" t="s">
        <v>1057</v>
      </c>
      <c r="B178" s="30" t="str">
        <f t="shared" si="10"/>
        <v>14</v>
      </c>
      <c r="C178" s="30" t="str">
        <f t="shared" si="11"/>
        <v>JUNIO</v>
      </c>
      <c r="E178" s="31">
        <v>45822</v>
      </c>
      <c r="F178" s="30" t="s">
        <v>1058</v>
      </c>
      <c r="G178" s="43">
        <v>1099728</v>
      </c>
      <c r="H178" s="30" t="s">
        <v>1059</v>
      </c>
      <c r="I178" s="30" t="s">
        <v>966</v>
      </c>
      <c r="J178" s="30" t="str">
        <f>_xlfn.XLOOKUP($I178,RazónMuerte!$A:$A,RazónMuerte!B:B,"",0)</f>
        <v>Fractura ósea</v>
      </c>
      <c r="K178" s="30" t="str">
        <f>_xlfn.XLOOKUP($I178,RazónMuerte!$A:$A,RazónMuerte!C:C,"",0)</f>
        <v>No especificado</v>
      </c>
      <c r="L178" s="30" t="str">
        <f>_xlfn.XLOOKUP($I178,RazónMuerte!$A:$A,RazónMuerte!D:D,"",0)</f>
        <v>Fatal injury</v>
      </c>
      <c r="M178" s="33" t="s">
        <v>1530</v>
      </c>
    </row>
    <row r="179" spans="1:13" x14ac:dyDescent="0.25">
      <c r="A179" s="30" t="s">
        <v>1060</v>
      </c>
      <c r="B179" s="30" t="str">
        <f t="shared" si="10"/>
        <v>23</v>
      </c>
      <c r="C179" s="30" t="str">
        <f t="shared" si="11"/>
        <v>JUNIO</v>
      </c>
      <c r="D179" s="30"/>
      <c r="E179" s="31">
        <v>45831</v>
      </c>
      <c r="F179" s="30" t="s">
        <v>68</v>
      </c>
      <c r="G179" s="43">
        <v>1099944</v>
      </c>
      <c r="H179" s="30" t="s">
        <v>1065</v>
      </c>
      <c r="I179" s="30" t="s">
        <v>1064</v>
      </c>
      <c r="J179" s="30" t="str">
        <f>_xlfn.XLOOKUP($I179,RazónMuerte!$A:$A,RazónMuerte!B:B,"",0)</f>
        <v>Otras / No especificada</v>
      </c>
      <c r="K179" s="30">
        <f>_xlfn.XLOOKUP($I179,RazónMuerte!$A:$A,RazónMuerte!C:C,"",0)</f>
        <v>0</v>
      </c>
      <c r="L179" s="30" t="str">
        <f>_xlfn.XLOOKUP($I179,RazónMuerte!$A:$A,RazónMuerte!D:D,"",0)</f>
        <v>No clasificado</v>
      </c>
      <c r="M179" s="33" t="s">
        <v>1530</v>
      </c>
    </row>
    <row r="180" spans="1:13" x14ac:dyDescent="0.25">
      <c r="A180" s="30" t="s">
        <v>1074</v>
      </c>
      <c r="B180" s="30" t="str">
        <f t="shared" si="10"/>
        <v>28</v>
      </c>
      <c r="C180" s="30" t="str">
        <f t="shared" si="11"/>
        <v>JUNIO</v>
      </c>
      <c r="D180" s="30"/>
      <c r="E180" s="31">
        <v>45836</v>
      </c>
      <c r="F180" s="30" t="s">
        <v>1075</v>
      </c>
      <c r="G180" s="43">
        <v>1100064</v>
      </c>
      <c r="H180" s="30" t="s">
        <v>1076</v>
      </c>
      <c r="I180" s="30" t="s">
        <v>966</v>
      </c>
      <c r="J180" s="30" t="str">
        <f>_xlfn.XLOOKUP($I180,RazónMuerte!$A:$A,RazónMuerte!B:B,"",0)</f>
        <v>Fractura ósea</v>
      </c>
      <c r="K180" s="30" t="str">
        <f>_xlfn.XLOOKUP($I180,RazónMuerte!$A:$A,RazónMuerte!C:C,"",0)</f>
        <v>No especificado</v>
      </c>
      <c r="L180" s="30" t="str">
        <f>_xlfn.XLOOKUP($I180,RazónMuerte!$A:$A,RazónMuerte!D:D,"",0)</f>
        <v>Fatal injury</v>
      </c>
      <c r="M180" s="33" t="s">
        <v>1530</v>
      </c>
    </row>
    <row r="181" spans="1:13" x14ac:dyDescent="0.25">
      <c r="A181" s="30" t="s">
        <v>1090</v>
      </c>
      <c r="B181" s="30" t="str">
        <f t="shared" si="10"/>
        <v>1</v>
      </c>
      <c r="C181" s="30" t="str">
        <f t="shared" si="11"/>
        <v>JULIO</v>
      </c>
      <c r="D181" s="30"/>
      <c r="E181" s="31">
        <v>45839</v>
      </c>
      <c r="F181" s="30" t="s">
        <v>1089</v>
      </c>
      <c r="G181" s="43">
        <v>1100136</v>
      </c>
      <c r="H181" s="30" t="s">
        <v>1088</v>
      </c>
      <c r="I181" s="30" t="s">
        <v>1087</v>
      </c>
      <c r="J181" s="30" t="str">
        <f>_xlfn.XLOOKUP($I181,RazónMuerte!$A:$A,RazónMuerte!B:B,"",0)</f>
        <v>Fractura ósea</v>
      </c>
      <c r="K181" s="30" t="str">
        <f>_xlfn.XLOOKUP($I181,RazónMuerte!$A:$A,RazónMuerte!C:C,"",0)</f>
        <v>Splint</v>
      </c>
      <c r="L181" s="30" t="str">
        <f>_xlfn.XLOOKUP($I181,RazónMuerte!$A:$A,RazónMuerte!D:D,"",0)</f>
        <v>Fatal injury</v>
      </c>
      <c r="M181" s="33" t="s">
        <v>1530</v>
      </c>
    </row>
    <row r="182" spans="1:13" x14ac:dyDescent="0.25">
      <c r="A182" s="30" t="s">
        <v>1090</v>
      </c>
      <c r="B182" s="30" t="str">
        <f t="shared" si="10"/>
        <v>1</v>
      </c>
      <c r="C182" s="30" t="str">
        <f t="shared" si="11"/>
        <v>JULIO</v>
      </c>
      <c r="D182" s="30"/>
      <c r="E182" s="31">
        <v>45839</v>
      </c>
      <c r="F182" s="30" t="s">
        <v>92</v>
      </c>
      <c r="G182" s="43">
        <v>1100136</v>
      </c>
      <c r="H182" s="30" t="s">
        <v>1094</v>
      </c>
      <c r="I182" s="30" t="s">
        <v>1093</v>
      </c>
      <c r="J182" s="30" t="str">
        <f>_xlfn.XLOOKUP($I182,RazónMuerte!$A:$A,RazónMuerte!B:B,"",0)</f>
        <v>Otras / No especificada</v>
      </c>
      <c r="K182" s="30">
        <f>_xlfn.XLOOKUP($I182,RazónMuerte!$A:$A,RazónMuerte!C:C,"",0)</f>
        <v>0</v>
      </c>
      <c r="L182" s="30" t="str">
        <f>_xlfn.XLOOKUP($I182,RazónMuerte!$A:$A,RazónMuerte!D:D,"",0)</f>
        <v>No fatal injury (chronic/medical)</v>
      </c>
      <c r="M182" s="33" t="s">
        <v>1530</v>
      </c>
    </row>
    <row r="183" spans="1:13" x14ac:dyDescent="0.25">
      <c r="A183" s="30" t="s">
        <v>1148</v>
      </c>
      <c r="B183" s="30" t="str">
        <f t="shared" si="10"/>
        <v>30</v>
      </c>
      <c r="C183" s="30" t="str">
        <f t="shared" si="11"/>
        <v>JULIO</v>
      </c>
      <c r="D183" s="30"/>
      <c r="E183" s="31">
        <v>45868</v>
      </c>
      <c r="F183" s="30" t="s">
        <v>1147</v>
      </c>
      <c r="G183" s="43">
        <v>1100832</v>
      </c>
      <c r="H183" s="30" t="s">
        <v>1146</v>
      </c>
      <c r="I183" s="30" t="s">
        <v>1145</v>
      </c>
      <c r="J183" s="30" t="str">
        <f>_xlfn.XLOOKUP($I183,RazónMuerte!$A:$A,RazónMuerte!B:B,"",0)</f>
        <v>Fractura ósea</v>
      </c>
      <c r="K183" s="30" t="str">
        <f>_xlfn.XLOOKUP($I183,RazónMuerte!$A:$A,RazónMuerte!C:C,"",0)</f>
        <v>Caña / Cannon bone</v>
      </c>
      <c r="L183" s="30" t="str">
        <f>_xlfn.XLOOKUP($I183,RazónMuerte!$A:$A,RazónMuerte!D:D,"",0)</f>
        <v>Fatal injury</v>
      </c>
      <c r="M183" s="33" t="s">
        <v>1530</v>
      </c>
    </row>
    <row r="184" spans="1:13" x14ac:dyDescent="0.25">
      <c r="A184" s="30" t="s">
        <v>1214</v>
      </c>
      <c r="B184" s="30" t="str">
        <f t="shared" si="10"/>
        <v>9</v>
      </c>
      <c r="C184" s="30" t="str">
        <f t="shared" si="11"/>
        <v>SEPTIEMBRE</v>
      </c>
      <c r="D184" s="30"/>
      <c r="E184" s="31">
        <v>45909</v>
      </c>
      <c r="F184" s="30" t="s">
        <v>96</v>
      </c>
      <c r="G184" s="43">
        <v>1101816</v>
      </c>
      <c r="H184" s="30" t="s">
        <v>1215</v>
      </c>
      <c r="I184" s="30" t="s">
        <v>1216</v>
      </c>
      <c r="J184" s="30" t="str">
        <f>_xlfn.XLOOKUP($I184,RazónMuerte!$A:$A,RazónMuerte!B:B,"",0)</f>
        <v>Otras / No especificada</v>
      </c>
      <c r="K184" s="30">
        <f>_xlfn.XLOOKUP($I184,RazónMuerte!$A:$A,RazónMuerte!C:C,"",0)</f>
        <v>0</v>
      </c>
      <c r="L184" s="30" t="str">
        <f>_xlfn.XLOOKUP($I184,RazónMuerte!$A:$A,RazónMuerte!D:D,"",0)</f>
        <v>No clasificado</v>
      </c>
      <c r="M184" s="33" t="s">
        <v>1530</v>
      </c>
    </row>
    <row r="185" spans="1:13" x14ac:dyDescent="0.25">
      <c r="A185" s="30" t="s">
        <v>1217</v>
      </c>
      <c r="B185" s="30" t="str">
        <f t="shared" si="10"/>
        <v>19</v>
      </c>
      <c r="C185" s="30" t="str">
        <f t="shared" si="11"/>
        <v>SEPTIEMBRE</v>
      </c>
      <c r="D185" s="30"/>
      <c r="E185" s="31">
        <v>45919</v>
      </c>
      <c r="F185" s="30" t="s">
        <v>47</v>
      </c>
      <c r="G185" s="43">
        <v>1102056</v>
      </c>
      <c r="H185" s="30" t="s">
        <v>1221</v>
      </c>
      <c r="I185" s="30" t="s">
        <v>1220</v>
      </c>
      <c r="J185" s="30" t="str">
        <f>_xlfn.XLOOKUP($I185,RazónMuerte!$A:$A,RazónMuerte!B:B,"",0)</f>
        <v>Fractura ósea</v>
      </c>
      <c r="K185" s="30" t="str">
        <f>_xlfn.XLOOKUP($I185,RazónMuerte!$A:$A,RazónMuerte!C:C,"",0)</f>
        <v>No especificado</v>
      </c>
      <c r="L185" s="30" t="str">
        <f>_xlfn.XLOOKUP($I185,RazónMuerte!$A:$A,RazónMuerte!D:D,"",0)</f>
        <v>Fatal injury</v>
      </c>
      <c r="M185" s="33" t="s">
        <v>1530</v>
      </c>
    </row>
    <row r="186" spans="1:13" x14ac:dyDescent="0.25">
      <c r="A186" s="30" t="s">
        <v>1288</v>
      </c>
      <c r="B186" s="30" t="str">
        <f t="shared" si="10"/>
        <v>22</v>
      </c>
      <c r="C186" s="30" t="str">
        <f t="shared" si="11"/>
        <v>SEPTIEMBRE</v>
      </c>
      <c r="D186" s="30"/>
      <c r="E186" s="31">
        <v>45922</v>
      </c>
      <c r="F186" s="30" t="s">
        <v>1289</v>
      </c>
      <c r="G186" s="43">
        <v>1102128</v>
      </c>
      <c r="H186" s="30" t="s">
        <v>1290</v>
      </c>
      <c r="I186" s="30" t="s">
        <v>1291</v>
      </c>
      <c r="J186" s="30" t="str">
        <f>_xlfn.XLOOKUP($I186,RazónMuerte!$A:$A,RazónMuerte!B:B,"",0)</f>
        <v>Enfermedad degenerativa articular</v>
      </c>
      <c r="K186" s="30">
        <f>_xlfn.XLOOKUP($I186,RazónMuerte!$A:$A,RazónMuerte!C:C,"",0)</f>
        <v>0</v>
      </c>
      <c r="L186" s="30" t="str">
        <f>_xlfn.XLOOKUP($I186,RazónMuerte!$A:$A,RazónMuerte!D:D,"",0)</f>
        <v>No fatal injury (chronic/medical)</v>
      </c>
      <c r="M186" s="33" t="s">
        <v>1530</v>
      </c>
    </row>
    <row r="187" spans="1:13" x14ac:dyDescent="0.25">
      <c r="A187" s="30" t="s">
        <v>1237</v>
      </c>
      <c r="B187" s="30" t="str">
        <f t="shared" si="10"/>
        <v>27</v>
      </c>
      <c r="C187" s="30" t="str">
        <f t="shared" si="11"/>
        <v>SEPTIEMBRE</v>
      </c>
      <c r="D187" s="30"/>
      <c r="E187" s="31">
        <v>45927</v>
      </c>
      <c r="F187" s="30" t="s">
        <v>618</v>
      </c>
      <c r="G187" s="43">
        <v>1102248</v>
      </c>
      <c r="H187" s="30" t="s">
        <v>1242</v>
      </c>
      <c r="I187" s="30" t="s">
        <v>1241</v>
      </c>
      <c r="J187" s="30" t="str">
        <f>_xlfn.XLOOKUP($I187,RazónMuerte!$A:$A,RazónMuerte!B:B,"",0)</f>
        <v>Fractura ósea</v>
      </c>
      <c r="K187" s="30" t="str">
        <f>_xlfn.XLOOKUP($I187,RazónMuerte!$A:$A,RazónMuerte!C:C,"",0)</f>
        <v>Caña / Cannon bone</v>
      </c>
      <c r="L187" s="30" t="str">
        <f>_xlfn.XLOOKUP($I187,RazónMuerte!$A:$A,RazónMuerte!D:D,"",0)</f>
        <v>Fatal injury</v>
      </c>
      <c r="M187" s="33" t="s">
        <v>1530</v>
      </c>
    </row>
    <row r="188" spans="1:13" x14ac:dyDescent="0.25">
      <c r="A188" s="30" t="s">
        <v>1278</v>
      </c>
      <c r="B188" s="30" t="str">
        <f t="shared" si="10"/>
        <v>29</v>
      </c>
      <c r="C188" s="30" t="str">
        <f t="shared" si="11"/>
        <v>OCTUBRE</v>
      </c>
      <c r="D188" s="31"/>
      <c r="E188" s="31">
        <v>45959</v>
      </c>
      <c r="F188" s="30" t="s">
        <v>812</v>
      </c>
      <c r="G188" s="43">
        <v>1103016</v>
      </c>
      <c r="H188" s="30" t="s">
        <v>1279</v>
      </c>
      <c r="I188" s="30" t="s">
        <v>1280</v>
      </c>
      <c r="J188" s="30" t="str">
        <f>_xlfn.XLOOKUP($I188,RazónMuerte!$A:$A,RazónMuerte!B:B,"",0)</f>
        <v>Fractura ósea</v>
      </c>
      <c r="K188" s="30" t="str">
        <f>_xlfn.XLOOKUP($I188,RazónMuerte!$A:$A,RazónMuerte!C:C,"",0)</f>
        <v>Rodilla / Carpal</v>
      </c>
      <c r="L188" s="30" t="str">
        <f>_xlfn.XLOOKUP($I188,RazónMuerte!$A:$A,RazónMuerte!D:D,"",0)</f>
        <v>Fatal injury</v>
      </c>
      <c r="M188" s="33" t="s">
        <v>1530</v>
      </c>
    </row>
    <row r="189" spans="1:13" x14ac:dyDescent="0.25">
      <c r="A189" s="30" t="s">
        <v>1278</v>
      </c>
      <c r="B189" s="30" t="str">
        <f t="shared" si="10"/>
        <v>29</v>
      </c>
      <c r="C189" s="30" t="str">
        <f t="shared" si="11"/>
        <v>OCTUBRE</v>
      </c>
      <c r="D189" s="30"/>
      <c r="E189" s="31">
        <v>45959</v>
      </c>
      <c r="F189" s="30" t="s">
        <v>1048</v>
      </c>
      <c r="G189" s="43">
        <v>1103016</v>
      </c>
      <c r="H189" s="30" t="s">
        <v>1282</v>
      </c>
      <c r="I189" s="30" t="s">
        <v>1281</v>
      </c>
      <c r="J189" s="30" t="str">
        <f>_xlfn.XLOOKUP($I189,RazónMuerte!$A:$A,RazónMuerte!B:B,"",0)</f>
        <v>Otras / No especificada</v>
      </c>
      <c r="K189" s="30">
        <f>_xlfn.XLOOKUP($I189,RazónMuerte!$A:$A,RazónMuerte!C:C,"",0)</f>
        <v>0</v>
      </c>
      <c r="L189" s="30" t="str">
        <f>_xlfn.XLOOKUP($I189,RazónMuerte!$A:$A,RazónMuerte!D:D,"",0)</f>
        <v>No clasificado</v>
      </c>
      <c r="M189" s="33" t="s">
        <v>1530</v>
      </c>
    </row>
    <row r="190" spans="1:13" x14ac:dyDescent="0.25">
      <c r="A190" s="30" t="s">
        <v>1292</v>
      </c>
      <c r="B190" s="30" t="str">
        <f t="shared" si="10"/>
        <v>31</v>
      </c>
      <c r="C190" s="30" t="str">
        <f t="shared" si="11"/>
        <v>OCTUBRE</v>
      </c>
      <c r="D190" s="30"/>
      <c r="E190" s="31">
        <v>45961</v>
      </c>
      <c r="F190" s="30" t="s">
        <v>1296</v>
      </c>
      <c r="G190" s="43">
        <v>1103064</v>
      </c>
      <c r="H190" s="30" t="s">
        <v>1364</v>
      </c>
      <c r="I190" s="30" t="s">
        <v>1297</v>
      </c>
      <c r="J190" s="30" t="str">
        <f>_xlfn.XLOOKUP($I190,RazónMuerte!$A:$A,RazónMuerte!B:B,"",0)</f>
        <v>Otras / No especificada</v>
      </c>
      <c r="K190" s="30">
        <f>_xlfn.XLOOKUP($I190,RazónMuerte!$A:$A,RazónMuerte!C:C,"",0)</f>
        <v>0</v>
      </c>
      <c r="L190" s="30" t="str">
        <f>_xlfn.XLOOKUP($I190,RazónMuerte!$A:$A,RazónMuerte!D:D,"",0)</f>
        <v>No clasificado</v>
      </c>
      <c r="M190" s="33" t="s">
        <v>1530</v>
      </c>
    </row>
    <row r="191" spans="1:13" x14ac:dyDescent="0.25">
      <c r="A191" s="30" t="s">
        <v>1300</v>
      </c>
      <c r="B191" s="30" t="str">
        <f t="shared" si="10"/>
        <v>1</v>
      </c>
      <c r="C191" s="30" t="str">
        <f t="shared" si="11"/>
        <v>NOVIEMBRE</v>
      </c>
      <c r="D191" s="30"/>
      <c r="E191" s="31">
        <v>45962</v>
      </c>
      <c r="F191" s="30" t="s">
        <v>38</v>
      </c>
      <c r="G191" s="43">
        <v>1103088</v>
      </c>
      <c r="H191" s="30" t="s">
        <v>1301</v>
      </c>
      <c r="I191" s="30" t="s">
        <v>1302</v>
      </c>
      <c r="J191" s="30" t="str">
        <f>_xlfn.XLOOKUP($I191,RazónMuerte!$A:$A,RazónMuerte!B:B,"",0)</f>
        <v>Fractura ósea</v>
      </c>
      <c r="K191" s="30" t="str">
        <f>_xlfn.XLOOKUP($I191,RazónMuerte!$A:$A,RazónMuerte!C:C,"",0)</f>
        <v>No especificado</v>
      </c>
      <c r="L191" s="30" t="str">
        <f>_xlfn.XLOOKUP($I191,RazónMuerte!$A:$A,RazónMuerte!D:D,"",0)</f>
        <v>Fatal injury</v>
      </c>
      <c r="M191" s="33" t="s">
        <v>1530</v>
      </c>
    </row>
    <row r="192" spans="1:13" x14ac:dyDescent="0.25">
      <c r="A192" s="30" t="s">
        <v>1309</v>
      </c>
      <c r="B192" s="30" t="str">
        <f t="shared" si="10"/>
        <v>5</v>
      </c>
      <c r="C192" s="30" t="str">
        <f t="shared" si="11"/>
        <v>NOVIEMBRE</v>
      </c>
      <c r="D192" s="30"/>
      <c r="E192" s="31">
        <v>45966</v>
      </c>
      <c r="F192" s="30" t="s">
        <v>1310</v>
      </c>
      <c r="G192" s="43">
        <v>1103184</v>
      </c>
      <c r="H192" s="30" t="s">
        <v>11</v>
      </c>
      <c r="I192" s="30" t="s">
        <v>966</v>
      </c>
      <c r="J192" s="30" t="str">
        <f>_xlfn.XLOOKUP($I192,RazónMuerte!$A:$A,RazónMuerte!B:B,"",0)</f>
        <v>Fractura ósea</v>
      </c>
      <c r="K192" s="30" t="str">
        <f>_xlfn.XLOOKUP($I192,RazónMuerte!$A:$A,RazónMuerte!C:C,"",0)</f>
        <v>No especificado</v>
      </c>
      <c r="L192" s="30" t="str">
        <f>_xlfn.XLOOKUP($I192,RazónMuerte!$A:$A,RazónMuerte!D:D,"",0)</f>
        <v>Fatal injury</v>
      </c>
      <c r="M192" s="33" t="s">
        <v>1530</v>
      </c>
    </row>
    <row r="193" spans="1:13" x14ac:dyDescent="0.25">
      <c r="A193" s="30" t="s">
        <v>1312</v>
      </c>
      <c r="B193" s="30" t="str">
        <f t="shared" si="10"/>
        <v>11</v>
      </c>
      <c r="C193" s="30" t="str">
        <f t="shared" si="11"/>
        <v>NOVIEMBRE</v>
      </c>
      <c r="D193" s="30"/>
      <c r="E193" s="31">
        <v>45972</v>
      </c>
      <c r="F193" s="30" t="s">
        <v>17</v>
      </c>
      <c r="G193" s="43">
        <v>1103328</v>
      </c>
      <c r="H193" s="30" t="s">
        <v>1313</v>
      </c>
      <c r="I193" s="30" t="s">
        <v>1311</v>
      </c>
      <c r="J193" s="30" t="str">
        <f>_xlfn.XLOOKUP($I193,RazónMuerte!$A:$A,RazónMuerte!B:B,"",0)</f>
        <v>Otras / No especificada</v>
      </c>
      <c r="K193" s="30">
        <f>_xlfn.XLOOKUP($I193,RazónMuerte!$A:$A,RazónMuerte!C:C,"",0)</f>
        <v>0</v>
      </c>
      <c r="L193" s="30" t="str">
        <f>_xlfn.XLOOKUP($I193,RazónMuerte!$A:$A,RazónMuerte!D:D,"",0)</f>
        <v>No clasificado</v>
      </c>
      <c r="M193" s="33" t="s">
        <v>1530</v>
      </c>
    </row>
    <row r="194" spans="1:13" s="30" customFormat="1" x14ac:dyDescent="0.25">
      <c r="A194" s="30" t="s">
        <v>1314</v>
      </c>
      <c r="B194" s="30" t="str">
        <f t="shared" ref="B194:B198" si="12">LEFT(A194,FIND("-",A194)-1)</f>
        <v>20</v>
      </c>
      <c r="C194" s="30" t="str">
        <f t="shared" si="11"/>
        <v>NOVIEMBRE</v>
      </c>
      <c r="D194" s="31"/>
      <c r="E194" s="31">
        <v>45981</v>
      </c>
      <c r="F194" s="30" t="s">
        <v>35</v>
      </c>
      <c r="G194" s="43">
        <v>1103544</v>
      </c>
      <c r="H194" s="30" t="s">
        <v>1318</v>
      </c>
      <c r="I194" s="30" t="s">
        <v>1319</v>
      </c>
      <c r="J194" s="30" t="str">
        <f>_xlfn.XLOOKUP($I194,RazónMuerte!$A:$A,RazónMuerte!B:B,"",0)</f>
        <v>Otras / No especificada</v>
      </c>
      <c r="K194" s="30">
        <f>_xlfn.XLOOKUP($I194,RazónMuerte!$A:$A,RazónMuerte!C:C,"",0)</f>
        <v>0</v>
      </c>
      <c r="L194" s="30" t="str">
        <f>_xlfn.XLOOKUP($I194,RazónMuerte!$A:$A,RazónMuerte!D:D,"",0)</f>
        <v>No clasificado</v>
      </c>
      <c r="M194" s="33" t="s">
        <v>1530</v>
      </c>
    </row>
    <row r="195" spans="1:13" x14ac:dyDescent="0.25">
      <c r="A195" s="30" t="s">
        <v>1320</v>
      </c>
      <c r="B195" s="30" t="str">
        <f t="shared" si="12"/>
        <v>21</v>
      </c>
      <c r="C195" s="30" t="str">
        <f t="shared" si="11"/>
        <v>NOVIEMBRE</v>
      </c>
      <c r="D195" s="30"/>
      <c r="E195" s="31">
        <v>45982</v>
      </c>
      <c r="F195" s="30" t="s">
        <v>1321</v>
      </c>
      <c r="G195" s="43">
        <v>1103568</v>
      </c>
      <c r="H195" s="30" t="s">
        <v>1322</v>
      </c>
      <c r="I195" s="30" t="s">
        <v>1323</v>
      </c>
      <c r="J195" s="30" t="str">
        <f>_xlfn.XLOOKUP($I195,RazónMuerte!$A:$A,RazónMuerte!B:B,"",0)</f>
        <v>Fractura ósea</v>
      </c>
      <c r="K195" s="30" t="str">
        <f>_xlfn.XLOOKUP($I195,RazónMuerte!$A:$A,RazónMuerte!C:C,"",0)</f>
        <v>No especificado</v>
      </c>
      <c r="L195" s="30" t="str">
        <f>_xlfn.XLOOKUP($I195,RazónMuerte!$A:$A,RazónMuerte!D:D,"",0)</f>
        <v>Fatal injury</v>
      </c>
      <c r="M195" s="33" t="s">
        <v>1530</v>
      </c>
    </row>
    <row r="196" spans="1:13" x14ac:dyDescent="0.25">
      <c r="A196" s="30" t="s">
        <v>1336</v>
      </c>
      <c r="B196" s="30" t="str">
        <f t="shared" si="12"/>
        <v>28</v>
      </c>
      <c r="C196" s="30" t="str">
        <f t="shared" si="11"/>
        <v>NOVIEMBRE</v>
      </c>
      <c r="D196" s="30"/>
      <c r="E196" s="31">
        <v>45989</v>
      </c>
      <c r="F196" s="30" t="s">
        <v>113</v>
      </c>
      <c r="G196" s="43">
        <v>1103736</v>
      </c>
      <c r="H196" s="30" t="s">
        <v>1337</v>
      </c>
      <c r="I196" s="30" t="s">
        <v>57</v>
      </c>
      <c r="J196" s="30" t="str">
        <f>_xlfn.XLOOKUP($I196,RazónMuerte!$A:$A,RazónMuerte!B:B,"",0)</f>
        <v>Otras / No especificada</v>
      </c>
      <c r="K196" s="30">
        <f>_xlfn.XLOOKUP($I196,RazónMuerte!$A:$A,RazónMuerte!C:C,"",0)</f>
        <v>0</v>
      </c>
      <c r="L196" s="30" t="str">
        <f>_xlfn.XLOOKUP($I196,RazónMuerte!$A:$A,RazónMuerte!D:D,"",0)</f>
        <v>No clasificado</v>
      </c>
      <c r="M196" s="33" t="s">
        <v>1530</v>
      </c>
    </row>
    <row r="197" spans="1:13" s="30" customFormat="1" x14ac:dyDescent="0.25">
      <c r="A197" s="30" t="s">
        <v>1380</v>
      </c>
      <c r="B197" s="30" t="str">
        <f t="shared" si="12"/>
        <v>29</v>
      </c>
      <c r="C197" s="30" t="str">
        <f t="shared" si="11"/>
        <v>DICIEMBRE</v>
      </c>
      <c r="E197" s="31">
        <v>46020</v>
      </c>
      <c r="F197" s="30" t="s">
        <v>887</v>
      </c>
      <c r="G197" s="43">
        <v>1104480</v>
      </c>
      <c r="H197" s="30" t="s">
        <v>1381</v>
      </c>
      <c r="I197" s="30" t="s">
        <v>1271</v>
      </c>
      <c r="J197" s="30" t="str">
        <f>_xlfn.XLOOKUP($I197,RazónMuerte!$A:$A,RazónMuerte!B:B,"",0)</f>
        <v>Fractura ósea</v>
      </c>
      <c r="K197" s="30" t="str">
        <f>_xlfn.XLOOKUP($I197,RazónMuerte!$A:$A,RazónMuerte!C:C,"",0)</f>
        <v>Slab</v>
      </c>
      <c r="L197" s="30" t="str">
        <f>_xlfn.XLOOKUP($I197,RazónMuerte!$A:$A,RazónMuerte!D:D,"",0)</f>
        <v>Fatal injury</v>
      </c>
      <c r="M197" s="33" t="s">
        <v>1530</v>
      </c>
    </row>
    <row r="198" spans="1:13" x14ac:dyDescent="0.25">
      <c r="A198" s="30" t="s">
        <v>1382</v>
      </c>
      <c r="B198" s="30" t="str">
        <f t="shared" si="12"/>
        <v>31</v>
      </c>
      <c r="C198" s="30" t="str">
        <f t="shared" si="11"/>
        <v>DICIEMBRE</v>
      </c>
      <c r="D198" s="30"/>
      <c r="E198" s="31">
        <v>46022</v>
      </c>
      <c r="F198" s="30" t="s">
        <v>991</v>
      </c>
      <c r="G198" s="43">
        <v>1104528</v>
      </c>
      <c r="H198" s="30" t="s">
        <v>1383</v>
      </c>
      <c r="I198" s="30" t="s">
        <v>1384</v>
      </c>
      <c r="J198" s="30" t="str">
        <f>_xlfn.XLOOKUP($I198,RazónMuerte!$A:$A,RazónMuerte!B:B,"",0)</f>
        <v>Fractura ósea</v>
      </c>
      <c r="K198" s="30" t="str">
        <f>_xlfn.XLOOKUP($I198,RazónMuerte!$A:$A,RazónMuerte!C:C,"",0)</f>
        <v>Caña / Cannon bone</v>
      </c>
      <c r="L198" s="30" t="str">
        <f>_xlfn.XLOOKUP($I198,RazónMuerte!$A:$A,RazónMuerte!D:D,"",0)</f>
        <v>Fatal injury</v>
      </c>
      <c r="M198" s="33" t="s">
        <v>1530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B0064-696A-4338-B3B0-0F5B3EDA6A81}">
  <dimension ref="A2:F49"/>
  <sheetViews>
    <sheetView tabSelected="1" workbookViewId="0">
      <selection activeCell="I17" sqref="I17"/>
    </sheetView>
  </sheetViews>
  <sheetFormatPr defaultRowHeight="15" x14ac:dyDescent="0.25"/>
  <cols>
    <col min="1" max="1" width="22.7109375" bestFit="1" customWidth="1"/>
    <col min="2" max="2" width="20.7109375" bestFit="1" customWidth="1"/>
    <col min="3" max="3" width="12.7109375" bestFit="1" customWidth="1"/>
    <col min="4" max="4" width="20.42578125" bestFit="1" customWidth="1"/>
    <col min="5" max="5" width="12" bestFit="1" customWidth="1"/>
    <col min="6" max="6" width="11.28515625" bestFit="1" customWidth="1"/>
  </cols>
  <sheetData>
    <row r="2" spans="1:6" x14ac:dyDescent="0.25">
      <c r="A2" s="21" t="s">
        <v>1531</v>
      </c>
      <c r="B2" t="s" vm="4">
        <v>1532</v>
      </c>
    </row>
    <row r="3" spans="1:6" x14ac:dyDescent="0.25">
      <c r="A3" s="21" t="s">
        <v>2303</v>
      </c>
      <c r="B3" t="s" vm="3">
        <v>1796</v>
      </c>
    </row>
    <row r="4" spans="1:6" x14ac:dyDescent="0.25">
      <c r="A4" s="21" t="s">
        <v>1529</v>
      </c>
      <c r="B4" t="s" vm="2">
        <v>1887</v>
      </c>
    </row>
    <row r="6" spans="1:6" x14ac:dyDescent="0.25">
      <c r="A6" s="47" t="s">
        <v>2305</v>
      </c>
      <c r="B6" s="47" t="s">
        <v>2307</v>
      </c>
      <c r="C6" s="48"/>
      <c r="D6" s="48"/>
      <c r="E6" s="48"/>
      <c r="F6" s="48"/>
    </row>
    <row r="7" spans="1:6" ht="36" customHeight="1" x14ac:dyDescent="0.25">
      <c r="A7" s="49" t="s">
        <v>2306</v>
      </c>
      <c r="B7" s="7" t="s">
        <v>1418</v>
      </c>
      <c r="C7" s="50" t="s">
        <v>1419</v>
      </c>
      <c r="D7" s="50" t="s">
        <v>1425</v>
      </c>
      <c r="E7" s="7" t="s">
        <v>1424</v>
      </c>
      <c r="F7" s="7" t="s">
        <v>1436</v>
      </c>
    </row>
    <row r="8" spans="1:6" ht="15.75" x14ac:dyDescent="0.25">
      <c r="A8" s="22" t="s">
        <v>1437</v>
      </c>
      <c r="B8" s="51"/>
      <c r="C8" s="51">
        <v>2</v>
      </c>
      <c r="D8" s="51">
        <v>1</v>
      </c>
      <c r="E8" s="51"/>
      <c r="F8" s="51">
        <v>3</v>
      </c>
    </row>
    <row r="9" spans="1:6" x14ac:dyDescent="0.25">
      <c r="A9" s="23" t="s">
        <v>1546</v>
      </c>
      <c r="B9" s="52"/>
      <c r="C9" s="52">
        <v>1</v>
      </c>
      <c r="D9" s="52"/>
      <c r="E9" s="52"/>
      <c r="F9" s="52">
        <v>1</v>
      </c>
    </row>
    <row r="10" spans="1:6" x14ac:dyDescent="0.25">
      <c r="A10" s="23" t="s">
        <v>1543</v>
      </c>
      <c r="B10" s="52"/>
      <c r="C10" s="52"/>
      <c r="D10" s="52">
        <v>1</v>
      </c>
      <c r="E10" s="52"/>
      <c r="F10" s="52">
        <v>1</v>
      </c>
    </row>
    <row r="11" spans="1:6" x14ac:dyDescent="0.25">
      <c r="A11" s="23" t="s">
        <v>1545</v>
      </c>
      <c r="B11" s="52"/>
      <c r="C11" s="52">
        <v>1</v>
      </c>
      <c r="D11" s="52"/>
      <c r="E11" s="52"/>
      <c r="F11" s="52">
        <v>1</v>
      </c>
    </row>
    <row r="12" spans="1:6" ht="15.75" x14ac:dyDescent="0.25">
      <c r="A12" s="22" t="s">
        <v>1438</v>
      </c>
      <c r="B12" s="51"/>
      <c r="C12" s="51">
        <v>2</v>
      </c>
      <c r="D12" s="51"/>
      <c r="E12" s="51">
        <v>1</v>
      </c>
      <c r="F12" s="51">
        <v>3</v>
      </c>
    </row>
    <row r="13" spans="1:6" x14ac:dyDescent="0.25">
      <c r="A13" s="23" t="s">
        <v>1612</v>
      </c>
      <c r="B13" s="52"/>
      <c r="C13" s="52">
        <v>1</v>
      </c>
      <c r="D13" s="52"/>
      <c r="E13" s="52"/>
      <c r="F13" s="52">
        <v>1</v>
      </c>
    </row>
    <row r="14" spans="1:6" x14ac:dyDescent="0.25">
      <c r="A14" s="23" t="s">
        <v>1797</v>
      </c>
      <c r="B14" s="52"/>
      <c r="C14" s="52"/>
      <c r="D14" s="52"/>
      <c r="E14" s="52">
        <v>1</v>
      </c>
      <c r="F14" s="52">
        <v>1</v>
      </c>
    </row>
    <row r="15" spans="1:6" x14ac:dyDescent="0.25">
      <c r="A15" s="23" t="s">
        <v>1608</v>
      </c>
      <c r="B15" s="52"/>
      <c r="C15" s="52">
        <v>1</v>
      </c>
      <c r="D15" s="52"/>
      <c r="E15" s="52"/>
      <c r="F15" s="52">
        <v>1</v>
      </c>
    </row>
    <row r="16" spans="1:6" x14ac:dyDescent="0.25">
      <c r="A16" s="22" t="s">
        <v>1439</v>
      </c>
      <c r="B16" s="52"/>
      <c r="C16" s="52"/>
      <c r="D16" s="52">
        <v>1</v>
      </c>
      <c r="E16" s="52"/>
      <c r="F16" s="52">
        <v>1</v>
      </c>
    </row>
    <row r="17" spans="1:6" x14ac:dyDescent="0.25">
      <c r="A17" s="23" t="s">
        <v>1681</v>
      </c>
      <c r="B17" s="52"/>
      <c r="C17" s="52"/>
      <c r="D17" s="52">
        <v>1</v>
      </c>
      <c r="E17" s="52"/>
      <c r="F17" s="52">
        <v>1</v>
      </c>
    </row>
    <row r="18" spans="1:6" ht="15.75" x14ac:dyDescent="0.25">
      <c r="A18" s="22" t="s">
        <v>1440</v>
      </c>
      <c r="B18" s="51"/>
      <c r="C18" s="51">
        <v>1</v>
      </c>
      <c r="D18" s="51"/>
      <c r="E18" s="51"/>
      <c r="F18" s="51">
        <v>1</v>
      </c>
    </row>
    <row r="19" spans="1:6" x14ac:dyDescent="0.25">
      <c r="A19" s="23" t="s">
        <v>1725</v>
      </c>
      <c r="B19" s="52"/>
      <c r="C19" s="52">
        <v>1</v>
      </c>
      <c r="D19" s="52"/>
      <c r="E19" s="52"/>
      <c r="F19" s="52">
        <v>1</v>
      </c>
    </row>
    <row r="20" spans="1:6" ht="15.75" x14ac:dyDescent="0.25">
      <c r="A20" s="22" t="s">
        <v>1441</v>
      </c>
      <c r="B20" s="51">
        <v>9</v>
      </c>
      <c r="C20" s="51">
        <v>5</v>
      </c>
      <c r="D20" s="51"/>
      <c r="E20" s="51">
        <v>5</v>
      </c>
      <c r="F20" s="51">
        <v>19</v>
      </c>
    </row>
    <row r="21" spans="1:6" x14ac:dyDescent="0.25">
      <c r="A21" s="23" t="s">
        <v>1804</v>
      </c>
      <c r="B21" s="52">
        <v>1</v>
      </c>
      <c r="C21" s="52"/>
      <c r="D21" s="52"/>
      <c r="E21" s="52"/>
      <c r="F21" s="52">
        <v>1</v>
      </c>
    </row>
    <row r="22" spans="1:6" x14ac:dyDescent="0.25">
      <c r="A22" s="23" t="s">
        <v>1820</v>
      </c>
      <c r="B22" s="52"/>
      <c r="C22" s="52">
        <v>1</v>
      </c>
      <c r="D22" s="52"/>
      <c r="E22" s="52"/>
      <c r="F22" s="52">
        <v>1</v>
      </c>
    </row>
    <row r="23" spans="1:6" x14ac:dyDescent="0.25">
      <c r="A23" s="23" t="s">
        <v>1822</v>
      </c>
      <c r="B23" s="52"/>
      <c r="C23" s="52">
        <v>1</v>
      </c>
      <c r="D23" s="52"/>
      <c r="E23" s="52"/>
      <c r="F23" s="52">
        <v>1</v>
      </c>
    </row>
    <row r="24" spans="1:6" x14ac:dyDescent="0.25">
      <c r="A24" s="23" t="s">
        <v>1812</v>
      </c>
      <c r="B24" s="52">
        <v>1</v>
      </c>
      <c r="C24" s="52"/>
      <c r="D24" s="52"/>
      <c r="E24" s="52"/>
      <c r="F24" s="52">
        <v>1</v>
      </c>
    </row>
    <row r="25" spans="1:6" x14ac:dyDescent="0.25">
      <c r="A25" s="23" t="s">
        <v>1818</v>
      </c>
      <c r="B25" s="52">
        <v>1</v>
      </c>
      <c r="C25" s="52"/>
      <c r="D25" s="52"/>
      <c r="E25" s="52"/>
      <c r="F25" s="52">
        <v>1</v>
      </c>
    </row>
    <row r="26" spans="1:6" x14ac:dyDescent="0.25">
      <c r="A26" s="23" t="s">
        <v>1828</v>
      </c>
      <c r="B26" s="52">
        <v>1</v>
      </c>
      <c r="C26" s="52"/>
      <c r="D26" s="52"/>
      <c r="E26" s="52"/>
      <c r="F26" s="52">
        <v>1</v>
      </c>
    </row>
    <row r="27" spans="1:6" x14ac:dyDescent="0.25">
      <c r="A27" s="23" t="s">
        <v>1816</v>
      </c>
      <c r="B27" s="52">
        <v>1</v>
      </c>
      <c r="C27" s="52"/>
      <c r="D27" s="52"/>
      <c r="E27" s="52"/>
      <c r="F27" s="52">
        <v>1</v>
      </c>
    </row>
    <row r="28" spans="1:6" x14ac:dyDescent="0.25">
      <c r="A28" s="23" t="s">
        <v>1836</v>
      </c>
      <c r="B28" s="52"/>
      <c r="C28" s="52"/>
      <c r="D28" s="52"/>
      <c r="E28" s="52">
        <v>1</v>
      </c>
      <c r="F28" s="52">
        <v>1</v>
      </c>
    </row>
    <row r="29" spans="1:6" x14ac:dyDescent="0.25">
      <c r="A29" s="23" t="s">
        <v>1806</v>
      </c>
      <c r="B29" s="52">
        <v>1</v>
      </c>
      <c r="C29" s="52"/>
      <c r="D29" s="52"/>
      <c r="E29" s="52"/>
      <c r="F29" s="52">
        <v>1</v>
      </c>
    </row>
    <row r="30" spans="1:6" x14ac:dyDescent="0.25">
      <c r="A30" s="23" t="s">
        <v>1883</v>
      </c>
      <c r="B30" s="52">
        <v>1</v>
      </c>
      <c r="C30" s="52"/>
      <c r="D30" s="52"/>
      <c r="E30" s="52"/>
      <c r="F30" s="52">
        <v>1</v>
      </c>
    </row>
    <row r="31" spans="1:6" x14ac:dyDescent="0.25">
      <c r="A31" s="23" t="s">
        <v>1807</v>
      </c>
      <c r="B31" s="52"/>
      <c r="C31" s="52">
        <v>1</v>
      </c>
      <c r="D31" s="52"/>
      <c r="E31" s="52"/>
      <c r="F31" s="52">
        <v>1</v>
      </c>
    </row>
    <row r="32" spans="1:6" x14ac:dyDescent="0.25">
      <c r="A32" s="23" t="s">
        <v>1840</v>
      </c>
      <c r="B32" s="52">
        <v>1</v>
      </c>
      <c r="C32" s="52"/>
      <c r="D32" s="52"/>
      <c r="E32" s="52"/>
      <c r="F32" s="52">
        <v>1</v>
      </c>
    </row>
    <row r="33" spans="1:6" x14ac:dyDescent="0.25">
      <c r="A33" s="23" t="s">
        <v>1837</v>
      </c>
      <c r="B33" s="52"/>
      <c r="C33" s="52"/>
      <c r="D33" s="52"/>
      <c r="E33" s="52">
        <v>1</v>
      </c>
      <c r="F33" s="52">
        <v>1</v>
      </c>
    </row>
    <row r="34" spans="1:6" x14ac:dyDescent="0.25">
      <c r="A34" s="23" t="s">
        <v>1885</v>
      </c>
      <c r="B34" s="52">
        <v>1</v>
      </c>
      <c r="C34" s="52"/>
      <c r="D34" s="52"/>
      <c r="E34" s="52"/>
      <c r="F34" s="52">
        <v>1</v>
      </c>
    </row>
    <row r="35" spans="1:6" x14ac:dyDescent="0.25">
      <c r="A35" s="23" t="s">
        <v>1834</v>
      </c>
      <c r="B35" s="52"/>
      <c r="C35" s="52"/>
      <c r="D35" s="52"/>
      <c r="E35" s="52">
        <v>1</v>
      </c>
      <c r="F35" s="52">
        <v>1</v>
      </c>
    </row>
    <row r="36" spans="1:6" x14ac:dyDescent="0.25">
      <c r="A36" s="23" t="s">
        <v>1826</v>
      </c>
      <c r="B36" s="52"/>
      <c r="C36" s="52">
        <v>1</v>
      </c>
      <c r="D36" s="52"/>
      <c r="E36" s="52"/>
      <c r="F36" s="52">
        <v>1</v>
      </c>
    </row>
    <row r="37" spans="1:6" x14ac:dyDescent="0.25">
      <c r="A37" s="23" t="s">
        <v>1832</v>
      </c>
      <c r="B37" s="52"/>
      <c r="C37" s="52"/>
      <c r="D37" s="52"/>
      <c r="E37" s="52">
        <v>1</v>
      </c>
      <c r="F37" s="52">
        <v>1</v>
      </c>
    </row>
    <row r="38" spans="1:6" x14ac:dyDescent="0.25">
      <c r="A38" s="23" t="s">
        <v>1814</v>
      </c>
      <c r="B38" s="52"/>
      <c r="C38" s="52">
        <v>1</v>
      </c>
      <c r="D38" s="52"/>
      <c r="E38" s="52"/>
      <c r="F38" s="52">
        <v>1</v>
      </c>
    </row>
    <row r="39" spans="1:6" x14ac:dyDescent="0.25">
      <c r="A39" s="23" t="s">
        <v>1884</v>
      </c>
      <c r="B39" s="52"/>
      <c r="C39" s="52"/>
      <c r="D39" s="52"/>
      <c r="E39" s="52">
        <v>1</v>
      </c>
      <c r="F39" s="52">
        <v>1</v>
      </c>
    </row>
    <row r="40" spans="1:6" ht="15.75" x14ac:dyDescent="0.25">
      <c r="A40" s="22" t="s">
        <v>1442</v>
      </c>
      <c r="B40" s="51">
        <v>1</v>
      </c>
      <c r="C40" s="51">
        <v>5</v>
      </c>
      <c r="D40" s="51">
        <v>2</v>
      </c>
      <c r="E40" s="51"/>
      <c r="F40" s="51">
        <v>8</v>
      </c>
    </row>
    <row r="41" spans="1:6" x14ac:dyDescent="0.25">
      <c r="A41" s="23" t="s">
        <v>1844</v>
      </c>
      <c r="B41" s="52"/>
      <c r="C41" s="52"/>
      <c r="D41" s="52">
        <v>1</v>
      </c>
      <c r="E41" s="52"/>
      <c r="F41" s="52">
        <v>1</v>
      </c>
    </row>
    <row r="42" spans="1:6" x14ac:dyDescent="0.25">
      <c r="A42" s="23" t="s">
        <v>1847</v>
      </c>
      <c r="B42" s="52">
        <v>1</v>
      </c>
      <c r="C42" s="52"/>
      <c r="D42" s="52"/>
      <c r="E42" s="52"/>
      <c r="F42" s="52">
        <v>1</v>
      </c>
    </row>
    <row r="43" spans="1:6" x14ac:dyDescent="0.25">
      <c r="A43" s="23" t="s">
        <v>1852</v>
      </c>
      <c r="B43" s="52"/>
      <c r="C43" s="52">
        <v>1</v>
      </c>
      <c r="D43" s="52"/>
      <c r="E43" s="52"/>
      <c r="F43" s="52">
        <v>1</v>
      </c>
    </row>
    <row r="44" spans="1:6" x14ac:dyDescent="0.25">
      <c r="A44" s="23" t="s">
        <v>1882</v>
      </c>
      <c r="B44" s="52"/>
      <c r="C44" s="52">
        <v>1</v>
      </c>
      <c r="D44" s="52"/>
      <c r="E44" s="52"/>
      <c r="F44" s="52">
        <v>1</v>
      </c>
    </row>
    <row r="45" spans="1:6" x14ac:dyDescent="0.25">
      <c r="A45" s="23" t="s">
        <v>1861</v>
      </c>
      <c r="B45" s="52"/>
      <c r="C45" s="52">
        <v>1</v>
      </c>
      <c r="D45" s="52"/>
      <c r="E45" s="52"/>
      <c r="F45" s="52">
        <v>1</v>
      </c>
    </row>
    <row r="46" spans="1:6" x14ac:dyDescent="0.25">
      <c r="A46" s="23" t="s">
        <v>1855</v>
      </c>
      <c r="B46" s="52"/>
      <c r="C46" s="52">
        <v>1</v>
      </c>
      <c r="D46" s="52"/>
      <c r="E46" s="52"/>
      <c r="F46" s="52">
        <v>1</v>
      </c>
    </row>
    <row r="47" spans="1:6" x14ac:dyDescent="0.25">
      <c r="A47" s="23" t="s">
        <v>1857</v>
      </c>
      <c r="B47" s="52"/>
      <c r="C47" s="52">
        <v>1</v>
      </c>
      <c r="D47" s="52"/>
      <c r="E47" s="52"/>
      <c r="F47" s="52">
        <v>1</v>
      </c>
    </row>
    <row r="48" spans="1:6" x14ac:dyDescent="0.25">
      <c r="A48" s="23" t="s">
        <v>1864</v>
      </c>
      <c r="B48" s="52"/>
      <c r="C48" s="52"/>
      <c r="D48" s="52">
        <v>1</v>
      </c>
      <c r="E48" s="52"/>
      <c r="F48" s="52">
        <v>1</v>
      </c>
    </row>
    <row r="49" spans="1:6" ht="15.75" x14ac:dyDescent="0.25">
      <c r="A49" s="22" t="s">
        <v>1436</v>
      </c>
      <c r="B49" s="51">
        <v>10</v>
      </c>
      <c r="C49" s="51">
        <v>15</v>
      </c>
      <c r="D49" s="51">
        <v>4</v>
      </c>
      <c r="E49" s="51">
        <v>6</v>
      </c>
      <c r="F49" s="51">
        <v>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A840-7D0D-420E-A8E1-D9712859D373}">
  <dimension ref="A1:O554"/>
  <sheetViews>
    <sheetView topLeftCell="E1" workbookViewId="0">
      <pane ySplit="1" topLeftCell="A475" activePane="bottomLeft" state="frozen"/>
      <selection pane="bottomLeft" activeCell="G9" sqref="G9"/>
    </sheetView>
  </sheetViews>
  <sheetFormatPr defaultRowHeight="15" x14ac:dyDescent="0.25"/>
  <cols>
    <col min="1" max="1" width="5" bestFit="1" customWidth="1"/>
    <col min="2" max="2" width="21" customWidth="1"/>
    <col min="3" max="3" width="3.7109375" bestFit="1" customWidth="1"/>
    <col min="4" max="4" width="11.7109375" bestFit="1" customWidth="1"/>
    <col min="5" max="5" width="30" bestFit="1" customWidth="1"/>
    <col min="6" max="6" width="10.85546875" bestFit="1" customWidth="1"/>
    <col min="7" max="7" width="22.140625" bestFit="1" customWidth="1"/>
    <col min="8" max="8" width="18.140625" style="45" bestFit="1" customWidth="1"/>
    <col min="9" max="9" width="22.5703125" bestFit="1" customWidth="1"/>
    <col min="10" max="10" width="45.7109375" customWidth="1"/>
    <col min="11" max="11" width="32.42578125" bestFit="1" customWidth="1"/>
    <col min="12" max="12" width="19" bestFit="1" customWidth="1"/>
    <col min="13" max="13" width="30.42578125" bestFit="1" customWidth="1"/>
    <col min="14" max="14" width="20.7109375" bestFit="1" customWidth="1"/>
  </cols>
  <sheetData>
    <row r="1" spans="1:15" x14ac:dyDescent="0.25">
      <c r="A1" s="36" t="s">
        <v>1533</v>
      </c>
      <c r="B1" s="37" t="s">
        <v>0</v>
      </c>
      <c r="C1" s="37" t="s">
        <v>1434</v>
      </c>
      <c r="D1" s="37" t="s">
        <v>1413</v>
      </c>
      <c r="E1" s="37" t="s">
        <v>1527</v>
      </c>
      <c r="F1" s="37" t="s">
        <v>1528</v>
      </c>
      <c r="G1" s="37" t="s">
        <v>1</v>
      </c>
      <c r="H1" s="44" t="s">
        <v>1529</v>
      </c>
      <c r="I1" s="37" t="s">
        <v>2</v>
      </c>
      <c r="J1" s="37" t="s">
        <v>3</v>
      </c>
      <c r="K1" s="36" t="s">
        <v>1416</v>
      </c>
      <c r="L1" s="36" t="s">
        <v>1417</v>
      </c>
      <c r="M1" s="36" t="s">
        <v>1430</v>
      </c>
      <c r="N1" s="36" t="s">
        <v>1531</v>
      </c>
      <c r="O1" s="46" t="s">
        <v>2304</v>
      </c>
    </row>
    <row r="2" spans="1:15" x14ac:dyDescent="0.25">
      <c r="A2" s="13">
        <v>2024</v>
      </c>
      <c r="B2" t="s">
        <v>1892</v>
      </c>
      <c r="C2" t="s">
        <v>1486</v>
      </c>
      <c r="D2" t="s">
        <v>25</v>
      </c>
      <c r="E2" s="40">
        <v>45298</v>
      </c>
      <c r="F2" s="20">
        <v>45298</v>
      </c>
      <c r="G2" t="s">
        <v>68</v>
      </c>
      <c r="H2" s="45">
        <v>0</v>
      </c>
      <c r="I2" t="s">
        <v>59</v>
      </c>
      <c r="J2" t="s">
        <v>1795</v>
      </c>
      <c r="K2">
        <v>0</v>
      </c>
      <c r="L2">
        <v>0</v>
      </c>
      <c r="M2">
        <v>0</v>
      </c>
      <c r="N2" t="s">
        <v>1532</v>
      </c>
    </row>
    <row r="3" spans="1:15" x14ac:dyDescent="0.25">
      <c r="A3" s="13">
        <v>2024</v>
      </c>
      <c r="B3" t="s">
        <v>1936</v>
      </c>
      <c r="C3" t="s">
        <v>1492</v>
      </c>
      <c r="D3" t="s">
        <v>33</v>
      </c>
      <c r="E3" s="40">
        <v>45388</v>
      </c>
      <c r="F3" s="20">
        <v>45388</v>
      </c>
      <c r="G3" t="s">
        <v>383</v>
      </c>
      <c r="H3" s="45">
        <v>0</v>
      </c>
      <c r="I3" t="s">
        <v>384</v>
      </c>
      <c r="J3" t="s">
        <v>385</v>
      </c>
      <c r="K3" t="s">
        <v>1424</v>
      </c>
      <c r="L3">
        <v>0</v>
      </c>
      <c r="M3" t="s">
        <v>1432</v>
      </c>
      <c r="N3" t="s">
        <v>1532</v>
      </c>
    </row>
    <row r="4" spans="1:15" x14ac:dyDescent="0.25">
      <c r="A4" s="13">
        <v>2024</v>
      </c>
      <c r="B4" t="s">
        <v>1942</v>
      </c>
      <c r="C4" t="s">
        <v>1490</v>
      </c>
      <c r="D4" t="s">
        <v>33</v>
      </c>
      <c r="E4" s="40">
        <v>45409</v>
      </c>
      <c r="F4" s="20">
        <v>45409</v>
      </c>
      <c r="G4" t="s">
        <v>98</v>
      </c>
      <c r="H4" s="45">
        <v>0</v>
      </c>
      <c r="I4" t="s">
        <v>344</v>
      </c>
      <c r="J4" t="s">
        <v>345</v>
      </c>
      <c r="K4" t="s">
        <v>1419</v>
      </c>
      <c r="L4" t="s">
        <v>1427</v>
      </c>
      <c r="M4" t="s">
        <v>1430</v>
      </c>
      <c r="N4" t="s">
        <v>1532</v>
      </c>
    </row>
    <row r="5" spans="1:15" x14ac:dyDescent="0.25">
      <c r="A5" s="13">
        <v>2024</v>
      </c>
      <c r="B5" t="s">
        <v>1981</v>
      </c>
      <c r="C5" t="s">
        <v>1492</v>
      </c>
      <c r="D5" t="s">
        <v>70</v>
      </c>
      <c r="E5" s="40">
        <v>45479</v>
      </c>
      <c r="F5" s="20">
        <v>45479</v>
      </c>
      <c r="G5" t="s">
        <v>537</v>
      </c>
      <c r="H5" s="45">
        <v>0</v>
      </c>
      <c r="I5" t="s">
        <v>538</v>
      </c>
      <c r="J5" t="s">
        <v>539</v>
      </c>
      <c r="K5" t="s">
        <v>1424</v>
      </c>
      <c r="L5">
        <v>0</v>
      </c>
      <c r="M5" t="s">
        <v>1432</v>
      </c>
      <c r="N5" t="s">
        <v>1532</v>
      </c>
    </row>
    <row r="6" spans="1:15" x14ac:dyDescent="0.25">
      <c r="A6" s="13">
        <v>2024</v>
      </c>
      <c r="B6" t="s">
        <v>1982</v>
      </c>
      <c r="C6" t="s">
        <v>1486</v>
      </c>
      <c r="D6" t="s">
        <v>70</v>
      </c>
      <c r="E6" s="40">
        <v>45480</v>
      </c>
      <c r="F6" s="20">
        <v>45480</v>
      </c>
      <c r="G6" t="s">
        <v>541</v>
      </c>
      <c r="H6" s="45">
        <v>0</v>
      </c>
      <c r="I6" t="s">
        <v>542</v>
      </c>
      <c r="J6" t="s">
        <v>543</v>
      </c>
      <c r="K6" t="s">
        <v>1419</v>
      </c>
      <c r="L6" t="s">
        <v>1426</v>
      </c>
      <c r="M6" t="s">
        <v>1430</v>
      </c>
      <c r="N6" t="s">
        <v>1532</v>
      </c>
    </row>
    <row r="7" spans="1:15" x14ac:dyDescent="0.25">
      <c r="A7" s="13">
        <v>2024</v>
      </c>
      <c r="B7" t="s">
        <v>1990</v>
      </c>
      <c r="C7" t="s">
        <v>1487</v>
      </c>
      <c r="D7" t="s">
        <v>70</v>
      </c>
      <c r="E7" s="40">
        <v>45492</v>
      </c>
      <c r="F7" s="20">
        <v>45492</v>
      </c>
      <c r="G7" t="s">
        <v>93</v>
      </c>
      <c r="H7" s="45">
        <v>0</v>
      </c>
      <c r="I7" t="s">
        <v>585</v>
      </c>
      <c r="J7" t="s">
        <v>586</v>
      </c>
      <c r="K7" t="s">
        <v>1419</v>
      </c>
      <c r="L7" t="s">
        <v>1420</v>
      </c>
      <c r="M7" t="s">
        <v>1430</v>
      </c>
      <c r="N7" t="s">
        <v>1532</v>
      </c>
    </row>
    <row r="8" spans="1:15" x14ac:dyDescent="0.25">
      <c r="A8" s="13">
        <v>2024</v>
      </c>
      <c r="B8" t="s">
        <v>1991</v>
      </c>
      <c r="C8" t="s">
        <v>1480</v>
      </c>
      <c r="D8" t="s">
        <v>70</v>
      </c>
      <c r="E8" s="40">
        <v>45493</v>
      </c>
      <c r="F8" s="20">
        <v>45493</v>
      </c>
      <c r="G8" t="s">
        <v>96</v>
      </c>
      <c r="H8" s="45">
        <v>0</v>
      </c>
      <c r="I8" t="s">
        <v>545</v>
      </c>
      <c r="J8" t="s">
        <v>546</v>
      </c>
      <c r="K8" t="s">
        <v>1419</v>
      </c>
      <c r="L8" t="s">
        <v>1427</v>
      </c>
      <c r="M8" t="s">
        <v>1430</v>
      </c>
      <c r="N8" t="s">
        <v>1532</v>
      </c>
    </row>
    <row r="9" spans="1:15" x14ac:dyDescent="0.25">
      <c r="A9" s="13">
        <v>2024</v>
      </c>
      <c r="B9" t="s">
        <v>2020</v>
      </c>
      <c r="C9" t="s">
        <v>1487</v>
      </c>
      <c r="D9" t="s">
        <v>90</v>
      </c>
      <c r="E9" s="40">
        <v>45554</v>
      </c>
      <c r="F9" s="20">
        <v>45554</v>
      </c>
      <c r="G9" t="s">
        <v>688</v>
      </c>
      <c r="H9" s="45">
        <v>0</v>
      </c>
      <c r="I9" t="s">
        <v>687</v>
      </c>
      <c r="J9" t="s">
        <v>2021</v>
      </c>
      <c r="K9" t="s">
        <v>1424</v>
      </c>
      <c r="L9">
        <v>0</v>
      </c>
      <c r="M9" t="s">
        <v>1432</v>
      </c>
      <c r="N9" t="s">
        <v>1532</v>
      </c>
    </row>
    <row r="10" spans="1:15" x14ac:dyDescent="0.25">
      <c r="A10" s="13">
        <v>2024</v>
      </c>
      <c r="B10" t="s">
        <v>2025</v>
      </c>
      <c r="C10" t="s">
        <v>1490</v>
      </c>
      <c r="D10" t="s">
        <v>90</v>
      </c>
      <c r="E10" s="40">
        <v>45562</v>
      </c>
      <c r="F10" s="20">
        <v>45562</v>
      </c>
      <c r="G10" t="s">
        <v>722</v>
      </c>
      <c r="H10" s="45">
        <v>0</v>
      </c>
      <c r="I10" t="s">
        <v>723</v>
      </c>
      <c r="J10" t="s">
        <v>724</v>
      </c>
      <c r="K10" t="s">
        <v>1424</v>
      </c>
      <c r="L10">
        <v>0</v>
      </c>
      <c r="M10" t="s">
        <v>1432</v>
      </c>
      <c r="N10" t="s">
        <v>1532</v>
      </c>
    </row>
    <row r="11" spans="1:15" x14ac:dyDescent="0.25">
      <c r="A11" s="13">
        <v>2024</v>
      </c>
      <c r="B11" t="s">
        <v>2044</v>
      </c>
      <c r="C11" t="s">
        <v>1502</v>
      </c>
      <c r="D11" t="s">
        <v>1411</v>
      </c>
      <c r="E11" s="40">
        <v>45606</v>
      </c>
      <c r="F11" s="20">
        <v>45606</v>
      </c>
      <c r="G11" t="s">
        <v>11</v>
      </c>
      <c r="H11" s="45">
        <v>0</v>
      </c>
      <c r="I11" t="s">
        <v>765</v>
      </c>
      <c r="J11" t="s">
        <v>767</v>
      </c>
      <c r="K11" t="s">
        <v>1424</v>
      </c>
      <c r="L11">
        <v>0</v>
      </c>
      <c r="M11" t="s">
        <v>1432</v>
      </c>
      <c r="N11" t="s">
        <v>1532</v>
      </c>
    </row>
    <row r="12" spans="1:15" x14ac:dyDescent="0.25">
      <c r="A12" s="13">
        <v>2024</v>
      </c>
      <c r="B12" t="s">
        <v>2053</v>
      </c>
      <c r="C12" t="s">
        <v>1493</v>
      </c>
      <c r="D12" t="s">
        <v>1412</v>
      </c>
      <c r="E12" s="40">
        <v>45634</v>
      </c>
      <c r="F12" s="20">
        <v>45634</v>
      </c>
      <c r="G12" t="s">
        <v>43</v>
      </c>
      <c r="H12" s="45">
        <v>0</v>
      </c>
      <c r="I12" t="s">
        <v>804</v>
      </c>
      <c r="J12" t="s">
        <v>54</v>
      </c>
      <c r="K12" t="s">
        <v>1419</v>
      </c>
      <c r="L12" t="s">
        <v>1420</v>
      </c>
      <c r="M12" t="s">
        <v>1430</v>
      </c>
      <c r="N12" t="s">
        <v>1532</v>
      </c>
    </row>
    <row r="13" spans="1:15" x14ac:dyDescent="0.25">
      <c r="A13" s="13">
        <v>2024</v>
      </c>
      <c r="B13" t="s">
        <v>1898</v>
      </c>
      <c r="C13" t="s">
        <v>1497</v>
      </c>
      <c r="D13" t="s">
        <v>25</v>
      </c>
      <c r="E13" s="40">
        <v>45305</v>
      </c>
      <c r="F13" s="20">
        <v>45306</v>
      </c>
      <c r="G13" t="s">
        <v>159</v>
      </c>
      <c r="H13" s="45">
        <v>24</v>
      </c>
      <c r="I13" t="s">
        <v>160</v>
      </c>
      <c r="J13" t="s">
        <v>1795</v>
      </c>
      <c r="K13">
        <v>0</v>
      </c>
      <c r="L13">
        <v>0</v>
      </c>
      <c r="M13">
        <v>0</v>
      </c>
      <c r="N13" t="s">
        <v>1532</v>
      </c>
    </row>
    <row r="14" spans="1:15" x14ac:dyDescent="0.25">
      <c r="A14" s="13">
        <v>2024</v>
      </c>
      <c r="B14" t="s">
        <v>1899</v>
      </c>
      <c r="C14" t="s">
        <v>1478</v>
      </c>
      <c r="D14" t="s">
        <v>25</v>
      </c>
      <c r="E14" s="40">
        <v>45306</v>
      </c>
      <c r="F14" s="20">
        <v>45307</v>
      </c>
      <c r="G14" t="s">
        <v>162</v>
      </c>
      <c r="H14" s="45">
        <v>24</v>
      </c>
      <c r="I14" t="s">
        <v>163</v>
      </c>
      <c r="J14" t="s">
        <v>112</v>
      </c>
      <c r="K14" t="s">
        <v>1419</v>
      </c>
      <c r="L14" t="s">
        <v>1420</v>
      </c>
      <c r="M14" t="s">
        <v>1430</v>
      </c>
      <c r="N14" t="s">
        <v>1532</v>
      </c>
    </row>
    <row r="15" spans="1:15" x14ac:dyDescent="0.25">
      <c r="A15" s="13">
        <v>2024</v>
      </c>
      <c r="B15" t="s">
        <v>1905</v>
      </c>
      <c r="C15" t="s">
        <v>1498</v>
      </c>
      <c r="D15" t="s">
        <v>1410</v>
      </c>
      <c r="E15" s="40">
        <v>45323</v>
      </c>
      <c r="F15" s="20">
        <v>45324</v>
      </c>
      <c r="G15" t="s">
        <v>195</v>
      </c>
      <c r="H15" s="45">
        <v>24</v>
      </c>
      <c r="I15" t="s">
        <v>196</v>
      </c>
      <c r="J15" t="s">
        <v>197</v>
      </c>
      <c r="K15" t="s">
        <v>1425</v>
      </c>
      <c r="L15">
        <v>0</v>
      </c>
      <c r="M15" t="s">
        <v>1432</v>
      </c>
      <c r="N15" t="s">
        <v>1532</v>
      </c>
    </row>
    <row r="16" spans="1:15" x14ac:dyDescent="0.25">
      <c r="A16" s="13">
        <v>2024</v>
      </c>
      <c r="B16" t="s">
        <v>1913</v>
      </c>
      <c r="C16" t="s">
        <v>1478</v>
      </c>
      <c r="D16" t="s">
        <v>1410</v>
      </c>
      <c r="E16" s="40">
        <v>45337</v>
      </c>
      <c r="F16" s="20">
        <v>45338</v>
      </c>
      <c r="G16" t="s">
        <v>21</v>
      </c>
      <c r="H16" s="45">
        <v>24</v>
      </c>
      <c r="I16" t="s">
        <v>230</v>
      </c>
      <c r="J16" t="s">
        <v>23</v>
      </c>
      <c r="K16" t="s">
        <v>1419</v>
      </c>
      <c r="L16" t="s">
        <v>1427</v>
      </c>
      <c r="M16" t="s">
        <v>1430</v>
      </c>
      <c r="N16" t="s">
        <v>1532</v>
      </c>
    </row>
    <row r="17" spans="1:14" x14ac:dyDescent="0.25">
      <c r="A17" s="13">
        <v>2024</v>
      </c>
      <c r="B17" t="s">
        <v>1938</v>
      </c>
      <c r="C17" t="s">
        <v>1487</v>
      </c>
      <c r="D17" t="s">
        <v>33</v>
      </c>
      <c r="E17" s="40">
        <v>45400</v>
      </c>
      <c r="F17" s="20">
        <v>45401</v>
      </c>
      <c r="G17" t="s">
        <v>329</v>
      </c>
      <c r="H17" s="45">
        <v>24</v>
      </c>
      <c r="I17" t="s">
        <v>330</v>
      </c>
      <c r="J17" t="s">
        <v>60</v>
      </c>
      <c r="K17" t="s">
        <v>1419</v>
      </c>
      <c r="L17" t="s">
        <v>1422</v>
      </c>
      <c r="M17" t="s">
        <v>1430</v>
      </c>
      <c r="N17" t="s">
        <v>1532</v>
      </c>
    </row>
    <row r="18" spans="1:14" x14ac:dyDescent="0.25">
      <c r="A18" s="13">
        <v>2024</v>
      </c>
      <c r="B18" t="s">
        <v>1945</v>
      </c>
      <c r="C18" t="s">
        <v>1499</v>
      </c>
      <c r="D18" t="s">
        <v>41</v>
      </c>
      <c r="E18" s="40">
        <v>45414</v>
      </c>
      <c r="F18" s="20">
        <v>45415</v>
      </c>
      <c r="G18" t="s">
        <v>356</v>
      </c>
      <c r="H18" s="45">
        <v>24</v>
      </c>
      <c r="I18" t="s">
        <v>357</v>
      </c>
      <c r="J18" t="s">
        <v>358</v>
      </c>
      <c r="K18" t="s">
        <v>1424</v>
      </c>
      <c r="L18">
        <v>0</v>
      </c>
      <c r="M18" t="s">
        <v>1432</v>
      </c>
      <c r="N18" t="s">
        <v>1532</v>
      </c>
    </row>
    <row r="19" spans="1:14" x14ac:dyDescent="0.25">
      <c r="A19" s="13">
        <v>2024</v>
      </c>
      <c r="B19" t="s">
        <v>1950</v>
      </c>
      <c r="C19" t="s">
        <v>1502</v>
      </c>
      <c r="D19" t="s">
        <v>41</v>
      </c>
      <c r="E19" s="40">
        <v>45421</v>
      </c>
      <c r="F19" s="20">
        <v>45422</v>
      </c>
      <c r="G19" t="s">
        <v>89</v>
      </c>
      <c r="H19" s="45">
        <v>24</v>
      </c>
      <c r="I19" t="s">
        <v>380</v>
      </c>
      <c r="J19" t="s">
        <v>381</v>
      </c>
      <c r="K19" t="s">
        <v>1419</v>
      </c>
      <c r="L19" t="s">
        <v>1427</v>
      </c>
      <c r="M19" t="s">
        <v>1430</v>
      </c>
      <c r="N19" t="s">
        <v>1532</v>
      </c>
    </row>
    <row r="20" spans="1:14" x14ac:dyDescent="0.25">
      <c r="A20" s="13">
        <v>2024</v>
      </c>
      <c r="B20" t="s">
        <v>1951</v>
      </c>
      <c r="C20" t="s">
        <v>1495</v>
      </c>
      <c r="D20" t="s">
        <v>41</v>
      </c>
      <c r="E20" s="40">
        <v>45422</v>
      </c>
      <c r="F20" s="20">
        <v>45423</v>
      </c>
      <c r="G20" t="s">
        <v>389</v>
      </c>
      <c r="H20" s="45">
        <v>24</v>
      </c>
      <c r="I20" t="s">
        <v>390</v>
      </c>
      <c r="J20" t="s">
        <v>391</v>
      </c>
      <c r="K20" t="s">
        <v>1419</v>
      </c>
      <c r="L20" t="s">
        <v>1426</v>
      </c>
      <c r="M20" t="s">
        <v>1430</v>
      </c>
      <c r="N20" t="s">
        <v>1532</v>
      </c>
    </row>
    <row r="21" spans="1:14" x14ac:dyDescent="0.25">
      <c r="A21" s="13">
        <v>2024</v>
      </c>
      <c r="B21" t="s">
        <v>1972</v>
      </c>
      <c r="C21" t="s">
        <v>1509</v>
      </c>
      <c r="D21" t="s">
        <v>65</v>
      </c>
      <c r="E21" s="40">
        <v>45463</v>
      </c>
      <c r="F21" s="20">
        <v>45464</v>
      </c>
      <c r="G21" t="s">
        <v>77</v>
      </c>
      <c r="H21" s="45">
        <v>24</v>
      </c>
      <c r="I21" t="s">
        <v>477</v>
      </c>
      <c r="J21" t="s">
        <v>478</v>
      </c>
      <c r="K21" t="s">
        <v>1418</v>
      </c>
      <c r="L21">
        <v>0</v>
      </c>
      <c r="M21" t="s">
        <v>1431</v>
      </c>
      <c r="N21" t="s">
        <v>1532</v>
      </c>
    </row>
    <row r="22" spans="1:14" x14ac:dyDescent="0.25">
      <c r="A22" s="13">
        <v>2024</v>
      </c>
      <c r="B22" t="s">
        <v>1980</v>
      </c>
      <c r="C22" t="s">
        <v>1510</v>
      </c>
      <c r="D22" t="s">
        <v>70</v>
      </c>
      <c r="E22" s="40">
        <v>45477</v>
      </c>
      <c r="F22" s="20">
        <v>45478</v>
      </c>
      <c r="G22" t="s">
        <v>5</v>
      </c>
      <c r="H22" s="45">
        <v>24</v>
      </c>
      <c r="I22" t="s">
        <v>507</v>
      </c>
      <c r="J22" t="s">
        <v>255</v>
      </c>
      <c r="K22" t="s">
        <v>1419</v>
      </c>
      <c r="L22" t="s">
        <v>1420</v>
      </c>
      <c r="M22" t="s">
        <v>1430</v>
      </c>
      <c r="N22" t="s">
        <v>1532</v>
      </c>
    </row>
    <row r="23" spans="1:14" x14ac:dyDescent="0.25">
      <c r="A23" s="13">
        <v>2024</v>
      </c>
      <c r="B23" t="s">
        <v>1983</v>
      </c>
      <c r="C23" t="s">
        <v>1493</v>
      </c>
      <c r="D23" t="s">
        <v>70</v>
      </c>
      <c r="E23" s="40">
        <v>45480</v>
      </c>
      <c r="F23" s="20">
        <v>45481</v>
      </c>
      <c r="G23" t="s">
        <v>31</v>
      </c>
      <c r="H23" s="45">
        <v>24</v>
      </c>
      <c r="I23" t="s">
        <v>509</v>
      </c>
      <c r="J23" t="s">
        <v>101</v>
      </c>
      <c r="K23" t="s">
        <v>1419</v>
      </c>
      <c r="L23" t="s">
        <v>1420</v>
      </c>
      <c r="M23" t="s">
        <v>1430</v>
      </c>
      <c r="N23" t="s">
        <v>1532</v>
      </c>
    </row>
    <row r="24" spans="1:14" x14ac:dyDescent="0.25">
      <c r="A24" s="13">
        <v>2024</v>
      </c>
      <c r="B24" t="s">
        <v>1992</v>
      </c>
      <c r="C24" t="s">
        <v>1503</v>
      </c>
      <c r="D24" t="s">
        <v>70</v>
      </c>
      <c r="E24" s="40">
        <v>45494</v>
      </c>
      <c r="F24" s="20">
        <v>45495</v>
      </c>
      <c r="G24" t="s">
        <v>549</v>
      </c>
      <c r="H24" s="45">
        <v>24</v>
      </c>
      <c r="I24" t="s">
        <v>550</v>
      </c>
      <c r="J24" t="s">
        <v>551</v>
      </c>
      <c r="K24" t="s">
        <v>1424</v>
      </c>
      <c r="L24">
        <v>0</v>
      </c>
      <c r="M24" t="s">
        <v>1432</v>
      </c>
      <c r="N24" t="s">
        <v>1532</v>
      </c>
    </row>
    <row r="25" spans="1:14" x14ac:dyDescent="0.25">
      <c r="A25" s="13">
        <v>2024</v>
      </c>
      <c r="B25" t="s">
        <v>1993</v>
      </c>
      <c r="C25" t="s">
        <v>1488</v>
      </c>
      <c r="D25" t="s">
        <v>70</v>
      </c>
      <c r="E25" s="40">
        <v>45495</v>
      </c>
      <c r="F25" s="20">
        <v>45496</v>
      </c>
      <c r="G25" t="s">
        <v>18</v>
      </c>
      <c r="H25" s="45">
        <v>24</v>
      </c>
      <c r="I25" t="s">
        <v>555</v>
      </c>
      <c r="J25" t="s">
        <v>556</v>
      </c>
      <c r="K25" t="s">
        <v>1419</v>
      </c>
      <c r="L25" t="s">
        <v>1427</v>
      </c>
      <c r="M25" t="s">
        <v>1430</v>
      </c>
      <c r="N25" t="s">
        <v>1532</v>
      </c>
    </row>
    <row r="26" spans="1:14" x14ac:dyDescent="0.25">
      <c r="A26" s="13">
        <v>2024</v>
      </c>
      <c r="B26" t="s">
        <v>2000</v>
      </c>
      <c r="C26" t="s">
        <v>1499</v>
      </c>
      <c r="D26" t="s">
        <v>82</v>
      </c>
      <c r="E26" s="40">
        <v>45506</v>
      </c>
      <c r="F26" s="20">
        <v>45507</v>
      </c>
      <c r="G26" t="s">
        <v>597</v>
      </c>
      <c r="H26" s="45">
        <v>24</v>
      </c>
      <c r="I26" t="s">
        <v>598</v>
      </c>
      <c r="J26" t="s">
        <v>599</v>
      </c>
      <c r="K26" t="s">
        <v>1419</v>
      </c>
      <c r="L26" t="s">
        <v>1427</v>
      </c>
      <c r="M26" t="s">
        <v>1430</v>
      </c>
      <c r="N26" t="s">
        <v>1532</v>
      </c>
    </row>
    <row r="27" spans="1:14" x14ac:dyDescent="0.25">
      <c r="A27" s="13">
        <v>2024</v>
      </c>
      <c r="B27" t="s">
        <v>2003</v>
      </c>
      <c r="C27" t="s">
        <v>1501</v>
      </c>
      <c r="D27" t="s">
        <v>82</v>
      </c>
      <c r="E27" s="40">
        <v>45520</v>
      </c>
      <c r="F27" s="20">
        <v>45521</v>
      </c>
      <c r="G27" t="s">
        <v>610</v>
      </c>
      <c r="H27" s="45">
        <v>24</v>
      </c>
      <c r="I27" t="s">
        <v>611</v>
      </c>
      <c r="J27" t="s">
        <v>612</v>
      </c>
      <c r="K27" t="s">
        <v>1419</v>
      </c>
      <c r="L27" t="s">
        <v>1420</v>
      </c>
      <c r="M27" t="s">
        <v>1430</v>
      </c>
      <c r="N27" t="s">
        <v>1532</v>
      </c>
    </row>
    <row r="28" spans="1:14" x14ac:dyDescent="0.25">
      <c r="A28" s="13">
        <v>2024</v>
      </c>
      <c r="B28" t="s">
        <v>2005</v>
      </c>
      <c r="C28" t="s">
        <v>1480</v>
      </c>
      <c r="D28" t="s">
        <v>82</v>
      </c>
      <c r="E28" s="40">
        <v>45523</v>
      </c>
      <c r="F28" s="20">
        <v>45524</v>
      </c>
      <c r="G28" t="s">
        <v>597</v>
      </c>
      <c r="H28" s="45">
        <v>24</v>
      </c>
      <c r="I28" t="s">
        <v>623</v>
      </c>
      <c r="J28" t="s">
        <v>622</v>
      </c>
      <c r="K28" t="s">
        <v>1419</v>
      </c>
      <c r="L28" t="s">
        <v>1426</v>
      </c>
      <c r="M28" t="s">
        <v>1430</v>
      </c>
      <c r="N28" t="s">
        <v>1532</v>
      </c>
    </row>
    <row r="29" spans="1:14" x14ac:dyDescent="0.25">
      <c r="A29" s="13">
        <v>2024</v>
      </c>
      <c r="B29" t="s">
        <v>2012</v>
      </c>
      <c r="C29" t="s">
        <v>1494</v>
      </c>
      <c r="D29" t="s">
        <v>90</v>
      </c>
      <c r="E29" s="40">
        <v>45543</v>
      </c>
      <c r="F29" s="20">
        <v>45544</v>
      </c>
      <c r="G29" t="s">
        <v>11</v>
      </c>
      <c r="H29" s="45">
        <v>24</v>
      </c>
      <c r="I29" t="s">
        <v>652</v>
      </c>
      <c r="J29" t="s">
        <v>653</v>
      </c>
      <c r="K29" t="s">
        <v>1424</v>
      </c>
      <c r="L29">
        <v>0</v>
      </c>
      <c r="M29" t="s">
        <v>1432</v>
      </c>
      <c r="N29" t="s">
        <v>1532</v>
      </c>
    </row>
    <row r="30" spans="1:14" x14ac:dyDescent="0.25">
      <c r="A30" s="13">
        <v>2024</v>
      </c>
      <c r="B30" t="s">
        <v>2027</v>
      </c>
      <c r="C30" t="s">
        <v>1508</v>
      </c>
      <c r="D30" t="s">
        <v>90</v>
      </c>
      <c r="E30" s="40">
        <v>45564</v>
      </c>
      <c r="F30" s="20">
        <v>45565</v>
      </c>
      <c r="G30" t="s">
        <v>7</v>
      </c>
      <c r="H30" s="45">
        <v>24</v>
      </c>
      <c r="I30" t="s">
        <v>699</v>
      </c>
      <c r="J30" t="s">
        <v>700</v>
      </c>
      <c r="K30" t="s">
        <v>1424</v>
      </c>
      <c r="L30">
        <v>0</v>
      </c>
      <c r="M30" t="s">
        <v>1430</v>
      </c>
      <c r="N30" t="s">
        <v>1532</v>
      </c>
    </row>
    <row r="31" spans="1:14" x14ac:dyDescent="0.25">
      <c r="A31" s="13">
        <v>2024</v>
      </c>
      <c r="B31" t="s">
        <v>2031</v>
      </c>
      <c r="C31" t="s">
        <v>1510</v>
      </c>
      <c r="D31" t="s">
        <v>94</v>
      </c>
      <c r="E31" s="40">
        <v>45569</v>
      </c>
      <c r="F31" s="20">
        <v>45570</v>
      </c>
      <c r="G31" t="s">
        <v>28</v>
      </c>
      <c r="H31" s="45">
        <v>24</v>
      </c>
      <c r="I31" t="s">
        <v>708</v>
      </c>
      <c r="J31" t="s">
        <v>2024</v>
      </c>
      <c r="K31" t="s">
        <v>1419</v>
      </c>
      <c r="L31" t="s">
        <v>1423</v>
      </c>
      <c r="M31" t="s">
        <v>1430</v>
      </c>
      <c r="N31" t="s">
        <v>1532</v>
      </c>
    </row>
    <row r="32" spans="1:14" x14ac:dyDescent="0.25">
      <c r="A32" s="13">
        <v>2024</v>
      </c>
      <c r="B32" t="s">
        <v>2048</v>
      </c>
      <c r="C32" t="s">
        <v>1478</v>
      </c>
      <c r="D32" t="s">
        <v>1411</v>
      </c>
      <c r="E32" s="40">
        <v>45611</v>
      </c>
      <c r="F32" s="20">
        <v>45612</v>
      </c>
      <c r="G32" t="s">
        <v>74</v>
      </c>
      <c r="H32" s="45">
        <v>24</v>
      </c>
      <c r="I32" t="s">
        <v>777</v>
      </c>
      <c r="J32" t="s">
        <v>78</v>
      </c>
      <c r="K32" t="s">
        <v>1419</v>
      </c>
      <c r="L32" t="s">
        <v>1420</v>
      </c>
      <c r="M32" t="s">
        <v>1430</v>
      </c>
      <c r="N32" t="s">
        <v>1532</v>
      </c>
    </row>
    <row r="33" spans="1:14" x14ac:dyDescent="0.25">
      <c r="A33" s="13">
        <v>2024</v>
      </c>
      <c r="B33" t="s">
        <v>2049</v>
      </c>
      <c r="C33" t="s">
        <v>1507</v>
      </c>
      <c r="D33" t="s">
        <v>1411</v>
      </c>
      <c r="E33" s="40">
        <v>45613</v>
      </c>
      <c r="F33" s="20">
        <v>45614</v>
      </c>
      <c r="G33" t="s">
        <v>318</v>
      </c>
      <c r="H33" s="45">
        <v>24</v>
      </c>
      <c r="I33" t="s">
        <v>782</v>
      </c>
      <c r="J33" t="s">
        <v>781</v>
      </c>
      <c r="K33" t="s">
        <v>1425</v>
      </c>
      <c r="L33">
        <v>0</v>
      </c>
      <c r="M33" t="s">
        <v>1431</v>
      </c>
      <c r="N33" t="s">
        <v>1532</v>
      </c>
    </row>
    <row r="34" spans="1:14" x14ac:dyDescent="0.25">
      <c r="A34" s="13">
        <v>2024</v>
      </c>
      <c r="B34" t="s">
        <v>2060</v>
      </c>
      <c r="C34" t="s">
        <v>1488</v>
      </c>
      <c r="D34" t="s">
        <v>1412</v>
      </c>
      <c r="E34" s="40">
        <v>45648</v>
      </c>
      <c r="F34" s="20">
        <v>45649</v>
      </c>
      <c r="G34" t="s">
        <v>597</v>
      </c>
      <c r="H34" s="45">
        <v>24</v>
      </c>
      <c r="I34" t="s">
        <v>831</v>
      </c>
      <c r="J34" t="s">
        <v>830</v>
      </c>
      <c r="K34" t="s">
        <v>1419</v>
      </c>
      <c r="L34" t="s">
        <v>1426</v>
      </c>
      <c r="M34" t="s">
        <v>1430</v>
      </c>
      <c r="N34" t="s">
        <v>1532</v>
      </c>
    </row>
    <row r="35" spans="1:14" x14ac:dyDescent="0.25">
      <c r="A35" s="13">
        <v>2024</v>
      </c>
      <c r="B35" t="s">
        <v>2062</v>
      </c>
      <c r="C35" t="s">
        <v>1504</v>
      </c>
      <c r="D35" t="s">
        <v>1412</v>
      </c>
      <c r="E35" s="40">
        <v>45653</v>
      </c>
      <c r="F35" s="20">
        <v>45654</v>
      </c>
      <c r="G35" t="s">
        <v>840</v>
      </c>
      <c r="H35" s="45">
        <v>24</v>
      </c>
      <c r="I35" t="s">
        <v>841</v>
      </c>
      <c r="J35" t="s">
        <v>842</v>
      </c>
      <c r="K35" t="s">
        <v>1419</v>
      </c>
      <c r="L35" t="s">
        <v>1420</v>
      </c>
      <c r="M35" t="s">
        <v>1430</v>
      </c>
      <c r="N35" t="s">
        <v>1532</v>
      </c>
    </row>
    <row r="36" spans="1:14" x14ac:dyDescent="0.25">
      <c r="A36" s="13">
        <v>2024</v>
      </c>
      <c r="B36" t="s">
        <v>1902</v>
      </c>
      <c r="C36" t="s">
        <v>1503</v>
      </c>
      <c r="D36" t="s">
        <v>25</v>
      </c>
      <c r="E36" s="40">
        <v>45311</v>
      </c>
      <c r="F36" s="20">
        <v>45313</v>
      </c>
      <c r="G36" t="s">
        <v>184</v>
      </c>
      <c r="H36" s="45">
        <v>48</v>
      </c>
      <c r="I36" t="s">
        <v>185</v>
      </c>
      <c r="J36" t="s">
        <v>95</v>
      </c>
      <c r="K36" t="s">
        <v>1419</v>
      </c>
      <c r="L36" t="s">
        <v>1420</v>
      </c>
      <c r="M36" t="s">
        <v>1430</v>
      </c>
      <c r="N36" t="s">
        <v>1532</v>
      </c>
    </row>
    <row r="37" spans="1:14" x14ac:dyDescent="0.25">
      <c r="A37" s="13">
        <v>2024</v>
      </c>
      <c r="B37" t="s">
        <v>1910</v>
      </c>
      <c r="C37" t="s">
        <v>1477</v>
      </c>
      <c r="D37" t="s">
        <v>1410</v>
      </c>
      <c r="E37" s="40">
        <v>45332</v>
      </c>
      <c r="F37" s="20">
        <v>45334</v>
      </c>
      <c r="G37" t="s">
        <v>215</v>
      </c>
      <c r="H37" s="45">
        <v>48</v>
      </c>
      <c r="I37" t="s">
        <v>216</v>
      </c>
      <c r="J37" t="s">
        <v>14</v>
      </c>
      <c r="K37" t="s">
        <v>1419</v>
      </c>
      <c r="L37" t="s">
        <v>1420</v>
      </c>
      <c r="M37" t="s">
        <v>1430</v>
      </c>
      <c r="N37" t="s">
        <v>1532</v>
      </c>
    </row>
    <row r="38" spans="1:14" x14ac:dyDescent="0.25">
      <c r="A38" s="13">
        <v>2024</v>
      </c>
      <c r="B38" t="s">
        <v>1911</v>
      </c>
      <c r="C38" t="s">
        <v>1496</v>
      </c>
      <c r="D38" t="s">
        <v>1410</v>
      </c>
      <c r="E38" s="40">
        <v>45333</v>
      </c>
      <c r="F38" s="20">
        <v>45335</v>
      </c>
      <c r="G38" t="s">
        <v>45</v>
      </c>
      <c r="H38" s="45">
        <v>48</v>
      </c>
      <c r="I38" t="s">
        <v>223</v>
      </c>
      <c r="J38" t="s">
        <v>224</v>
      </c>
      <c r="K38" t="s">
        <v>1419</v>
      </c>
      <c r="L38" t="s">
        <v>1427</v>
      </c>
      <c r="M38" t="s">
        <v>1430</v>
      </c>
      <c r="N38" t="s">
        <v>1532</v>
      </c>
    </row>
    <row r="39" spans="1:14" x14ac:dyDescent="0.25">
      <c r="A39" s="13">
        <v>2024</v>
      </c>
      <c r="B39" t="s">
        <v>1951</v>
      </c>
      <c r="C39" t="s">
        <v>1495</v>
      </c>
      <c r="D39" t="s">
        <v>41</v>
      </c>
      <c r="E39" s="40">
        <v>45421</v>
      </c>
      <c r="F39" s="20">
        <v>45423</v>
      </c>
      <c r="G39" t="s">
        <v>387</v>
      </c>
      <c r="H39" s="45">
        <v>48</v>
      </c>
      <c r="I39" t="s">
        <v>388</v>
      </c>
      <c r="J39" t="s">
        <v>78</v>
      </c>
      <c r="K39" t="s">
        <v>1419</v>
      </c>
      <c r="L39" t="s">
        <v>1420</v>
      </c>
      <c r="M39" t="s">
        <v>1430</v>
      </c>
      <c r="N39" t="s">
        <v>1532</v>
      </c>
    </row>
    <row r="40" spans="1:14" x14ac:dyDescent="0.25">
      <c r="A40" s="13">
        <v>2024</v>
      </c>
      <c r="B40" t="s">
        <v>1957</v>
      </c>
      <c r="C40" t="s">
        <v>1513</v>
      </c>
      <c r="D40" t="s">
        <v>41</v>
      </c>
      <c r="E40" s="40">
        <v>45439</v>
      </c>
      <c r="F40" s="20">
        <v>45441</v>
      </c>
      <c r="G40" t="s">
        <v>31</v>
      </c>
      <c r="H40" s="45">
        <v>48</v>
      </c>
      <c r="I40" t="s">
        <v>429</v>
      </c>
      <c r="J40" t="s">
        <v>430</v>
      </c>
      <c r="K40" t="s">
        <v>1419</v>
      </c>
      <c r="L40" t="s">
        <v>1426</v>
      </c>
      <c r="M40" t="s">
        <v>1430</v>
      </c>
      <c r="N40" t="s">
        <v>1532</v>
      </c>
    </row>
    <row r="41" spans="1:14" x14ac:dyDescent="0.25">
      <c r="A41" s="13">
        <v>2024</v>
      </c>
      <c r="B41" t="s">
        <v>2017</v>
      </c>
      <c r="C41" t="s">
        <v>1501</v>
      </c>
      <c r="D41" t="s">
        <v>90</v>
      </c>
      <c r="E41" s="40">
        <v>45550</v>
      </c>
      <c r="F41" s="20">
        <v>45552</v>
      </c>
      <c r="G41" t="s">
        <v>674</v>
      </c>
      <c r="H41" s="45">
        <v>48</v>
      </c>
      <c r="I41" t="s">
        <v>673</v>
      </c>
      <c r="J41" t="s">
        <v>672</v>
      </c>
      <c r="K41" t="s">
        <v>1418</v>
      </c>
      <c r="L41">
        <v>0</v>
      </c>
      <c r="M41" t="s">
        <v>1431</v>
      </c>
      <c r="N41" t="s">
        <v>1532</v>
      </c>
    </row>
    <row r="42" spans="1:14" x14ac:dyDescent="0.25">
      <c r="A42" s="13">
        <v>2024</v>
      </c>
      <c r="B42" t="s">
        <v>2045</v>
      </c>
      <c r="C42" t="s">
        <v>1495</v>
      </c>
      <c r="D42" t="s">
        <v>1411</v>
      </c>
      <c r="E42" s="40">
        <v>45605</v>
      </c>
      <c r="F42" s="20">
        <v>45607</v>
      </c>
      <c r="G42" t="s">
        <v>66</v>
      </c>
      <c r="H42" s="45">
        <v>48</v>
      </c>
      <c r="I42" t="s">
        <v>760</v>
      </c>
      <c r="J42" t="s">
        <v>761</v>
      </c>
      <c r="K42" t="s">
        <v>1424</v>
      </c>
      <c r="L42">
        <v>0</v>
      </c>
      <c r="M42" t="s">
        <v>1432</v>
      </c>
      <c r="N42" t="s">
        <v>1532</v>
      </c>
    </row>
    <row r="43" spans="1:14" x14ac:dyDescent="0.25">
      <c r="A43" s="13">
        <v>2024</v>
      </c>
      <c r="B43" t="s">
        <v>2063</v>
      </c>
      <c r="C43" t="s">
        <v>1508</v>
      </c>
      <c r="D43" t="s">
        <v>1412</v>
      </c>
      <c r="E43" s="40">
        <v>45654</v>
      </c>
      <c r="F43" s="20">
        <v>45656</v>
      </c>
      <c r="G43" t="s">
        <v>812</v>
      </c>
      <c r="H43" s="45">
        <v>48</v>
      </c>
      <c r="I43" t="s">
        <v>843</v>
      </c>
      <c r="J43" t="s">
        <v>54</v>
      </c>
      <c r="K43" t="s">
        <v>1419</v>
      </c>
      <c r="L43" t="s">
        <v>1420</v>
      </c>
      <c r="M43" t="s">
        <v>1430</v>
      </c>
      <c r="N43" t="s">
        <v>1532</v>
      </c>
    </row>
    <row r="44" spans="1:14" x14ac:dyDescent="0.25">
      <c r="A44" s="13">
        <v>2024</v>
      </c>
      <c r="B44" t="s">
        <v>2064</v>
      </c>
      <c r="C44" t="s">
        <v>1505</v>
      </c>
      <c r="D44" t="s">
        <v>1412</v>
      </c>
      <c r="E44" s="40">
        <v>45655</v>
      </c>
      <c r="F44" s="20">
        <v>45657</v>
      </c>
      <c r="G44" t="s">
        <v>10</v>
      </c>
      <c r="H44" s="45">
        <v>48</v>
      </c>
      <c r="I44" t="s">
        <v>848</v>
      </c>
      <c r="J44" t="s">
        <v>847</v>
      </c>
      <c r="K44" t="s">
        <v>1419</v>
      </c>
      <c r="L44" t="s">
        <v>1426</v>
      </c>
      <c r="M44" t="s">
        <v>1430</v>
      </c>
      <c r="N44" t="s">
        <v>1532</v>
      </c>
    </row>
    <row r="45" spans="1:14" x14ac:dyDescent="0.25">
      <c r="A45" s="13">
        <v>2024</v>
      </c>
      <c r="B45" t="s">
        <v>1926</v>
      </c>
      <c r="C45" t="s">
        <v>1477</v>
      </c>
      <c r="D45" t="s">
        <v>24</v>
      </c>
      <c r="E45" s="40">
        <v>45360</v>
      </c>
      <c r="F45" s="20">
        <v>45363</v>
      </c>
      <c r="G45" t="s">
        <v>36</v>
      </c>
      <c r="H45" s="45">
        <v>72</v>
      </c>
      <c r="I45" t="s">
        <v>285</v>
      </c>
      <c r="J45" t="s">
        <v>286</v>
      </c>
      <c r="K45" t="s">
        <v>1419</v>
      </c>
      <c r="L45" t="s">
        <v>1423</v>
      </c>
      <c r="M45" t="s">
        <v>1430</v>
      </c>
      <c r="N45" t="s">
        <v>1532</v>
      </c>
    </row>
    <row r="46" spans="1:14" x14ac:dyDescent="0.25">
      <c r="A46" s="13">
        <v>2024</v>
      </c>
      <c r="B46" t="s">
        <v>1930</v>
      </c>
      <c r="C46" t="s">
        <v>1480</v>
      </c>
      <c r="D46" t="s">
        <v>24</v>
      </c>
      <c r="E46" s="40">
        <v>45368</v>
      </c>
      <c r="F46" s="20">
        <v>45371</v>
      </c>
      <c r="G46" t="s">
        <v>73</v>
      </c>
      <c r="H46" s="45">
        <v>72</v>
      </c>
      <c r="I46" t="s">
        <v>297</v>
      </c>
      <c r="J46" t="s">
        <v>298</v>
      </c>
      <c r="K46" t="s">
        <v>1419</v>
      </c>
      <c r="L46" t="s">
        <v>1422</v>
      </c>
      <c r="M46" t="s">
        <v>1430</v>
      </c>
      <c r="N46" t="s">
        <v>1532</v>
      </c>
    </row>
    <row r="47" spans="1:14" x14ac:dyDescent="0.25">
      <c r="A47" s="13">
        <v>2024</v>
      </c>
      <c r="B47" t="s">
        <v>1934</v>
      </c>
      <c r="C47" t="s">
        <v>1498</v>
      </c>
      <c r="D47" t="s">
        <v>33</v>
      </c>
      <c r="E47" s="40">
        <v>45381</v>
      </c>
      <c r="F47" s="20">
        <v>45384</v>
      </c>
      <c r="G47" t="s">
        <v>96</v>
      </c>
      <c r="H47" s="45">
        <v>72</v>
      </c>
      <c r="I47" t="s">
        <v>314</v>
      </c>
      <c r="J47" t="s">
        <v>78</v>
      </c>
      <c r="K47" t="s">
        <v>1419</v>
      </c>
      <c r="L47" t="s">
        <v>1420</v>
      </c>
      <c r="M47" t="s">
        <v>1430</v>
      </c>
      <c r="N47" t="s">
        <v>1532</v>
      </c>
    </row>
    <row r="48" spans="1:14" x14ac:dyDescent="0.25">
      <c r="A48" s="13">
        <v>2024</v>
      </c>
      <c r="B48" t="s">
        <v>1937</v>
      </c>
      <c r="C48" t="s">
        <v>1497</v>
      </c>
      <c r="D48" t="s">
        <v>33</v>
      </c>
      <c r="E48" s="40">
        <v>45394</v>
      </c>
      <c r="F48" s="20">
        <v>45397</v>
      </c>
      <c r="G48" t="s">
        <v>10</v>
      </c>
      <c r="H48" s="45">
        <v>72</v>
      </c>
      <c r="I48" t="s">
        <v>327</v>
      </c>
      <c r="J48" t="s">
        <v>78</v>
      </c>
      <c r="K48" t="s">
        <v>1419</v>
      </c>
      <c r="L48" t="s">
        <v>1420</v>
      </c>
      <c r="M48" t="s">
        <v>1430</v>
      </c>
      <c r="N48" t="s">
        <v>1532</v>
      </c>
    </row>
    <row r="49" spans="1:14" x14ac:dyDescent="0.25">
      <c r="A49" s="13">
        <v>2024</v>
      </c>
      <c r="B49" t="s">
        <v>1949</v>
      </c>
      <c r="C49" t="s">
        <v>1486</v>
      </c>
      <c r="D49" t="s">
        <v>41</v>
      </c>
      <c r="E49" s="40">
        <v>45416</v>
      </c>
      <c r="F49" s="20">
        <v>45419</v>
      </c>
      <c r="G49" t="s">
        <v>110</v>
      </c>
      <c r="H49" s="45">
        <v>72</v>
      </c>
      <c r="I49" t="s">
        <v>375</v>
      </c>
      <c r="J49" t="s">
        <v>374</v>
      </c>
      <c r="K49" t="s">
        <v>1418</v>
      </c>
      <c r="L49">
        <v>0</v>
      </c>
      <c r="M49" t="s">
        <v>1430</v>
      </c>
      <c r="N49" t="s">
        <v>1532</v>
      </c>
    </row>
    <row r="50" spans="1:14" x14ac:dyDescent="0.25">
      <c r="A50" s="13">
        <v>2024</v>
      </c>
      <c r="B50" t="s">
        <v>1985</v>
      </c>
      <c r="C50" t="s">
        <v>1502</v>
      </c>
      <c r="D50" t="s">
        <v>70</v>
      </c>
      <c r="E50" s="40">
        <v>45480</v>
      </c>
      <c r="F50" s="20">
        <v>45483</v>
      </c>
      <c r="G50" t="s">
        <v>74</v>
      </c>
      <c r="H50" s="45">
        <v>72</v>
      </c>
      <c r="I50" t="s">
        <v>520</v>
      </c>
      <c r="J50" t="s">
        <v>519</v>
      </c>
      <c r="K50" t="s">
        <v>1424</v>
      </c>
      <c r="L50">
        <v>0</v>
      </c>
      <c r="M50" t="s">
        <v>1430</v>
      </c>
      <c r="N50" t="s">
        <v>1532</v>
      </c>
    </row>
    <row r="51" spans="1:14" x14ac:dyDescent="0.25">
      <c r="A51" s="13">
        <v>2024</v>
      </c>
      <c r="B51" t="s">
        <v>2006</v>
      </c>
      <c r="C51" t="s">
        <v>1504</v>
      </c>
      <c r="D51" t="s">
        <v>82</v>
      </c>
      <c r="E51" s="40">
        <v>45529</v>
      </c>
      <c r="F51" s="20">
        <v>45532</v>
      </c>
      <c r="G51" t="s">
        <v>626</v>
      </c>
      <c r="H51" s="45">
        <v>72</v>
      </c>
      <c r="I51" t="s">
        <v>627</v>
      </c>
      <c r="J51" t="s">
        <v>628</v>
      </c>
      <c r="K51" t="s">
        <v>1419</v>
      </c>
      <c r="L51" t="s">
        <v>1420</v>
      </c>
      <c r="M51" t="s">
        <v>1430</v>
      </c>
      <c r="N51" t="s">
        <v>1532</v>
      </c>
    </row>
    <row r="52" spans="1:14" x14ac:dyDescent="0.25">
      <c r="A52" s="13">
        <v>2024</v>
      </c>
      <c r="B52" t="s">
        <v>2008</v>
      </c>
      <c r="C52" t="s">
        <v>1499</v>
      </c>
      <c r="D52" t="s">
        <v>90</v>
      </c>
      <c r="E52" s="40">
        <v>45535</v>
      </c>
      <c r="F52" s="20">
        <v>45538</v>
      </c>
      <c r="G52" t="s">
        <v>35</v>
      </c>
      <c r="H52" s="45">
        <v>72</v>
      </c>
      <c r="I52" t="s">
        <v>636</v>
      </c>
      <c r="J52" t="s">
        <v>101</v>
      </c>
      <c r="K52" t="s">
        <v>1419</v>
      </c>
      <c r="L52" t="s">
        <v>1420</v>
      </c>
      <c r="M52" t="s">
        <v>1430</v>
      </c>
      <c r="N52" t="s">
        <v>1532</v>
      </c>
    </row>
    <row r="53" spans="1:14" x14ac:dyDescent="0.25">
      <c r="A53" s="13">
        <v>2024</v>
      </c>
      <c r="B53" t="s">
        <v>2009</v>
      </c>
      <c r="C53" t="s">
        <v>1510</v>
      </c>
      <c r="D53" t="s">
        <v>90</v>
      </c>
      <c r="E53" s="40">
        <v>45537</v>
      </c>
      <c r="F53" s="20">
        <v>45540</v>
      </c>
      <c r="G53" t="s">
        <v>640</v>
      </c>
      <c r="H53" s="45">
        <v>72</v>
      </c>
      <c r="I53" t="s">
        <v>641</v>
      </c>
      <c r="J53" t="s">
        <v>642</v>
      </c>
      <c r="K53" t="s">
        <v>1419</v>
      </c>
      <c r="L53" t="s">
        <v>1426</v>
      </c>
      <c r="M53" t="s">
        <v>1430</v>
      </c>
      <c r="N53" t="s">
        <v>1532</v>
      </c>
    </row>
    <row r="54" spans="1:14" x14ac:dyDescent="0.25">
      <c r="A54" s="13">
        <v>2024</v>
      </c>
      <c r="B54" t="s">
        <v>2023</v>
      </c>
      <c r="C54" t="s">
        <v>1488</v>
      </c>
      <c r="D54" t="s">
        <v>90</v>
      </c>
      <c r="E54" s="40">
        <v>45555</v>
      </c>
      <c r="F54" s="20">
        <v>45558</v>
      </c>
      <c r="G54" t="s">
        <v>697</v>
      </c>
      <c r="H54" s="45">
        <v>72</v>
      </c>
      <c r="I54" t="s">
        <v>696</v>
      </c>
      <c r="J54" t="s">
        <v>2024</v>
      </c>
      <c r="K54" t="s">
        <v>1419</v>
      </c>
      <c r="L54" t="s">
        <v>1423</v>
      </c>
      <c r="M54" t="s">
        <v>1430</v>
      </c>
      <c r="N54" t="s">
        <v>1532</v>
      </c>
    </row>
    <row r="55" spans="1:14" x14ac:dyDescent="0.25">
      <c r="A55" s="13">
        <v>2024</v>
      </c>
      <c r="B55" t="s">
        <v>2041</v>
      </c>
      <c r="C55" t="s">
        <v>1500</v>
      </c>
      <c r="D55" t="s">
        <v>1411</v>
      </c>
      <c r="E55" s="40">
        <v>45597</v>
      </c>
      <c r="F55" s="20">
        <v>45600</v>
      </c>
      <c r="G55" t="s">
        <v>187</v>
      </c>
      <c r="H55" s="45">
        <v>72</v>
      </c>
      <c r="I55" t="s">
        <v>751</v>
      </c>
      <c r="J55" t="s">
        <v>752</v>
      </c>
      <c r="K55" t="s">
        <v>1418</v>
      </c>
      <c r="L55">
        <v>0</v>
      </c>
      <c r="M55" t="s">
        <v>1430</v>
      </c>
      <c r="N55" t="s">
        <v>1532</v>
      </c>
    </row>
    <row r="56" spans="1:14" x14ac:dyDescent="0.25">
      <c r="A56" s="13">
        <v>2024</v>
      </c>
      <c r="B56" t="s">
        <v>2046</v>
      </c>
      <c r="C56" t="s">
        <v>1477</v>
      </c>
      <c r="D56" t="s">
        <v>1411</v>
      </c>
      <c r="E56" s="40">
        <v>45605</v>
      </c>
      <c r="F56" s="20">
        <v>45608</v>
      </c>
      <c r="G56" t="s">
        <v>7</v>
      </c>
      <c r="H56" s="45">
        <v>72</v>
      </c>
      <c r="I56" t="s">
        <v>772</v>
      </c>
      <c r="J56" t="s">
        <v>2047</v>
      </c>
      <c r="K56" t="s">
        <v>1419</v>
      </c>
      <c r="L56" t="s">
        <v>1423</v>
      </c>
      <c r="M56" t="s">
        <v>1430</v>
      </c>
      <c r="N56" t="s">
        <v>1532</v>
      </c>
    </row>
    <row r="57" spans="1:14" x14ac:dyDescent="0.25">
      <c r="A57" s="13">
        <v>2024</v>
      </c>
      <c r="B57" t="s">
        <v>2054</v>
      </c>
      <c r="C57" t="s">
        <v>1495</v>
      </c>
      <c r="D57" t="s">
        <v>1412</v>
      </c>
      <c r="E57" s="40">
        <v>45634</v>
      </c>
      <c r="F57" s="20">
        <v>45637</v>
      </c>
      <c r="G57" t="s">
        <v>43</v>
      </c>
      <c r="H57" s="45">
        <v>72</v>
      </c>
      <c r="I57" t="s">
        <v>808</v>
      </c>
      <c r="J57" t="s">
        <v>809</v>
      </c>
      <c r="K57" t="s">
        <v>1419</v>
      </c>
      <c r="L57" t="s">
        <v>1422</v>
      </c>
      <c r="M57" t="s">
        <v>1430</v>
      </c>
      <c r="N57" t="s">
        <v>1532</v>
      </c>
    </row>
    <row r="58" spans="1:14" x14ac:dyDescent="0.25">
      <c r="A58" s="13">
        <v>2024</v>
      </c>
      <c r="B58" t="s">
        <v>1956</v>
      </c>
      <c r="C58" t="s">
        <v>1490</v>
      </c>
      <c r="D58" t="s">
        <v>41</v>
      </c>
      <c r="E58" s="40">
        <v>45435</v>
      </c>
      <c r="F58" s="20">
        <v>45439</v>
      </c>
      <c r="G58" t="s">
        <v>415</v>
      </c>
      <c r="H58" s="45">
        <v>96</v>
      </c>
      <c r="I58" t="s">
        <v>416</v>
      </c>
      <c r="J58" t="s">
        <v>417</v>
      </c>
      <c r="K58" t="s">
        <v>1425</v>
      </c>
      <c r="L58">
        <v>0</v>
      </c>
      <c r="M58" t="s">
        <v>1432</v>
      </c>
      <c r="N58" t="s">
        <v>1532</v>
      </c>
    </row>
    <row r="59" spans="1:14" x14ac:dyDescent="0.25">
      <c r="A59" s="13">
        <v>2024</v>
      </c>
      <c r="B59" t="s">
        <v>1978</v>
      </c>
      <c r="C59" t="s">
        <v>1499</v>
      </c>
      <c r="D59" t="s">
        <v>70</v>
      </c>
      <c r="E59" s="40">
        <v>45472</v>
      </c>
      <c r="F59" s="20">
        <v>45476</v>
      </c>
      <c r="G59" t="s">
        <v>218</v>
      </c>
      <c r="H59" s="45">
        <v>96</v>
      </c>
      <c r="I59" t="s">
        <v>497</v>
      </c>
      <c r="J59" t="s">
        <v>498</v>
      </c>
      <c r="K59" t="s">
        <v>1419</v>
      </c>
      <c r="L59" t="s">
        <v>1420</v>
      </c>
      <c r="M59" t="s">
        <v>1430</v>
      </c>
      <c r="N59" t="s">
        <v>1532</v>
      </c>
    </row>
    <row r="60" spans="1:14" x14ac:dyDescent="0.25">
      <c r="A60" s="13">
        <v>2024</v>
      </c>
      <c r="B60" t="s">
        <v>1997</v>
      </c>
      <c r="C60" t="s">
        <v>1513</v>
      </c>
      <c r="D60" t="s">
        <v>70</v>
      </c>
      <c r="E60" s="40">
        <v>45498</v>
      </c>
      <c r="F60" s="20">
        <v>45502</v>
      </c>
      <c r="G60" t="s">
        <v>572</v>
      </c>
      <c r="H60" s="45">
        <v>96</v>
      </c>
      <c r="I60" t="s">
        <v>573</v>
      </c>
      <c r="J60" t="s">
        <v>78</v>
      </c>
      <c r="K60" t="s">
        <v>1419</v>
      </c>
      <c r="L60" t="s">
        <v>1420</v>
      </c>
      <c r="M60" t="s">
        <v>1430</v>
      </c>
      <c r="N60" t="s">
        <v>1532</v>
      </c>
    </row>
    <row r="61" spans="1:14" x14ac:dyDescent="0.25">
      <c r="A61" s="13">
        <v>2024</v>
      </c>
      <c r="B61" t="s">
        <v>2002</v>
      </c>
      <c r="C61" t="s">
        <v>1496</v>
      </c>
      <c r="D61" t="s">
        <v>82</v>
      </c>
      <c r="E61" s="40">
        <v>45513</v>
      </c>
      <c r="F61" s="20">
        <v>45517</v>
      </c>
      <c r="G61" t="s">
        <v>607</v>
      </c>
      <c r="H61" s="45">
        <v>96</v>
      </c>
      <c r="I61" t="s">
        <v>606</v>
      </c>
      <c r="J61" t="s">
        <v>54</v>
      </c>
      <c r="K61" t="s">
        <v>1419</v>
      </c>
      <c r="L61" t="s">
        <v>1420</v>
      </c>
      <c r="M61" t="s">
        <v>1430</v>
      </c>
      <c r="N61" t="s">
        <v>1532</v>
      </c>
    </row>
    <row r="62" spans="1:14" x14ac:dyDescent="0.25">
      <c r="A62" s="13">
        <v>2024</v>
      </c>
      <c r="B62" t="s">
        <v>2010</v>
      </c>
      <c r="C62" t="s">
        <v>1492</v>
      </c>
      <c r="D62" t="s">
        <v>90</v>
      </c>
      <c r="E62" s="40">
        <v>45537</v>
      </c>
      <c r="F62" s="20">
        <v>45541</v>
      </c>
      <c r="G62" t="s">
        <v>645</v>
      </c>
      <c r="H62" s="45">
        <v>96</v>
      </c>
      <c r="I62" t="s">
        <v>644</v>
      </c>
      <c r="J62" t="s">
        <v>643</v>
      </c>
      <c r="K62" t="s">
        <v>1419</v>
      </c>
      <c r="L62" t="s">
        <v>1428</v>
      </c>
      <c r="M62" t="s">
        <v>1430</v>
      </c>
      <c r="N62" t="s">
        <v>1532</v>
      </c>
    </row>
    <row r="63" spans="1:14" x14ac:dyDescent="0.25">
      <c r="A63" s="13">
        <v>2024</v>
      </c>
      <c r="B63" t="s">
        <v>2017</v>
      </c>
      <c r="C63" t="s">
        <v>1501</v>
      </c>
      <c r="D63" t="s">
        <v>90</v>
      </c>
      <c r="E63" s="40">
        <v>45548</v>
      </c>
      <c r="F63" s="20">
        <v>45552</v>
      </c>
      <c r="G63" t="s">
        <v>215</v>
      </c>
      <c r="H63" s="45">
        <v>96</v>
      </c>
      <c r="I63" t="s">
        <v>679</v>
      </c>
      <c r="J63" t="s">
        <v>678</v>
      </c>
      <c r="K63" t="s">
        <v>1419</v>
      </c>
      <c r="L63" t="s">
        <v>1420</v>
      </c>
      <c r="M63" t="s">
        <v>1430</v>
      </c>
      <c r="N63" t="s">
        <v>1532</v>
      </c>
    </row>
    <row r="64" spans="1:14" x14ac:dyDescent="0.25">
      <c r="A64" s="13">
        <v>2024</v>
      </c>
      <c r="B64" t="s">
        <v>1908</v>
      </c>
      <c r="C64" t="s">
        <v>1493</v>
      </c>
      <c r="D64" t="s">
        <v>1410</v>
      </c>
      <c r="E64" s="40">
        <v>45325</v>
      </c>
      <c r="F64" s="20">
        <v>45330</v>
      </c>
      <c r="G64" t="s">
        <v>52</v>
      </c>
      <c r="H64" s="45">
        <v>120</v>
      </c>
      <c r="I64" t="s">
        <v>213</v>
      </c>
      <c r="J64" t="s">
        <v>114</v>
      </c>
      <c r="K64" t="s">
        <v>1418</v>
      </c>
      <c r="L64">
        <v>0</v>
      </c>
      <c r="M64" t="s">
        <v>1431</v>
      </c>
      <c r="N64" t="s">
        <v>1532</v>
      </c>
    </row>
    <row r="65" spans="1:14" x14ac:dyDescent="0.25">
      <c r="A65" s="13">
        <v>2024</v>
      </c>
      <c r="B65" t="s">
        <v>1927</v>
      </c>
      <c r="C65" t="s">
        <v>1496</v>
      </c>
      <c r="D65" t="s">
        <v>24</v>
      </c>
      <c r="E65" s="40">
        <v>45359</v>
      </c>
      <c r="F65" s="20">
        <v>45364</v>
      </c>
      <c r="G65" t="s">
        <v>97</v>
      </c>
      <c r="H65" s="45">
        <v>120</v>
      </c>
      <c r="I65" t="s">
        <v>288</v>
      </c>
      <c r="J65" t="s">
        <v>289</v>
      </c>
      <c r="K65" t="s">
        <v>1424</v>
      </c>
      <c r="L65">
        <v>0</v>
      </c>
      <c r="M65" t="s">
        <v>1432</v>
      </c>
      <c r="N65" t="s">
        <v>1532</v>
      </c>
    </row>
    <row r="66" spans="1:14" x14ac:dyDescent="0.25">
      <c r="A66" s="13">
        <v>2024</v>
      </c>
      <c r="B66" t="s">
        <v>1999</v>
      </c>
      <c r="C66" t="s">
        <v>1498</v>
      </c>
      <c r="D66" t="s">
        <v>82</v>
      </c>
      <c r="E66" s="40">
        <v>45501</v>
      </c>
      <c r="F66" s="20">
        <v>45506</v>
      </c>
      <c r="G66" t="s">
        <v>593</v>
      </c>
      <c r="H66" s="45">
        <v>120</v>
      </c>
      <c r="I66" t="s">
        <v>594</v>
      </c>
      <c r="J66" t="s">
        <v>595</v>
      </c>
      <c r="K66" t="s">
        <v>1424</v>
      </c>
      <c r="L66">
        <v>0</v>
      </c>
      <c r="M66" t="s">
        <v>1432</v>
      </c>
      <c r="N66" t="s">
        <v>1532</v>
      </c>
    </row>
    <row r="67" spans="1:14" x14ac:dyDescent="0.25">
      <c r="A67" s="13">
        <v>2024</v>
      </c>
      <c r="B67" t="s">
        <v>2001</v>
      </c>
      <c r="C67" t="s">
        <v>1493</v>
      </c>
      <c r="D67" t="s">
        <v>82</v>
      </c>
      <c r="E67" s="40">
        <v>45507</v>
      </c>
      <c r="F67" s="20">
        <v>45512</v>
      </c>
      <c r="G67" t="s">
        <v>603</v>
      </c>
      <c r="H67" s="45">
        <v>120</v>
      </c>
      <c r="I67" t="s">
        <v>604</v>
      </c>
      <c r="J67" t="s">
        <v>605</v>
      </c>
      <c r="K67" t="s">
        <v>1419</v>
      </c>
      <c r="L67" t="s">
        <v>1423</v>
      </c>
      <c r="M67" t="s">
        <v>1430</v>
      </c>
      <c r="N67" t="s">
        <v>1532</v>
      </c>
    </row>
    <row r="68" spans="1:14" x14ac:dyDescent="0.25">
      <c r="A68" s="13">
        <v>2024</v>
      </c>
      <c r="B68" t="s">
        <v>2030</v>
      </c>
      <c r="C68" t="s">
        <v>1499</v>
      </c>
      <c r="D68" t="s">
        <v>94</v>
      </c>
      <c r="E68" s="40">
        <v>45563</v>
      </c>
      <c r="F68" s="20">
        <v>45568</v>
      </c>
      <c r="G68" t="s">
        <v>111</v>
      </c>
      <c r="H68" s="45">
        <v>120</v>
      </c>
      <c r="I68" t="s">
        <v>705</v>
      </c>
      <c r="J68" t="s">
        <v>706</v>
      </c>
      <c r="K68" t="s">
        <v>1424</v>
      </c>
      <c r="L68">
        <v>0</v>
      </c>
      <c r="M68" t="s">
        <v>1432</v>
      </c>
      <c r="N68" t="s">
        <v>1532</v>
      </c>
    </row>
    <row r="69" spans="1:14" x14ac:dyDescent="0.25">
      <c r="A69" s="13">
        <v>2024</v>
      </c>
      <c r="B69" t="s">
        <v>2038</v>
      </c>
      <c r="C69" t="s">
        <v>1512</v>
      </c>
      <c r="D69" t="s">
        <v>94</v>
      </c>
      <c r="E69" s="40">
        <v>45585</v>
      </c>
      <c r="F69" s="20">
        <v>45590</v>
      </c>
      <c r="G69" t="s">
        <v>632</v>
      </c>
      <c r="H69" s="45">
        <v>120</v>
      </c>
      <c r="I69" t="s">
        <v>739</v>
      </c>
      <c r="J69" t="s">
        <v>2039</v>
      </c>
      <c r="K69" t="s">
        <v>1419</v>
      </c>
      <c r="L69" t="s">
        <v>1423</v>
      </c>
      <c r="M69" t="s">
        <v>1430</v>
      </c>
      <c r="N69" t="s">
        <v>1532</v>
      </c>
    </row>
    <row r="70" spans="1:14" x14ac:dyDescent="0.25">
      <c r="A70" s="13">
        <v>2024</v>
      </c>
      <c r="B70" t="s">
        <v>1950</v>
      </c>
      <c r="C70" t="s">
        <v>1502</v>
      </c>
      <c r="D70" t="s">
        <v>41</v>
      </c>
      <c r="E70" s="40">
        <v>45416</v>
      </c>
      <c r="F70" s="20">
        <v>45422</v>
      </c>
      <c r="G70" t="s">
        <v>377</v>
      </c>
      <c r="H70" s="45">
        <v>144</v>
      </c>
      <c r="I70" t="s">
        <v>378</v>
      </c>
      <c r="J70" t="s">
        <v>379</v>
      </c>
      <c r="K70" t="s">
        <v>1419</v>
      </c>
      <c r="L70" t="s">
        <v>1427</v>
      </c>
      <c r="M70" t="s">
        <v>1430</v>
      </c>
      <c r="N70" t="s">
        <v>1532</v>
      </c>
    </row>
    <row r="71" spans="1:14" x14ac:dyDescent="0.25">
      <c r="A71" s="13">
        <v>2024</v>
      </c>
      <c r="B71" t="s">
        <v>1963</v>
      </c>
      <c r="C71" t="s">
        <v>1511</v>
      </c>
      <c r="D71" t="s">
        <v>65</v>
      </c>
      <c r="E71" s="40">
        <v>45451</v>
      </c>
      <c r="F71" s="20">
        <v>45457</v>
      </c>
      <c r="G71" t="s">
        <v>356</v>
      </c>
      <c r="H71" s="45">
        <v>144</v>
      </c>
      <c r="I71" t="s">
        <v>454</v>
      </c>
      <c r="J71" t="s">
        <v>455</v>
      </c>
      <c r="K71" t="s">
        <v>1418</v>
      </c>
      <c r="L71">
        <v>0</v>
      </c>
      <c r="M71" t="s">
        <v>1430</v>
      </c>
      <c r="N71" t="s">
        <v>1532</v>
      </c>
    </row>
    <row r="72" spans="1:14" x14ac:dyDescent="0.25">
      <c r="A72" s="13">
        <v>2024</v>
      </c>
      <c r="B72" t="s">
        <v>1973</v>
      </c>
      <c r="C72" t="s">
        <v>1503</v>
      </c>
      <c r="D72" t="s">
        <v>65</v>
      </c>
      <c r="E72" s="40">
        <v>45459</v>
      </c>
      <c r="F72" s="20">
        <v>45465</v>
      </c>
      <c r="G72" t="s">
        <v>480</v>
      </c>
      <c r="H72" s="45">
        <v>144</v>
      </c>
      <c r="I72" t="s">
        <v>481</v>
      </c>
      <c r="J72" t="s">
        <v>78</v>
      </c>
      <c r="K72" t="s">
        <v>1419</v>
      </c>
      <c r="L72" t="s">
        <v>1420</v>
      </c>
      <c r="M72" t="s">
        <v>1430</v>
      </c>
      <c r="N72" t="s">
        <v>1532</v>
      </c>
    </row>
    <row r="73" spans="1:14" x14ac:dyDescent="0.25">
      <c r="A73" s="13">
        <v>2024</v>
      </c>
      <c r="B73" t="s">
        <v>1896</v>
      </c>
      <c r="C73" t="s">
        <v>1496</v>
      </c>
      <c r="D73" t="s">
        <v>25</v>
      </c>
      <c r="E73" s="40">
        <v>45296</v>
      </c>
      <c r="F73" s="20">
        <v>45304</v>
      </c>
      <c r="G73" t="s">
        <v>73</v>
      </c>
      <c r="H73" s="45">
        <v>192</v>
      </c>
      <c r="I73" t="s">
        <v>150</v>
      </c>
      <c r="J73" t="s">
        <v>14</v>
      </c>
      <c r="K73" t="s">
        <v>1419</v>
      </c>
      <c r="L73" t="s">
        <v>1420</v>
      </c>
      <c r="M73" t="s">
        <v>1430</v>
      </c>
      <c r="N73" t="s">
        <v>1532</v>
      </c>
    </row>
    <row r="74" spans="1:14" x14ac:dyDescent="0.25">
      <c r="A74" s="13">
        <v>2024</v>
      </c>
      <c r="B74" t="s">
        <v>1995</v>
      </c>
      <c r="C74" t="s">
        <v>1483</v>
      </c>
      <c r="D74" t="s">
        <v>70</v>
      </c>
      <c r="E74" s="40">
        <v>45491</v>
      </c>
      <c r="F74" s="20">
        <v>45499</v>
      </c>
      <c r="G74" t="s">
        <v>562</v>
      </c>
      <c r="H74" s="45">
        <v>192</v>
      </c>
      <c r="I74" t="s">
        <v>563</v>
      </c>
      <c r="J74" t="s">
        <v>564</v>
      </c>
      <c r="K74" t="s">
        <v>1419</v>
      </c>
      <c r="L74" t="s">
        <v>1427</v>
      </c>
      <c r="M74" t="s">
        <v>1430</v>
      </c>
      <c r="N74" t="s">
        <v>1532</v>
      </c>
    </row>
    <row r="75" spans="1:14" x14ac:dyDescent="0.25">
      <c r="A75" s="13">
        <v>2024</v>
      </c>
      <c r="B75" t="s">
        <v>2060</v>
      </c>
      <c r="C75" t="s">
        <v>1488</v>
      </c>
      <c r="D75" t="s">
        <v>1412</v>
      </c>
      <c r="E75" s="40">
        <v>45641</v>
      </c>
      <c r="F75" s="20">
        <v>45649</v>
      </c>
      <c r="G75" t="s">
        <v>832</v>
      </c>
      <c r="H75" s="45">
        <v>192</v>
      </c>
      <c r="I75" t="s">
        <v>833</v>
      </c>
      <c r="J75" t="s">
        <v>834</v>
      </c>
      <c r="K75" t="s">
        <v>1419</v>
      </c>
      <c r="L75" t="s">
        <v>1422</v>
      </c>
      <c r="M75" t="s">
        <v>1430</v>
      </c>
      <c r="N75" t="s">
        <v>1532</v>
      </c>
    </row>
    <row r="76" spans="1:14" x14ac:dyDescent="0.25">
      <c r="A76" s="13">
        <v>2024</v>
      </c>
      <c r="B76" t="s">
        <v>1960</v>
      </c>
      <c r="C76" t="s">
        <v>1502</v>
      </c>
      <c r="D76" t="s">
        <v>65</v>
      </c>
      <c r="E76" s="40">
        <v>45444</v>
      </c>
      <c r="F76" s="20">
        <v>45453</v>
      </c>
      <c r="G76" t="s">
        <v>155</v>
      </c>
      <c r="H76" s="45">
        <v>216</v>
      </c>
      <c r="I76" t="s">
        <v>443</v>
      </c>
      <c r="J76" t="s">
        <v>444</v>
      </c>
      <c r="K76" t="s">
        <v>1424</v>
      </c>
      <c r="L76">
        <v>0</v>
      </c>
      <c r="M76" t="s">
        <v>1430</v>
      </c>
      <c r="N76" t="s">
        <v>1532</v>
      </c>
    </row>
    <row r="77" spans="1:14" x14ac:dyDescent="0.25">
      <c r="A77" s="13">
        <v>2024</v>
      </c>
      <c r="B77" t="s">
        <v>1968</v>
      </c>
      <c r="C77" t="s">
        <v>1501</v>
      </c>
      <c r="D77" t="s">
        <v>65</v>
      </c>
      <c r="E77" s="40">
        <v>45451</v>
      </c>
      <c r="F77" s="20">
        <v>45460</v>
      </c>
      <c r="G77" t="s">
        <v>107</v>
      </c>
      <c r="H77" s="45">
        <v>216</v>
      </c>
      <c r="I77" t="s">
        <v>465</v>
      </c>
      <c r="J77" t="s">
        <v>255</v>
      </c>
      <c r="K77" t="s">
        <v>1419</v>
      </c>
      <c r="L77" t="s">
        <v>1420</v>
      </c>
      <c r="M77" t="s">
        <v>1430</v>
      </c>
      <c r="N77" t="s">
        <v>1532</v>
      </c>
    </row>
    <row r="78" spans="1:14" x14ac:dyDescent="0.25">
      <c r="A78" s="13">
        <v>2024</v>
      </c>
      <c r="B78" t="s">
        <v>1949</v>
      </c>
      <c r="C78" t="s">
        <v>1486</v>
      </c>
      <c r="D78" t="s">
        <v>41</v>
      </c>
      <c r="E78" s="40">
        <v>45409</v>
      </c>
      <c r="F78" s="20">
        <v>45419</v>
      </c>
      <c r="G78" t="s">
        <v>43</v>
      </c>
      <c r="H78" s="45">
        <v>240</v>
      </c>
      <c r="I78" t="s">
        <v>372</v>
      </c>
      <c r="J78" t="s">
        <v>373</v>
      </c>
      <c r="K78" t="s">
        <v>1419</v>
      </c>
      <c r="L78" t="s">
        <v>1422</v>
      </c>
      <c r="M78" t="s">
        <v>1430</v>
      </c>
      <c r="N78" t="s">
        <v>1532</v>
      </c>
    </row>
    <row r="79" spans="1:14" x14ac:dyDescent="0.25">
      <c r="A79" s="13">
        <v>2024</v>
      </c>
      <c r="B79" t="s">
        <v>1987</v>
      </c>
      <c r="C79" t="s">
        <v>1497</v>
      </c>
      <c r="D79" t="s">
        <v>70</v>
      </c>
      <c r="E79" s="40">
        <v>45478</v>
      </c>
      <c r="F79" s="20">
        <v>45488</v>
      </c>
      <c r="G79" t="s">
        <v>99</v>
      </c>
      <c r="H79" s="45">
        <v>240</v>
      </c>
      <c r="I79" t="s">
        <v>524</v>
      </c>
      <c r="J79" t="s">
        <v>526</v>
      </c>
      <c r="K79" t="s">
        <v>1419</v>
      </c>
      <c r="L79" t="s">
        <v>1423</v>
      </c>
      <c r="M79" t="s">
        <v>1430</v>
      </c>
      <c r="N79" t="s">
        <v>1532</v>
      </c>
    </row>
    <row r="80" spans="1:14" x14ac:dyDescent="0.25">
      <c r="A80" s="13">
        <v>2024</v>
      </c>
      <c r="B80" t="s">
        <v>1888</v>
      </c>
      <c r="C80" t="s">
        <v>1498</v>
      </c>
      <c r="D80" t="s">
        <v>25</v>
      </c>
      <c r="E80" s="40">
        <v>45282</v>
      </c>
      <c r="F80" s="20">
        <v>45293</v>
      </c>
      <c r="G80" t="s">
        <v>116</v>
      </c>
      <c r="H80" s="45">
        <v>264</v>
      </c>
      <c r="I80" t="s">
        <v>117</v>
      </c>
      <c r="J80" t="s">
        <v>1795</v>
      </c>
      <c r="K80">
        <v>0</v>
      </c>
      <c r="L80">
        <v>0</v>
      </c>
      <c r="M80">
        <v>0</v>
      </c>
      <c r="N80" t="s">
        <v>1532</v>
      </c>
    </row>
    <row r="81" spans="1:14" x14ac:dyDescent="0.25">
      <c r="A81" s="13">
        <v>2024</v>
      </c>
      <c r="B81" t="s">
        <v>1907</v>
      </c>
      <c r="C81" t="s">
        <v>1486</v>
      </c>
      <c r="D81" t="s">
        <v>1410</v>
      </c>
      <c r="E81" s="40">
        <v>45318</v>
      </c>
      <c r="F81" s="20">
        <v>45329</v>
      </c>
      <c r="G81" t="s">
        <v>209</v>
      </c>
      <c r="H81" s="45">
        <v>264</v>
      </c>
      <c r="I81" t="s">
        <v>210</v>
      </c>
      <c r="J81" t="s">
        <v>211</v>
      </c>
      <c r="K81" t="s">
        <v>1418</v>
      </c>
      <c r="L81">
        <v>0</v>
      </c>
      <c r="M81" t="s">
        <v>1431</v>
      </c>
      <c r="N81" t="s">
        <v>1532</v>
      </c>
    </row>
    <row r="82" spans="1:14" x14ac:dyDescent="0.25">
      <c r="A82" s="13">
        <v>2024</v>
      </c>
      <c r="B82" t="s">
        <v>1911</v>
      </c>
      <c r="C82" t="s">
        <v>1496</v>
      </c>
      <c r="D82" t="s">
        <v>1410</v>
      </c>
      <c r="E82" s="40">
        <v>45324</v>
      </c>
      <c r="F82" s="20">
        <v>45335</v>
      </c>
      <c r="G82" t="s">
        <v>220</v>
      </c>
      <c r="H82" s="45">
        <v>264</v>
      </c>
      <c r="I82" t="s">
        <v>221</v>
      </c>
      <c r="J82" t="s">
        <v>222</v>
      </c>
      <c r="K82" t="s">
        <v>1425</v>
      </c>
      <c r="L82">
        <v>0</v>
      </c>
      <c r="M82" t="s">
        <v>1432</v>
      </c>
      <c r="N82" t="s">
        <v>1532</v>
      </c>
    </row>
    <row r="83" spans="1:14" x14ac:dyDescent="0.25">
      <c r="A83" s="13">
        <v>2024</v>
      </c>
      <c r="B83" t="s">
        <v>1986</v>
      </c>
      <c r="C83" t="s">
        <v>1495</v>
      </c>
      <c r="D83" t="s">
        <v>70</v>
      </c>
      <c r="E83" s="40">
        <v>45473</v>
      </c>
      <c r="F83" s="20">
        <v>45484</v>
      </c>
      <c r="G83" t="s">
        <v>129</v>
      </c>
      <c r="H83" s="45">
        <v>264</v>
      </c>
      <c r="I83" t="s">
        <v>522</v>
      </c>
      <c r="J83" t="s">
        <v>523</v>
      </c>
      <c r="K83" t="s">
        <v>1424</v>
      </c>
      <c r="L83">
        <v>0</v>
      </c>
      <c r="M83" t="s">
        <v>1432</v>
      </c>
      <c r="N83" t="s">
        <v>1532</v>
      </c>
    </row>
    <row r="84" spans="1:14" x14ac:dyDescent="0.25">
      <c r="A84" s="13">
        <v>2024</v>
      </c>
      <c r="B84" t="s">
        <v>2013</v>
      </c>
      <c r="C84" t="s">
        <v>1502</v>
      </c>
      <c r="D84" t="s">
        <v>90</v>
      </c>
      <c r="E84" s="40">
        <v>45534</v>
      </c>
      <c r="F84" s="20">
        <v>45545</v>
      </c>
      <c r="G84" t="s">
        <v>659</v>
      </c>
      <c r="H84" s="45">
        <v>264</v>
      </c>
      <c r="I84" t="s">
        <v>658</v>
      </c>
      <c r="J84" t="s">
        <v>657</v>
      </c>
      <c r="K84" t="s">
        <v>1418</v>
      </c>
      <c r="L84">
        <v>0</v>
      </c>
      <c r="M84" t="s">
        <v>1431</v>
      </c>
      <c r="N84" t="s">
        <v>1532</v>
      </c>
    </row>
    <row r="85" spans="1:14" x14ac:dyDescent="0.25">
      <c r="A85" s="13">
        <v>2024</v>
      </c>
      <c r="B85" t="s">
        <v>2019</v>
      </c>
      <c r="C85" t="s">
        <v>1507</v>
      </c>
      <c r="D85" t="s">
        <v>90</v>
      </c>
      <c r="E85" s="40">
        <v>45542</v>
      </c>
      <c r="F85" s="20">
        <v>45553</v>
      </c>
      <c r="G85" t="s">
        <v>11</v>
      </c>
      <c r="H85" s="45">
        <v>264</v>
      </c>
      <c r="I85" t="s">
        <v>681</v>
      </c>
      <c r="J85" t="s">
        <v>682</v>
      </c>
      <c r="K85" t="s">
        <v>1424</v>
      </c>
      <c r="L85">
        <v>0</v>
      </c>
      <c r="M85" t="s">
        <v>1432</v>
      </c>
      <c r="N85" t="s">
        <v>1532</v>
      </c>
    </row>
    <row r="86" spans="1:14" x14ac:dyDescent="0.25">
      <c r="A86" s="13">
        <v>2024</v>
      </c>
      <c r="B86" t="s">
        <v>2035</v>
      </c>
      <c r="C86" t="s">
        <v>1509</v>
      </c>
      <c r="D86" t="s">
        <v>94</v>
      </c>
      <c r="E86" s="40">
        <v>45575</v>
      </c>
      <c r="F86" s="20">
        <v>45586</v>
      </c>
      <c r="G86" t="s">
        <v>729</v>
      </c>
      <c r="H86" s="45">
        <v>264</v>
      </c>
      <c r="I86" t="s">
        <v>730</v>
      </c>
      <c r="J86" t="s">
        <v>275</v>
      </c>
      <c r="K86" t="s">
        <v>1419</v>
      </c>
      <c r="L86" t="s">
        <v>1422</v>
      </c>
      <c r="M86" t="s">
        <v>1430</v>
      </c>
      <c r="N86" t="s">
        <v>1532</v>
      </c>
    </row>
    <row r="87" spans="1:14" x14ac:dyDescent="0.25">
      <c r="A87" s="13">
        <v>2024</v>
      </c>
      <c r="B87" t="s">
        <v>1923</v>
      </c>
      <c r="C87" t="s">
        <v>1493</v>
      </c>
      <c r="D87" t="s">
        <v>24</v>
      </c>
      <c r="E87" s="40">
        <v>45347</v>
      </c>
      <c r="F87" s="20">
        <v>45359</v>
      </c>
      <c r="G87" t="s">
        <v>269</v>
      </c>
      <c r="H87" s="45">
        <v>288</v>
      </c>
      <c r="I87" t="s">
        <v>270</v>
      </c>
      <c r="J87" t="s">
        <v>271</v>
      </c>
      <c r="K87" t="s">
        <v>1424</v>
      </c>
      <c r="L87">
        <v>0</v>
      </c>
      <c r="M87" t="s">
        <v>1430</v>
      </c>
      <c r="N87" t="s">
        <v>1532</v>
      </c>
    </row>
    <row r="88" spans="1:14" x14ac:dyDescent="0.25">
      <c r="A88" s="13">
        <v>2024</v>
      </c>
      <c r="B88" t="s">
        <v>1957</v>
      </c>
      <c r="C88" t="s">
        <v>1513</v>
      </c>
      <c r="D88" t="s">
        <v>41</v>
      </c>
      <c r="E88" s="40">
        <v>45429</v>
      </c>
      <c r="F88" s="20">
        <v>45441</v>
      </c>
      <c r="G88" t="s">
        <v>431</v>
      </c>
      <c r="H88" s="45">
        <v>288</v>
      </c>
      <c r="I88" t="s">
        <v>432</v>
      </c>
      <c r="J88" t="s">
        <v>433</v>
      </c>
      <c r="K88" t="s">
        <v>1419</v>
      </c>
      <c r="L88" t="s">
        <v>1426</v>
      </c>
      <c r="M88" t="s">
        <v>1430</v>
      </c>
      <c r="N88" t="s">
        <v>1532</v>
      </c>
    </row>
    <row r="89" spans="1:14" x14ac:dyDescent="0.25">
      <c r="A89" s="13">
        <v>2024</v>
      </c>
      <c r="B89" t="s">
        <v>1998</v>
      </c>
      <c r="C89" t="s">
        <v>1505</v>
      </c>
      <c r="D89" t="s">
        <v>70</v>
      </c>
      <c r="E89" s="40">
        <v>45492</v>
      </c>
      <c r="F89" s="20">
        <v>45504</v>
      </c>
      <c r="G89" t="s">
        <v>589</v>
      </c>
      <c r="H89" s="45">
        <v>288</v>
      </c>
      <c r="I89" t="s">
        <v>590</v>
      </c>
      <c r="J89" t="s">
        <v>591</v>
      </c>
      <c r="K89" t="s">
        <v>1419</v>
      </c>
      <c r="L89" t="s">
        <v>1427</v>
      </c>
      <c r="M89" t="s">
        <v>1430</v>
      </c>
      <c r="N89" t="s">
        <v>1532</v>
      </c>
    </row>
    <row r="90" spans="1:14" x14ac:dyDescent="0.25">
      <c r="A90" s="13">
        <v>2024</v>
      </c>
      <c r="B90" t="s">
        <v>2009</v>
      </c>
      <c r="C90" t="s">
        <v>1510</v>
      </c>
      <c r="D90" t="s">
        <v>90</v>
      </c>
      <c r="E90" s="40">
        <v>45528</v>
      </c>
      <c r="F90" s="20">
        <v>45540</v>
      </c>
      <c r="G90" t="s">
        <v>108</v>
      </c>
      <c r="H90" s="45">
        <v>288</v>
      </c>
      <c r="I90" t="s">
        <v>638</v>
      </c>
      <c r="J90" t="s">
        <v>639</v>
      </c>
      <c r="K90" t="s">
        <v>1418</v>
      </c>
      <c r="L90">
        <v>0</v>
      </c>
      <c r="M90" t="s">
        <v>1431</v>
      </c>
      <c r="N90" t="s">
        <v>1532</v>
      </c>
    </row>
    <row r="91" spans="1:14" x14ac:dyDescent="0.25">
      <c r="A91" s="13">
        <v>2024</v>
      </c>
      <c r="B91" t="s">
        <v>2007</v>
      </c>
      <c r="C91" t="s">
        <v>1505</v>
      </c>
      <c r="D91" t="s">
        <v>82</v>
      </c>
      <c r="E91" s="40">
        <v>45522</v>
      </c>
      <c r="F91" s="20">
        <v>45535</v>
      </c>
      <c r="G91" t="s">
        <v>632</v>
      </c>
      <c r="H91" s="45">
        <v>312</v>
      </c>
      <c r="I91" t="s">
        <v>633</v>
      </c>
      <c r="J91" t="s">
        <v>634</v>
      </c>
      <c r="K91" t="s">
        <v>1424</v>
      </c>
      <c r="L91">
        <v>0</v>
      </c>
      <c r="M91" t="s">
        <v>1432</v>
      </c>
      <c r="N91" t="s">
        <v>1532</v>
      </c>
    </row>
    <row r="92" spans="1:14" x14ac:dyDescent="0.25">
      <c r="A92" s="13">
        <v>2024</v>
      </c>
      <c r="B92" t="s">
        <v>1891</v>
      </c>
      <c r="C92" t="s">
        <v>1510</v>
      </c>
      <c r="D92" t="s">
        <v>25</v>
      </c>
      <c r="E92" s="40">
        <v>45282</v>
      </c>
      <c r="F92" s="20">
        <v>45296</v>
      </c>
      <c r="G92" t="s">
        <v>132</v>
      </c>
      <c r="H92" s="45">
        <v>336</v>
      </c>
      <c r="I92" t="s">
        <v>133</v>
      </c>
      <c r="J92" t="s">
        <v>134</v>
      </c>
      <c r="K92" t="s">
        <v>1419</v>
      </c>
      <c r="L92" t="s">
        <v>1422</v>
      </c>
      <c r="M92" t="s">
        <v>1430</v>
      </c>
      <c r="N92" t="s">
        <v>1532</v>
      </c>
    </row>
    <row r="93" spans="1:14" x14ac:dyDescent="0.25">
      <c r="A93" s="13">
        <v>2024</v>
      </c>
      <c r="B93" t="s">
        <v>1932</v>
      </c>
      <c r="C93" t="s">
        <v>1504</v>
      </c>
      <c r="D93" t="s">
        <v>24</v>
      </c>
      <c r="E93" s="40">
        <v>45365</v>
      </c>
      <c r="F93" s="20">
        <v>45379</v>
      </c>
      <c r="G93" t="s">
        <v>88</v>
      </c>
      <c r="H93" s="45">
        <v>336</v>
      </c>
      <c r="I93" t="s">
        <v>303</v>
      </c>
      <c r="J93" t="s">
        <v>304</v>
      </c>
      <c r="K93" t="s">
        <v>1419</v>
      </c>
      <c r="L93" t="s">
        <v>1422</v>
      </c>
      <c r="M93" t="s">
        <v>1430</v>
      </c>
      <c r="N93" t="s">
        <v>1532</v>
      </c>
    </row>
    <row r="94" spans="1:14" x14ac:dyDescent="0.25">
      <c r="A94" s="13">
        <v>2024</v>
      </c>
      <c r="B94" t="s">
        <v>2025</v>
      </c>
      <c r="C94" t="s">
        <v>1490</v>
      </c>
      <c r="D94" t="s">
        <v>90</v>
      </c>
      <c r="E94" s="40">
        <v>45548</v>
      </c>
      <c r="F94" s="20">
        <v>45562</v>
      </c>
      <c r="G94" t="s">
        <v>17</v>
      </c>
      <c r="H94" s="45">
        <v>336</v>
      </c>
      <c r="I94" t="s">
        <v>720</v>
      </c>
      <c r="J94" t="s">
        <v>2026</v>
      </c>
      <c r="K94" t="s">
        <v>1419</v>
      </c>
      <c r="L94" t="s">
        <v>1426</v>
      </c>
      <c r="M94" t="s">
        <v>1430</v>
      </c>
      <c r="N94" t="s">
        <v>1532</v>
      </c>
    </row>
    <row r="95" spans="1:14" x14ac:dyDescent="0.25">
      <c r="A95" s="13">
        <v>2024</v>
      </c>
      <c r="B95" t="s">
        <v>1924</v>
      </c>
      <c r="C95" t="s">
        <v>1494</v>
      </c>
      <c r="D95" t="s">
        <v>24</v>
      </c>
      <c r="E95" s="40">
        <v>45345</v>
      </c>
      <c r="F95" s="20">
        <v>45360</v>
      </c>
      <c r="G95" t="s">
        <v>273</v>
      </c>
      <c r="H95" s="45">
        <v>360</v>
      </c>
      <c r="I95" t="s">
        <v>274</v>
      </c>
      <c r="J95" t="s">
        <v>275</v>
      </c>
      <c r="K95" t="s">
        <v>1419</v>
      </c>
      <c r="L95" t="s">
        <v>1422</v>
      </c>
      <c r="M95" t="s">
        <v>1430</v>
      </c>
      <c r="N95" t="s">
        <v>1532</v>
      </c>
    </row>
    <row r="96" spans="1:14" x14ac:dyDescent="0.25">
      <c r="A96" s="13">
        <v>2024</v>
      </c>
      <c r="B96" t="s">
        <v>2017</v>
      </c>
      <c r="C96" t="s">
        <v>1501</v>
      </c>
      <c r="D96" t="s">
        <v>90</v>
      </c>
      <c r="E96" s="40">
        <v>45537</v>
      </c>
      <c r="F96" s="20">
        <v>45552</v>
      </c>
      <c r="G96" t="s">
        <v>62</v>
      </c>
      <c r="H96" s="45">
        <v>360</v>
      </c>
      <c r="I96" t="s">
        <v>670</v>
      </c>
      <c r="J96" t="s">
        <v>2018</v>
      </c>
      <c r="K96" t="s">
        <v>1419</v>
      </c>
      <c r="L96" t="s">
        <v>1423</v>
      </c>
      <c r="M96" t="s">
        <v>1430</v>
      </c>
      <c r="N96" t="s">
        <v>1532</v>
      </c>
    </row>
    <row r="97" spans="1:14" x14ac:dyDescent="0.25">
      <c r="A97" s="13">
        <v>2024</v>
      </c>
      <c r="B97" t="s">
        <v>1940</v>
      </c>
      <c r="C97" t="s">
        <v>1488</v>
      </c>
      <c r="D97" t="s">
        <v>33</v>
      </c>
      <c r="E97" s="40">
        <v>45389</v>
      </c>
      <c r="F97" s="20">
        <v>45405</v>
      </c>
      <c r="G97" t="s">
        <v>6</v>
      </c>
      <c r="H97" s="45">
        <v>384</v>
      </c>
      <c r="I97" t="s">
        <v>336</v>
      </c>
      <c r="J97" t="s">
        <v>337</v>
      </c>
      <c r="K97" t="s">
        <v>1419</v>
      </c>
      <c r="L97" t="s">
        <v>1420</v>
      </c>
      <c r="M97" t="s">
        <v>1430</v>
      </c>
      <c r="N97" t="s">
        <v>1532</v>
      </c>
    </row>
    <row r="98" spans="1:14" x14ac:dyDescent="0.25">
      <c r="A98" s="13">
        <v>2024</v>
      </c>
      <c r="B98" t="s">
        <v>2056</v>
      </c>
      <c r="C98" t="s">
        <v>1511</v>
      </c>
      <c r="D98" t="s">
        <v>1412</v>
      </c>
      <c r="E98" s="40">
        <v>45624</v>
      </c>
      <c r="F98" s="20">
        <v>45640</v>
      </c>
      <c r="G98" t="s">
        <v>389</v>
      </c>
      <c r="H98" s="45">
        <v>384</v>
      </c>
      <c r="I98" t="s">
        <v>818</v>
      </c>
      <c r="J98" t="s">
        <v>819</v>
      </c>
      <c r="K98" t="s">
        <v>1425</v>
      </c>
      <c r="L98">
        <v>0</v>
      </c>
      <c r="M98" t="s">
        <v>1431</v>
      </c>
      <c r="N98" t="s">
        <v>1532</v>
      </c>
    </row>
    <row r="99" spans="1:14" x14ac:dyDescent="0.25">
      <c r="A99" s="13">
        <v>2024</v>
      </c>
      <c r="B99" t="s">
        <v>1944</v>
      </c>
      <c r="C99" t="s">
        <v>1491</v>
      </c>
      <c r="D99" t="s">
        <v>41</v>
      </c>
      <c r="E99" s="40">
        <v>45396</v>
      </c>
      <c r="F99" s="20">
        <v>45413</v>
      </c>
      <c r="G99" t="s">
        <v>349</v>
      </c>
      <c r="H99" s="45">
        <v>408</v>
      </c>
      <c r="I99" t="s">
        <v>350</v>
      </c>
      <c r="J99" t="s">
        <v>351</v>
      </c>
      <c r="K99" t="s">
        <v>1419</v>
      </c>
      <c r="L99" t="s">
        <v>1426</v>
      </c>
      <c r="M99" t="s">
        <v>1430</v>
      </c>
      <c r="N99" t="s">
        <v>1532</v>
      </c>
    </row>
    <row r="100" spans="1:14" x14ac:dyDescent="0.25">
      <c r="A100" s="13">
        <v>2024</v>
      </c>
      <c r="B100" t="s">
        <v>1948</v>
      </c>
      <c r="C100" t="s">
        <v>1492</v>
      </c>
      <c r="D100" t="s">
        <v>41</v>
      </c>
      <c r="E100" s="40">
        <v>45401</v>
      </c>
      <c r="F100" s="20">
        <v>45418</v>
      </c>
      <c r="G100" t="s">
        <v>124</v>
      </c>
      <c r="H100" s="45">
        <v>408</v>
      </c>
      <c r="I100" t="s">
        <v>366</v>
      </c>
      <c r="J100" t="s">
        <v>367</v>
      </c>
      <c r="K100" t="s">
        <v>1419</v>
      </c>
      <c r="L100" t="s">
        <v>1420</v>
      </c>
      <c r="M100" t="s">
        <v>1430</v>
      </c>
      <c r="N100" t="s">
        <v>1532</v>
      </c>
    </row>
    <row r="101" spans="1:14" x14ac:dyDescent="0.25">
      <c r="A101" s="13">
        <v>2024</v>
      </c>
      <c r="B101" t="s">
        <v>2041</v>
      </c>
      <c r="C101" t="s">
        <v>1500</v>
      </c>
      <c r="D101" t="s">
        <v>1411</v>
      </c>
      <c r="E101" s="40">
        <v>45583</v>
      </c>
      <c r="F101" s="20">
        <v>45600</v>
      </c>
      <c r="G101" t="s">
        <v>745</v>
      </c>
      <c r="H101" s="45">
        <v>408</v>
      </c>
      <c r="I101" t="s">
        <v>746</v>
      </c>
      <c r="J101" t="s">
        <v>748</v>
      </c>
      <c r="K101" t="s">
        <v>1419</v>
      </c>
      <c r="L101" t="s">
        <v>1428</v>
      </c>
      <c r="M101" t="s">
        <v>1430</v>
      </c>
      <c r="N101" t="s">
        <v>1532</v>
      </c>
    </row>
    <row r="102" spans="1:14" x14ac:dyDescent="0.25">
      <c r="A102" s="13">
        <v>2024</v>
      </c>
      <c r="B102" t="s">
        <v>2054</v>
      </c>
      <c r="C102" t="s">
        <v>1495</v>
      </c>
      <c r="D102" t="s">
        <v>1412</v>
      </c>
      <c r="E102" s="40">
        <v>45620</v>
      </c>
      <c r="F102" s="20">
        <v>45637</v>
      </c>
      <c r="G102" t="s">
        <v>812</v>
      </c>
      <c r="H102" s="45">
        <v>408</v>
      </c>
      <c r="I102" t="s">
        <v>811</v>
      </c>
      <c r="J102" t="s">
        <v>810</v>
      </c>
      <c r="K102" t="s">
        <v>1419</v>
      </c>
      <c r="L102" t="s">
        <v>1426</v>
      </c>
      <c r="M102" t="s">
        <v>1430</v>
      </c>
      <c r="N102" t="s">
        <v>1532</v>
      </c>
    </row>
    <row r="103" spans="1:14" x14ac:dyDescent="0.25">
      <c r="A103" s="13">
        <v>2024</v>
      </c>
      <c r="B103" t="s">
        <v>1961</v>
      </c>
      <c r="C103" t="s">
        <v>1495</v>
      </c>
      <c r="D103" t="s">
        <v>65</v>
      </c>
      <c r="E103" s="40">
        <v>45436</v>
      </c>
      <c r="F103" s="20">
        <v>45454</v>
      </c>
      <c r="G103" t="s">
        <v>29</v>
      </c>
      <c r="H103" s="45">
        <v>432</v>
      </c>
      <c r="I103" t="s">
        <v>446</v>
      </c>
      <c r="J103" t="s">
        <v>447</v>
      </c>
      <c r="K103" t="s">
        <v>1419</v>
      </c>
      <c r="L103" t="s">
        <v>1426</v>
      </c>
      <c r="M103" t="s">
        <v>1430</v>
      </c>
      <c r="N103" t="s">
        <v>1532</v>
      </c>
    </row>
    <row r="104" spans="1:14" x14ac:dyDescent="0.25">
      <c r="A104" s="13">
        <v>2024</v>
      </c>
      <c r="B104" t="s">
        <v>2014</v>
      </c>
      <c r="C104" t="s">
        <v>1477</v>
      </c>
      <c r="D104" t="s">
        <v>90</v>
      </c>
      <c r="E104" s="40">
        <v>45529</v>
      </c>
      <c r="F104" s="20">
        <v>45547</v>
      </c>
      <c r="G104" t="s">
        <v>389</v>
      </c>
      <c r="H104" s="45">
        <v>432</v>
      </c>
      <c r="I104" t="s">
        <v>663</v>
      </c>
      <c r="J104" t="s">
        <v>2015</v>
      </c>
      <c r="K104" t="s">
        <v>1419</v>
      </c>
      <c r="L104" t="s">
        <v>1420</v>
      </c>
      <c r="M104" t="s">
        <v>1430</v>
      </c>
      <c r="N104" t="s">
        <v>1532</v>
      </c>
    </row>
    <row r="105" spans="1:14" x14ac:dyDescent="0.25">
      <c r="A105" s="13">
        <v>2024</v>
      </c>
      <c r="B105" t="s">
        <v>1891</v>
      </c>
      <c r="C105" t="s">
        <v>1510</v>
      </c>
      <c r="D105" t="s">
        <v>25</v>
      </c>
      <c r="E105" s="40">
        <v>45277</v>
      </c>
      <c r="F105" s="20">
        <v>45296</v>
      </c>
      <c r="G105" t="s">
        <v>129</v>
      </c>
      <c r="H105" s="45">
        <v>456</v>
      </c>
      <c r="I105" t="s">
        <v>130</v>
      </c>
      <c r="J105" t="s">
        <v>131</v>
      </c>
      <c r="K105" t="s">
        <v>1418</v>
      </c>
      <c r="L105">
        <v>0</v>
      </c>
      <c r="M105" t="s">
        <v>1431</v>
      </c>
      <c r="N105" t="s">
        <v>1532</v>
      </c>
    </row>
    <row r="106" spans="1:14" x14ac:dyDescent="0.25">
      <c r="A106" s="13">
        <v>2024</v>
      </c>
      <c r="B106" t="s">
        <v>1958</v>
      </c>
      <c r="C106" t="s">
        <v>1505</v>
      </c>
      <c r="D106" t="s">
        <v>41</v>
      </c>
      <c r="E106" s="40">
        <v>45424</v>
      </c>
      <c r="F106" s="20">
        <v>45443</v>
      </c>
      <c r="G106" t="s">
        <v>423</v>
      </c>
      <c r="H106" s="45">
        <v>456</v>
      </c>
      <c r="I106" t="s">
        <v>435</v>
      </c>
      <c r="J106" t="s">
        <v>439</v>
      </c>
      <c r="K106" t="s">
        <v>1419</v>
      </c>
      <c r="L106" t="s">
        <v>1426</v>
      </c>
      <c r="M106" t="s">
        <v>1430</v>
      </c>
      <c r="N106" t="s">
        <v>1532</v>
      </c>
    </row>
    <row r="107" spans="1:14" x14ac:dyDescent="0.25">
      <c r="A107" s="13">
        <v>2024</v>
      </c>
      <c r="B107" t="s">
        <v>2055</v>
      </c>
      <c r="C107" t="s">
        <v>1496</v>
      </c>
      <c r="D107" t="s">
        <v>1412</v>
      </c>
      <c r="E107" s="40">
        <v>45619</v>
      </c>
      <c r="F107" s="20">
        <v>45639</v>
      </c>
      <c r="G107" t="s">
        <v>815</v>
      </c>
      <c r="H107" s="45">
        <v>480</v>
      </c>
      <c r="I107" t="s">
        <v>814</v>
      </c>
      <c r="J107" t="s">
        <v>91</v>
      </c>
      <c r="K107" t="s">
        <v>1419</v>
      </c>
      <c r="L107" t="s">
        <v>1427</v>
      </c>
      <c r="M107" t="s">
        <v>1430</v>
      </c>
      <c r="N107" t="s">
        <v>1532</v>
      </c>
    </row>
    <row r="108" spans="1:14" x14ac:dyDescent="0.25">
      <c r="A108" s="13">
        <v>2024</v>
      </c>
      <c r="B108" t="s">
        <v>1891</v>
      </c>
      <c r="C108" t="s">
        <v>1510</v>
      </c>
      <c r="D108" t="s">
        <v>25</v>
      </c>
      <c r="E108" s="40">
        <v>45274</v>
      </c>
      <c r="F108" s="20">
        <v>45296</v>
      </c>
      <c r="G108" t="s">
        <v>127</v>
      </c>
      <c r="H108" s="45">
        <v>528</v>
      </c>
      <c r="I108" t="s">
        <v>128</v>
      </c>
      <c r="J108" t="s">
        <v>50</v>
      </c>
      <c r="K108" t="s">
        <v>1419</v>
      </c>
      <c r="L108" t="s">
        <v>1421</v>
      </c>
      <c r="M108" t="s">
        <v>1430</v>
      </c>
      <c r="N108" t="s">
        <v>1532</v>
      </c>
    </row>
    <row r="109" spans="1:14" x14ac:dyDescent="0.25">
      <c r="A109" s="13">
        <v>2024</v>
      </c>
      <c r="B109" t="s">
        <v>1893</v>
      </c>
      <c r="C109" t="s">
        <v>1493</v>
      </c>
      <c r="D109" t="s">
        <v>25</v>
      </c>
      <c r="E109" s="40">
        <v>45277</v>
      </c>
      <c r="F109" s="20">
        <v>45299</v>
      </c>
      <c r="G109" t="s">
        <v>140</v>
      </c>
      <c r="H109" s="45">
        <v>528</v>
      </c>
      <c r="I109" t="s">
        <v>141</v>
      </c>
      <c r="J109" t="s">
        <v>1795</v>
      </c>
      <c r="K109">
        <v>0</v>
      </c>
      <c r="L109">
        <v>0</v>
      </c>
      <c r="M109">
        <v>0</v>
      </c>
      <c r="N109" t="s">
        <v>1532</v>
      </c>
    </row>
    <row r="110" spans="1:14" x14ac:dyDescent="0.25">
      <c r="A110" s="13">
        <v>2024</v>
      </c>
      <c r="B110" t="s">
        <v>1953</v>
      </c>
      <c r="C110" t="s">
        <v>1501</v>
      </c>
      <c r="D110" t="s">
        <v>41</v>
      </c>
      <c r="E110" s="40">
        <v>45407</v>
      </c>
      <c r="F110" s="20">
        <v>45429</v>
      </c>
      <c r="G110" t="s">
        <v>62</v>
      </c>
      <c r="H110" s="45">
        <v>528</v>
      </c>
      <c r="I110" t="s">
        <v>403</v>
      </c>
      <c r="J110" t="s">
        <v>78</v>
      </c>
      <c r="K110" t="s">
        <v>1419</v>
      </c>
      <c r="L110" t="s">
        <v>1420</v>
      </c>
      <c r="M110" t="s">
        <v>1430</v>
      </c>
      <c r="N110" t="s">
        <v>1532</v>
      </c>
    </row>
    <row r="111" spans="1:14" x14ac:dyDescent="0.25">
      <c r="A111" s="13">
        <v>2024</v>
      </c>
      <c r="B111" t="s">
        <v>2063</v>
      </c>
      <c r="C111" t="s">
        <v>1508</v>
      </c>
      <c r="D111" t="s">
        <v>1412</v>
      </c>
      <c r="E111" s="40">
        <v>45634</v>
      </c>
      <c r="F111" s="20">
        <v>45656</v>
      </c>
      <c r="G111" t="s">
        <v>105</v>
      </c>
      <c r="H111" s="45">
        <v>528</v>
      </c>
      <c r="I111" t="s">
        <v>845</v>
      </c>
      <c r="J111" t="s">
        <v>846</v>
      </c>
      <c r="K111" t="s">
        <v>1419</v>
      </c>
      <c r="L111" t="s">
        <v>1427</v>
      </c>
      <c r="M111" t="s">
        <v>1430</v>
      </c>
      <c r="N111" t="s">
        <v>1532</v>
      </c>
    </row>
    <row r="112" spans="1:14" x14ac:dyDescent="0.25">
      <c r="A112" s="13">
        <v>2024</v>
      </c>
      <c r="B112" t="s">
        <v>2045</v>
      </c>
      <c r="C112" t="s">
        <v>1495</v>
      </c>
      <c r="D112" t="s">
        <v>1411</v>
      </c>
      <c r="E112" s="40">
        <v>45584</v>
      </c>
      <c r="F112" s="20">
        <v>45607</v>
      </c>
      <c r="G112" t="s">
        <v>757</v>
      </c>
      <c r="H112" s="45">
        <v>552</v>
      </c>
      <c r="I112" t="s">
        <v>758</v>
      </c>
      <c r="J112" t="s">
        <v>759</v>
      </c>
      <c r="K112" t="s">
        <v>1418</v>
      </c>
      <c r="L112">
        <v>0</v>
      </c>
      <c r="M112" t="s">
        <v>1430</v>
      </c>
      <c r="N112" t="s">
        <v>1532</v>
      </c>
    </row>
    <row r="113" spans="1:14" x14ac:dyDescent="0.25">
      <c r="A113" s="13">
        <v>2024</v>
      </c>
      <c r="B113" t="s">
        <v>1970</v>
      </c>
      <c r="C113" t="s">
        <v>1487</v>
      </c>
      <c r="D113" t="s">
        <v>65</v>
      </c>
      <c r="E113" s="40">
        <v>45437</v>
      </c>
      <c r="F113" s="20">
        <v>45462</v>
      </c>
      <c r="G113" t="s">
        <v>470</v>
      </c>
      <c r="H113" s="45">
        <v>600</v>
      </c>
      <c r="I113" t="s">
        <v>471</v>
      </c>
      <c r="J113" t="s">
        <v>1971</v>
      </c>
      <c r="K113" t="s">
        <v>1424</v>
      </c>
      <c r="L113">
        <v>0</v>
      </c>
      <c r="M113" t="s">
        <v>1432</v>
      </c>
      <c r="N113" t="s">
        <v>1532</v>
      </c>
    </row>
    <row r="114" spans="1:14" x14ac:dyDescent="0.25">
      <c r="A114" s="13">
        <v>2024</v>
      </c>
      <c r="B114" t="s">
        <v>2013</v>
      </c>
      <c r="C114" t="s">
        <v>1502</v>
      </c>
      <c r="D114" t="s">
        <v>90</v>
      </c>
      <c r="E114" s="40">
        <v>45520</v>
      </c>
      <c r="F114" s="20">
        <v>45545</v>
      </c>
      <c r="G114" t="s">
        <v>36</v>
      </c>
      <c r="H114" s="45">
        <v>600</v>
      </c>
      <c r="I114" t="s">
        <v>655</v>
      </c>
      <c r="J114" t="s">
        <v>656</v>
      </c>
      <c r="K114" t="s">
        <v>1419</v>
      </c>
      <c r="L114" t="s">
        <v>1420</v>
      </c>
      <c r="M114" t="s">
        <v>1430</v>
      </c>
      <c r="N114" t="s">
        <v>1532</v>
      </c>
    </row>
    <row r="115" spans="1:14" x14ac:dyDescent="0.25">
      <c r="A115" s="13">
        <v>2024</v>
      </c>
      <c r="B115" t="s">
        <v>2041</v>
      </c>
      <c r="C115" t="s">
        <v>1500</v>
      </c>
      <c r="D115" t="s">
        <v>1411</v>
      </c>
      <c r="E115" s="40">
        <v>45575</v>
      </c>
      <c r="F115" s="20">
        <v>45600</v>
      </c>
      <c r="G115" t="s">
        <v>750</v>
      </c>
      <c r="H115" s="45">
        <v>600</v>
      </c>
      <c r="I115" t="s">
        <v>749</v>
      </c>
      <c r="J115" t="s">
        <v>747</v>
      </c>
      <c r="K115" t="s">
        <v>1424</v>
      </c>
      <c r="L115">
        <v>0</v>
      </c>
      <c r="M115" t="s">
        <v>1430</v>
      </c>
      <c r="N115" t="s">
        <v>1532</v>
      </c>
    </row>
    <row r="116" spans="1:14" x14ac:dyDescent="0.25">
      <c r="A116" s="13">
        <v>2024</v>
      </c>
      <c r="B116" t="s">
        <v>1915</v>
      </c>
      <c r="C116" t="s">
        <v>1503</v>
      </c>
      <c r="D116" t="s">
        <v>1410</v>
      </c>
      <c r="E116" s="40">
        <v>45318</v>
      </c>
      <c r="F116" s="20">
        <v>45344</v>
      </c>
      <c r="G116" t="s">
        <v>239</v>
      </c>
      <c r="H116" s="45">
        <v>624</v>
      </c>
      <c r="I116" t="s">
        <v>240</v>
      </c>
      <c r="J116" t="s">
        <v>235</v>
      </c>
      <c r="K116" t="s">
        <v>1419</v>
      </c>
      <c r="L116" t="s">
        <v>1420</v>
      </c>
      <c r="M116" t="s">
        <v>1430</v>
      </c>
      <c r="N116" t="s">
        <v>1532</v>
      </c>
    </row>
    <row r="117" spans="1:14" x14ac:dyDescent="0.25">
      <c r="A117" s="13">
        <v>2024</v>
      </c>
      <c r="B117" t="s">
        <v>1979</v>
      </c>
      <c r="C117" t="s">
        <v>1500</v>
      </c>
      <c r="D117" t="s">
        <v>70</v>
      </c>
      <c r="E117" s="40">
        <v>45451</v>
      </c>
      <c r="F117" s="20">
        <v>45477</v>
      </c>
      <c r="G117" t="s">
        <v>504</v>
      </c>
      <c r="H117" s="45">
        <v>624</v>
      </c>
      <c r="I117" t="s">
        <v>503</v>
      </c>
      <c r="J117" t="s">
        <v>502</v>
      </c>
      <c r="K117" t="s">
        <v>1418</v>
      </c>
      <c r="L117">
        <v>0</v>
      </c>
      <c r="M117" t="s">
        <v>1431</v>
      </c>
      <c r="N117" t="s">
        <v>1532</v>
      </c>
    </row>
    <row r="118" spans="1:14" x14ac:dyDescent="0.25">
      <c r="A118" s="13">
        <v>2024</v>
      </c>
      <c r="B118" t="s">
        <v>1921</v>
      </c>
      <c r="C118" t="s">
        <v>1492</v>
      </c>
      <c r="D118" t="s">
        <v>24</v>
      </c>
      <c r="E118" s="40">
        <v>45330</v>
      </c>
      <c r="F118" s="20">
        <v>45357</v>
      </c>
      <c r="G118" t="s">
        <v>261</v>
      </c>
      <c r="H118" s="45">
        <v>648</v>
      </c>
      <c r="I118" t="s">
        <v>262</v>
      </c>
      <c r="J118" t="s">
        <v>263</v>
      </c>
      <c r="K118" t="s">
        <v>1419</v>
      </c>
      <c r="L118" t="s">
        <v>1427</v>
      </c>
      <c r="M118" t="s">
        <v>1430</v>
      </c>
      <c r="N118" t="s">
        <v>1532</v>
      </c>
    </row>
    <row r="119" spans="1:14" x14ac:dyDescent="0.25">
      <c r="A119" s="13">
        <v>2024</v>
      </c>
      <c r="B119" t="s">
        <v>1953</v>
      </c>
      <c r="C119" t="s">
        <v>1501</v>
      </c>
      <c r="D119" t="s">
        <v>41</v>
      </c>
      <c r="E119" s="40">
        <v>45402</v>
      </c>
      <c r="F119" s="20">
        <v>45429</v>
      </c>
      <c r="G119" t="s">
        <v>31</v>
      </c>
      <c r="H119" s="45">
        <v>648</v>
      </c>
      <c r="I119" t="s">
        <v>401</v>
      </c>
      <c r="J119" t="s">
        <v>402</v>
      </c>
      <c r="K119" t="s">
        <v>1424</v>
      </c>
      <c r="L119">
        <v>0</v>
      </c>
      <c r="M119" t="s">
        <v>1430</v>
      </c>
      <c r="N119" t="s">
        <v>1532</v>
      </c>
    </row>
    <row r="120" spans="1:14" x14ac:dyDescent="0.25">
      <c r="A120" s="13">
        <v>2024</v>
      </c>
      <c r="B120" t="s">
        <v>1895</v>
      </c>
      <c r="C120" t="s">
        <v>1477</v>
      </c>
      <c r="D120" t="s">
        <v>25</v>
      </c>
      <c r="E120" s="40">
        <v>45275</v>
      </c>
      <c r="F120" s="20">
        <v>45303</v>
      </c>
      <c r="G120" t="s">
        <v>5</v>
      </c>
      <c r="H120" s="45">
        <v>672</v>
      </c>
      <c r="I120" t="s">
        <v>146</v>
      </c>
      <c r="J120" t="s">
        <v>46</v>
      </c>
      <c r="K120" t="s">
        <v>1424</v>
      </c>
      <c r="L120">
        <v>0</v>
      </c>
      <c r="M120" t="s">
        <v>1432</v>
      </c>
      <c r="N120" t="s">
        <v>1532</v>
      </c>
    </row>
    <row r="121" spans="1:14" x14ac:dyDescent="0.25">
      <c r="A121" s="13">
        <v>2024</v>
      </c>
      <c r="B121" t="s">
        <v>1900</v>
      </c>
      <c r="C121" t="s">
        <v>1487</v>
      </c>
      <c r="D121" t="s">
        <v>25</v>
      </c>
      <c r="E121" s="40">
        <v>45282</v>
      </c>
      <c r="F121" s="20">
        <v>45310</v>
      </c>
      <c r="G121" t="s">
        <v>169</v>
      </c>
      <c r="H121" s="45">
        <v>672</v>
      </c>
      <c r="I121" t="s">
        <v>170</v>
      </c>
      <c r="J121" t="s">
        <v>171</v>
      </c>
      <c r="K121" t="s">
        <v>1418</v>
      </c>
      <c r="L121">
        <v>0</v>
      </c>
      <c r="M121" t="s">
        <v>1431</v>
      </c>
      <c r="N121" t="s">
        <v>1532</v>
      </c>
    </row>
    <row r="122" spans="1:14" x14ac:dyDescent="0.25">
      <c r="A122" s="13">
        <v>2024</v>
      </c>
      <c r="B122" t="s">
        <v>1912</v>
      </c>
      <c r="C122" t="s">
        <v>1511</v>
      </c>
      <c r="D122" t="s">
        <v>1410</v>
      </c>
      <c r="E122" s="40">
        <v>45305</v>
      </c>
      <c r="F122" s="20">
        <v>45336</v>
      </c>
      <c r="G122" t="s">
        <v>80</v>
      </c>
      <c r="H122" s="45">
        <v>744</v>
      </c>
      <c r="I122" t="s">
        <v>227</v>
      </c>
      <c r="J122" t="s">
        <v>228</v>
      </c>
      <c r="K122" t="s">
        <v>1418</v>
      </c>
      <c r="L122">
        <v>0</v>
      </c>
      <c r="M122" t="s">
        <v>1430</v>
      </c>
      <c r="N122" t="s">
        <v>1532</v>
      </c>
    </row>
    <row r="123" spans="1:14" x14ac:dyDescent="0.25">
      <c r="A123" s="13">
        <v>2024</v>
      </c>
      <c r="B123" t="s">
        <v>1931</v>
      </c>
      <c r="C123" t="s">
        <v>1490</v>
      </c>
      <c r="D123" t="s">
        <v>24</v>
      </c>
      <c r="E123" s="40">
        <v>45347</v>
      </c>
      <c r="F123" s="20">
        <v>45378</v>
      </c>
      <c r="G123" t="s">
        <v>300</v>
      </c>
      <c r="H123" s="45">
        <v>744</v>
      </c>
      <c r="I123" t="s">
        <v>301</v>
      </c>
      <c r="J123" t="s">
        <v>101</v>
      </c>
      <c r="K123" t="s">
        <v>1419</v>
      </c>
      <c r="L123" t="s">
        <v>1420</v>
      </c>
      <c r="M123" t="s">
        <v>1430</v>
      </c>
      <c r="N123" t="s">
        <v>1532</v>
      </c>
    </row>
    <row r="124" spans="1:14" x14ac:dyDescent="0.25">
      <c r="A124" s="13">
        <v>2024</v>
      </c>
      <c r="B124" t="s">
        <v>2050</v>
      </c>
      <c r="C124" t="s">
        <v>1498</v>
      </c>
      <c r="D124" t="s">
        <v>1412</v>
      </c>
      <c r="E124" s="40">
        <v>45597</v>
      </c>
      <c r="F124" s="20">
        <v>45628</v>
      </c>
      <c r="G124" t="s">
        <v>31</v>
      </c>
      <c r="H124" s="45">
        <v>744</v>
      </c>
      <c r="I124" t="s">
        <v>795</v>
      </c>
      <c r="J124" t="s">
        <v>796</v>
      </c>
      <c r="K124" t="s">
        <v>1419</v>
      </c>
      <c r="L124" t="s">
        <v>1420</v>
      </c>
      <c r="M124" t="s">
        <v>1430</v>
      </c>
      <c r="N124" t="s">
        <v>1532</v>
      </c>
    </row>
    <row r="125" spans="1:14" x14ac:dyDescent="0.25">
      <c r="A125" s="13">
        <v>2024</v>
      </c>
      <c r="B125" t="s">
        <v>1920</v>
      </c>
      <c r="C125" t="s">
        <v>1500</v>
      </c>
      <c r="D125" t="s">
        <v>24</v>
      </c>
      <c r="E125" s="40">
        <v>45323</v>
      </c>
      <c r="F125" s="20">
        <v>45355</v>
      </c>
      <c r="G125" t="s">
        <v>253</v>
      </c>
      <c r="H125" s="45">
        <v>768</v>
      </c>
      <c r="I125" t="s">
        <v>254</v>
      </c>
      <c r="J125" t="s">
        <v>255</v>
      </c>
      <c r="K125" t="s">
        <v>1419</v>
      </c>
      <c r="L125" t="s">
        <v>1420</v>
      </c>
      <c r="M125" t="s">
        <v>1430</v>
      </c>
      <c r="N125" t="s">
        <v>1532</v>
      </c>
    </row>
    <row r="126" spans="1:14" x14ac:dyDescent="0.25">
      <c r="A126" s="13">
        <v>2024</v>
      </c>
      <c r="B126" t="s">
        <v>1994</v>
      </c>
      <c r="C126" t="s">
        <v>1489</v>
      </c>
      <c r="D126" t="s">
        <v>70</v>
      </c>
      <c r="E126" s="40">
        <v>45465</v>
      </c>
      <c r="F126" s="20">
        <v>45497</v>
      </c>
      <c r="G126" t="s">
        <v>558</v>
      </c>
      <c r="H126" s="45">
        <v>768</v>
      </c>
      <c r="I126" t="s">
        <v>559</v>
      </c>
      <c r="J126" t="s">
        <v>560</v>
      </c>
      <c r="K126" t="s">
        <v>1424</v>
      </c>
      <c r="L126">
        <v>0</v>
      </c>
      <c r="M126" t="s">
        <v>1430</v>
      </c>
      <c r="N126" t="s">
        <v>1532</v>
      </c>
    </row>
    <row r="127" spans="1:14" x14ac:dyDescent="0.25">
      <c r="A127" s="13">
        <v>2024</v>
      </c>
      <c r="B127" t="s">
        <v>1975</v>
      </c>
      <c r="C127" t="s">
        <v>1512</v>
      </c>
      <c r="D127" t="s">
        <v>65</v>
      </c>
      <c r="E127" s="40">
        <v>45435</v>
      </c>
      <c r="F127" s="20">
        <v>45468</v>
      </c>
      <c r="G127" t="s">
        <v>329</v>
      </c>
      <c r="H127" s="45">
        <v>792</v>
      </c>
      <c r="I127" t="s">
        <v>487</v>
      </c>
      <c r="J127" t="s">
        <v>488</v>
      </c>
      <c r="K127" t="s">
        <v>1419</v>
      </c>
      <c r="L127" t="s">
        <v>1427</v>
      </c>
      <c r="M127" t="s">
        <v>1430</v>
      </c>
      <c r="N127" t="s">
        <v>1532</v>
      </c>
    </row>
    <row r="128" spans="1:14" x14ac:dyDescent="0.25">
      <c r="A128" s="13">
        <v>2024</v>
      </c>
      <c r="B128" t="s">
        <v>2029</v>
      </c>
      <c r="C128" t="s">
        <v>1498</v>
      </c>
      <c r="D128" t="s">
        <v>94</v>
      </c>
      <c r="E128" s="40">
        <v>45534</v>
      </c>
      <c r="F128" s="20">
        <v>45567</v>
      </c>
      <c r="G128" t="s">
        <v>64</v>
      </c>
      <c r="H128" s="45">
        <v>792</v>
      </c>
      <c r="I128" t="s">
        <v>726</v>
      </c>
      <c r="J128" t="s">
        <v>727</v>
      </c>
      <c r="K128" t="s">
        <v>1419</v>
      </c>
      <c r="L128" t="s">
        <v>1422</v>
      </c>
      <c r="M128" t="s">
        <v>1430</v>
      </c>
      <c r="N128" t="s">
        <v>1532</v>
      </c>
    </row>
    <row r="129" spans="1:14" x14ac:dyDescent="0.25">
      <c r="A129" s="13">
        <v>2024</v>
      </c>
      <c r="B129" t="s">
        <v>2042</v>
      </c>
      <c r="C129" t="s">
        <v>1510</v>
      </c>
      <c r="D129" t="s">
        <v>1411</v>
      </c>
      <c r="E129" s="40">
        <v>45568</v>
      </c>
      <c r="F129" s="20">
        <v>45601</v>
      </c>
      <c r="G129" t="s">
        <v>607</v>
      </c>
      <c r="H129" s="45">
        <v>792</v>
      </c>
      <c r="I129" t="s">
        <v>754</v>
      </c>
      <c r="J129" t="s">
        <v>755</v>
      </c>
      <c r="K129" t="s">
        <v>1419</v>
      </c>
      <c r="L129" t="s">
        <v>1420</v>
      </c>
      <c r="M129" t="s">
        <v>1430</v>
      </c>
      <c r="N129" t="s">
        <v>1532</v>
      </c>
    </row>
    <row r="130" spans="1:14" x14ac:dyDescent="0.25">
      <c r="A130" s="13">
        <v>2024</v>
      </c>
      <c r="B130" t="s">
        <v>1900</v>
      </c>
      <c r="C130" t="s">
        <v>1487</v>
      </c>
      <c r="D130" t="s">
        <v>25</v>
      </c>
      <c r="E130" s="40">
        <v>45275</v>
      </c>
      <c r="F130" s="20">
        <v>45310</v>
      </c>
      <c r="G130" t="s">
        <v>167</v>
      </c>
      <c r="H130" s="45">
        <v>840</v>
      </c>
      <c r="I130" t="s">
        <v>168</v>
      </c>
      <c r="J130" t="s">
        <v>95</v>
      </c>
      <c r="K130" t="s">
        <v>1419</v>
      </c>
      <c r="L130" t="s">
        <v>1420</v>
      </c>
      <c r="M130" t="s">
        <v>1430</v>
      </c>
      <c r="N130" t="s">
        <v>1532</v>
      </c>
    </row>
    <row r="131" spans="1:14" x14ac:dyDescent="0.25">
      <c r="A131" s="13">
        <v>2024</v>
      </c>
      <c r="B131" t="s">
        <v>1987</v>
      </c>
      <c r="C131" t="s">
        <v>1497</v>
      </c>
      <c r="D131" t="s">
        <v>70</v>
      </c>
      <c r="E131" s="40">
        <v>45452</v>
      </c>
      <c r="F131" s="20">
        <v>45488</v>
      </c>
      <c r="G131" t="s">
        <v>529</v>
      </c>
      <c r="H131" s="45">
        <v>864</v>
      </c>
      <c r="I131" t="s">
        <v>528</v>
      </c>
      <c r="J131" t="s">
        <v>527</v>
      </c>
      <c r="K131" t="s">
        <v>1424</v>
      </c>
      <c r="L131">
        <v>0</v>
      </c>
      <c r="M131" t="s">
        <v>1432</v>
      </c>
      <c r="N131" t="s">
        <v>1532</v>
      </c>
    </row>
    <row r="132" spans="1:14" x14ac:dyDescent="0.25">
      <c r="A132" s="13">
        <v>2024</v>
      </c>
      <c r="B132" t="s">
        <v>2040</v>
      </c>
      <c r="C132" t="s">
        <v>1504</v>
      </c>
      <c r="D132" t="s">
        <v>94</v>
      </c>
      <c r="E132" s="40">
        <v>45557</v>
      </c>
      <c r="F132" s="20">
        <v>45593</v>
      </c>
      <c r="G132" t="s">
        <v>85</v>
      </c>
      <c r="H132" s="45">
        <v>864</v>
      </c>
      <c r="I132" t="s">
        <v>742</v>
      </c>
      <c r="J132" t="s">
        <v>743</v>
      </c>
      <c r="K132" t="s">
        <v>1424</v>
      </c>
      <c r="L132">
        <v>0</v>
      </c>
      <c r="M132" t="s">
        <v>1432</v>
      </c>
      <c r="N132" t="s">
        <v>1532</v>
      </c>
    </row>
    <row r="133" spans="1:14" x14ac:dyDescent="0.25">
      <c r="A133" s="13">
        <v>2024</v>
      </c>
      <c r="B133" t="s">
        <v>2006</v>
      </c>
      <c r="C133" t="s">
        <v>1504</v>
      </c>
      <c r="D133" t="s">
        <v>82</v>
      </c>
      <c r="E133" s="40">
        <v>45495</v>
      </c>
      <c r="F133" s="20">
        <v>45532</v>
      </c>
      <c r="G133" t="s">
        <v>58</v>
      </c>
      <c r="H133" s="45">
        <v>888</v>
      </c>
      <c r="I133" t="s">
        <v>630</v>
      </c>
      <c r="J133" t="s">
        <v>629</v>
      </c>
      <c r="K133" t="s">
        <v>1418</v>
      </c>
      <c r="L133">
        <v>0</v>
      </c>
      <c r="M133" t="s">
        <v>1430</v>
      </c>
      <c r="N133" t="s">
        <v>1532</v>
      </c>
    </row>
    <row r="134" spans="1:14" x14ac:dyDescent="0.25">
      <c r="A134" s="13">
        <v>2024</v>
      </c>
      <c r="B134" t="s">
        <v>2017</v>
      </c>
      <c r="C134" t="s">
        <v>1501</v>
      </c>
      <c r="D134" t="s">
        <v>90</v>
      </c>
      <c r="E134" s="40">
        <v>45515</v>
      </c>
      <c r="F134" s="20">
        <v>45552</v>
      </c>
      <c r="G134" t="s">
        <v>68</v>
      </c>
      <c r="H134" s="45">
        <v>888</v>
      </c>
      <c r="I134" t="s">
        <v>675</v>
      </c>
      <c r="J134" t="s">
        <v>677</v>
      </c>
      <c r="K134" t="s">
        <v>1418</v>
      </c>
      <c r="L134">
        <v>0</v>
      </c>
      <c r="M134" t="s">
        <v>1430</v>
      </c>
      <c r="N134" t="s">
        <v>1532</v>
      </c>
    </row>
    <row r="135" spans="1:14" x14ac:dyDescent="0.25">
      <c r="A135" s="13">
        <v>2024</v>
      </c>
      <c r="B135" t="s">
        <v>1944</v>
      </c>
      <c r="C135" t="s">
        <v>1491</v>
      </c>
      <c r="D135" t="s">
        <v>41</v>
      </c>
      <c r="E135" s="40">
        <v>45375</v>
      </c>
      <c r="F135" s="20">
        <v>45413</v>
      </c>
      <c r="G135" t="s">
        <v>353</v>
      </c>
      <c r="H135" s="45">
        <v>912</v>
      </c>
      <c r="I135" t="s">
        <v>352</v>
      </c>
      <c r="J135" t="s">
        <v>354</v>
      </c>
      <c r="K135" t="s">
        <v>1419</v>
      </c>
      <c r="L135" t="s">
        <v>1420</v>
      </c>
      <c r="M135" t="s">
        <v>1430</v>
      </c>
      <c r="N135" t="s">
        <v>1532</v>
      </c>
    </row>
    <row r="136" spans="1:14" x14ac:dyDescent="0.25">
      <c r="A136" s="13">
        <v>2024</v>
      </c>
      <c r="B136" t="s">
        <v>2028</v>
      </c>
      <c r="C136" t="s">
        <v>1491</v>
      </c>
      <c r="D136" t="s">
        <v>94</v>
      </c>
      <c r="E136" s="40">
        <v>45527</v>
      </c>
      <c r="F136" s="20">
        <v>45566</v>
      </c>
      <c r="G136" t="s">
        <v>294</v>
      </c>
      <c r="H136" s="45">
        <v>936</v>
      </c>
      <c r="I136" t="s">
        <v>702</v>
      </c>
      <c r="J136" t="s">
        <v>703</v>
      </c>
      <c r="K136" t="s">
        <v>1424</v>
      </c>
      <c r="L136">
        <v>0</v>
      </c>
      <c r="M136" t="s">
        <v>1432</v>
      </c>
      <c r="N136" t="s">
        <v>1532</v>
      </c>
    </row>
    <row r="137" spans="1:14" x14ac:dyDescent="0.25">
      <c r="A137" s="13">
        <v>2024</v>
      </c>
      <c r="B137" t="s">
        <v>2022</v>
      </c>
      <c r="C137" t="s">
        <v>1480</v>
      </c>
      <c r="D137" t="s">
        <v>90</v>
      </c>
      <c r="E137" s="40">
        <v>45514</v>
      </c>
      <c r="F137" s="20">
        <v>45555</v>
      </c>
      <c r="G137" t="s">
        <v>75</v>
      </c>
      <c r="H137" s="45">
        <v>984</v>
      </c>
      <c r="I137" t="s">
        <v>689</v>
      </c>
      <c r="J137" t="s">
        <v>690</v>
      </c>
      <c r="K137" t="s">
        <v>1418</v>
      </c>
      <c r="L137">
        <v>0</v>
      </c>
      <c r="M137" t="s">
        <v>1431</v>
      </c>
      <c r="N137" t="s">
        <v>1532</v>
      </c>
    </row>
    <row r="138" spans="1:14" x14ac:dyDescent="0.25">
      <c r="A138" s="13">
        <v>2024</v>
      </c>
      <c r="B138" t="s">
        <v>1933</v>
      </c>
      <c r="C138" t="s">
        <v>1491</v>
      </c>
      <c r="D138" t="s">
        <v>33</v>
      </c>
      <c r="E138" s="40">
        <v>45341</v>
      </c>
      <c r="F138" s="20">
        <v>45383</v>
      </c>
      <c r="G138" t="s">
        <v>306</v>
      </c>
      <c r="H138" s="45">
        <v>1008</v>
      </c>
      <c r="I138" t="s">
        <v>307</v>
      </c>
      <c r="J138" t="s">
        <v>308</v>
      </c>
      <c r="K138" t="s">
        <v>1419</v>
      </c>
      <c r="L138" t="s">
        <v>1423</v>
      </c>
      <c r="M138" t="s">
        <v>1430</v>
      </c>
      <c r="N138" t="s">
        <v>1532</v>
      </c>
    </row>
    <row r="139" spans="1:14" x14ac:dyDescent="0.25">
      <c r="A139" s="13">
        <v>2024</v>
      </c>
      <c r="B139" t="s">
        <v>1964</v>
      </c>
      <c r="C139" t="s">
        <v>1497</v>
      </c>
      <c r="D139" t="s">
        <v>65</v>
      </c>
      <c r="E139" s="40">
        <v>45416</v>
      </c>
      <c r="F139" s="20">
        <v>45458</v>
      </c>
      <c r="G139" t="s">
        <v>457</v>
      </c>
      <c r="H139" s="45">
        <v>1008</v>
      </c>
      <c r="I139" t="s">
        <v>458</v>
      </c>
      <c r="J139" t="s">
        <v>1965</v>
      </c>
      <c r="K139" t="s">
        <v>1419</v>
      </c>
      <c r="L139" t="s">
        <v>1423</v>
      </c>
      <c r="M139" t="s">
        <v>1430</v>
      </c>
      <c r="N139" t="s">
        <v>1532</v>
      </c>
    </row>
    <row r="140" spans="1:14" x14ac:dyDescent="0.25">
      <c r="A140" s="13">
        <v>2024</v>
      </c>
      <c r="B140" t="s">
        <v>1911</v>
      </c>
      <c r="C140" t="s">
        <v>1496</v>
      </c>
      <c r="D140" t="s">
        <v>1410</v>
      </c>
      <c r="E140" s="40">
        <v>45292</v>
      </c>
      <c r="F140" s="20">
        <v>45335</v>
      </c>
      <c r="G140" t="s">
        <v>62</v>
      </c>
      <c r="H140" s="45">
        <v>1032</v>
      </c>
      <c r="I140" t="s">
        <v>225</v>
      </c>
      <c r="J140" t="s">
        <v>14</v>
      </c>
      <c r="K140" t="s">
        <v>1419</v>
      </c>
      <c r="L140" t="s">
        <v>1420</v>
      </c>
      <c r="M140" t="s">
        <v>1430</v>
      </c>
      <c r="N140" t="s">
        <v>1532</v>
      </c>
    </row>
    <row r="141" spans="1:14" x14ac:dyDescent="0.25">
      <c r="A141" s="13">
        <v>2024</v>
      </c>
      <c r="B141" t="s">
        <v>1984</v>
      </c>
      <c r="C141" t="s">
        <v>1494</v>
      </c>
      <c r="D141" t="s">
        <v>70</v>
      </c>
      <c r="E141" s="40">
        <v>45439</v>
      </c>
      <c r="F141" s="20">
        <v>45482</v>
      </c>
      <c r="G141" t="s">
        <v>109</v>
      </c>
      <c r="H141" s="45">
        <v>1032</v>
      </c>
      <c r="I141" t="s">
        <v>513</v>
      </c>
      <c r="J141" t="s">
        <v>514</v>
      </c>
      <c r="K141" t="s">
        <v>1418</v>
      </c>
      <c r="L141">
        <v>0</v>
      </c>
      <c r="M141" t="s">
        <v>1431</v>
      </c>
      <c r="N141" t="s">
        <v>1532</v>
      </c>
    </row>
    <row r="142" spans="1:14" x14ac:dyDescent="0.25">
      <c r="A142" s="13">
        <v>2024</v>
      </c>
      <c r="B142" t="s">
        <v>1983</v>
      </c>
      <c r="C142" t="s">
        <v>1493</v>
      </c>
      <c r="D142" t="s">
        <v>70</v>
      </c>
      <c r="E142" s="40">
        <v>45436</v>
      </c>
      <c r="F142" s="20">
        <v>45481</v>
      </c>
      <c r="G142" t="s">
        <v>53</v>
      </c>
      <c r="H142" s="45">
        <v>1080</v>
      </c>
      <c r="I142" t="s">
        <v>510</v>
      </c>
      <c r="J142" t="s">
        <v>511</v>
      </c>
      <c r="K142" t="s">
        <v>1419</v>
      </c>
      <c r="L142" t="s">
        <v>1420</v>
      </c>
      <c r="M142" t="s">
        <v>1430</v>
      </c>
      <c r="N142" t="s">
        <v>1532</v>
      </c>
    </row>
    <row r="143" spans="1:14" x14ac:dyDescent="0.25">
      <c r="A143" s="13">
        <v>2024</v>
      </c>
      <c r="B143" t="s">
        <v>1956</v>
      </c>
      <c r="C143" t="s">
        <v>1490</v>
      </c>
      <c r="D143" t="s">
        <v>41</v>
      </c>
      <c r="E143" s="40">
        <v>45393</v>
      </c>
      <c r="F143" s="20">
        <v>45439</v>
      </c>
      <c r="G143" t="s">
        <v>31</v>
      </c>
      <c r="H143" s="45">
        <v>1104</v>
      </c>
      <c r="I143" t="s">
        <v>418</v>
      </c>
      <c r="J143" t="s">
        <v>419</v>
      </c>
      <c r="K143" t="s">
        <v>1419</v>
      </c>
      <c r="L143" t="s">
        <v>1420</v>
      </c>
      <c r="M143" t="s">
        <v>1430</v>
      </c>
      <c r="N143" t="s">
        <v>1532</v>
      </c>
    </row>
    <row r="144" spans="1:14" x14ac:dyDescent="0.25">
      <c r="A144" s="13">
        <v>2024</v>
      </c>
      <c r="B144" t="s">
        <v>1957</v>
      </c>
      <c r="C144" t="s">
        <v>1513</v>
      </c>
      <c r="D144" t="s">
        <v>41</v>
      </c>
      <c r="E144" s="40">
        <v>45395</v>
      </c>
      <c r="F144" s="20">
        <v>45441</v>
      </c>
      <c r="G144" t="s">
        <v>52</v>
      </c>
      <c r="H144" s="45">
        <v>1104</v>
      </c>
      <c r="I144" t="s">
        <v>427</v>
      </c>
      <c r="J144" t="s">
        <v>428</v>
      </c>
      <c r="K144" t="s">
        <v>1418</v>
      </c>
      <c r="L144">
        <v>0</v>
      </c>
      <c r="M144" t="s">
        <v>1431</v>
      </c>
      <c r="N144" t="s">
        <v>1532</v>
      </c>
    </row>
    <row r="145" spans="1:14" x14ac:dyDescent="0.25">
      <c r="A145" s="13">
        <v>2024</v>
      </c>
      <c r="B145" t="s">
        <v>1962</v>
      </c>
      <c r="C145" t="s">
        <v>1496</v>
      </c>
      <c r="D145" t="s">
        <v>65</v>
      </c>
      <c r="E145" s="40">
        <v>45409</v>
      </c>
      <c r="F145" s="20">
        <v>45456</v>
      </c>
      <c r="G145" t="s">
        <v>98</v>
      </c>
      <c r="H145" s="45">
        <v>1128</v>
      </c>
      <c r="I145" t="s">
        <v>452</v>
      </c>
      <c r="J145" t="s">
        <v>451</v>
      </c>
      <c r="K145" t="s">
        <v>1419</v>
      </c>
      <c r="L145" t="s">
        <v>1427</v>
      </c>
      <c r="M145" t="s">
        <v>1430</v>
      </c>
      <c r="N145" t="s">
        <v>1532</v>
      </c>
    </row>
    <row r="146" spans="1:14" x14ac:dyDescent="0.25">
      <c r="A146" s="13">
        <v>2024</v>
      </c>
      <c r="B146" t="s">
        <v>1959</v>
      </c>
      <c r="C146" t="s">
        <v>1499</v>
      </c>
      <c r="D146" t="s">
        <v>65</v>
      </c>
      <c r="E146" s="40">
        <v>45396</v>
      </c>
      <c r="F146" s="20">
        <v>45446</v>
      </c>
      <c r="G146" t="s">
        <v>184</v>
      </c>
      <c r="H146" s="45">
        <v>1200</v>
      </c>
      <c r="I146" t="s">
        <v>441</v>
      </c>
      <c r="J146" t="s">
        <v>255</v>
      </c>
      <c r="K146" t="s">
        <v>1419</v>
      </c>
      <c r="L146" t="s">
        <v>1420</v>
      </c>
      <c r="M146" t="s">
        <v>1430</v>
      </c>
      <c r="N146" t="s">
        <v>1532</v>
      </c>
    </row>
    <row r="147" spans="1:14" x14ac:dyDescent="0.25">
      <c r="A147" s="13">
        <v>2024</v>
      </c>
      <c r="B147" t="s">
        <v>1993</v>
      </c>
      <c r="C147" t="s">
        <v>1488</v>
      </c>
      <c r="D147" t="s">
        <v>70</v>
      </c>
      <c r="E147" s="40">
        <v>45443</v>
      </c>
      <c r="F147" s="20">
        <v>45496</v>
      </c>
      <c r="G147" t="s">
        <v>218</v>
      </c>
      <c r="H147" s="45">
        <v>1272</v>
      </c>
      <c r="I147" t="s">
        <v>553</v>
      </c>
      <c r="J147" t="s">
        <v>554</v>
      </c>
      <c r="K147" t="s">
        <v>1419</v>
      </c>
      <c r="L147" t="s">
        <v>1420</v>
      </c>
      <c r="M147" t="s">
        <v>1430</v>
      </c>
      <c r="N147" t="s">
        <v>1532</v>
      </c>
    </row>
    <row r="148" spans="1:14" x14ac:dyDescent="0.25">
      <c r="A148" s="13">
        <v>2024</v>
      </c>
      <c r="B148" t="s">
        <v>2032</v>
      </c>
      <c r="C148" t="s">
        <v>1493</v>
      </c>
      <c r="D148" t="s">
        <v>94</v>
      </c>
      <c r="E148" s="40">
        <v>45520</v>
      </c>
      <c r="F148" s="20">
        <v>45573</v>
      </c>
      <c r="G148" t="s">
        <v>423</v>
      </c>
      <c r="H148" s="45">
        <v>1272</v>
      </c>
      <c r="I148" t="s">
        <v>710</v>
      </c>
      <c r="J148" t="s">
        <v>711</v>
      </c>
      <c r="K148" t="s">
        <v>1418</v>
      </c>
      <c r="L148">
        <v>0</v>
      </c>
      <c r="M148" t="s">
        <v>1431</v>
      </c>
      <c r="N148" t="s">
        <v>1532</v>
      </c>
    </row>
    <row r="149" spans="1:14" x14ac:dyDescent="0.25">
      <c r="A149" s="13">
        <v>2024</v>
      </c>
      <c r="B149" t="s">
        <v>1917</v>
      </c>
      <c r="C149" t="s">
        <v>1489</v>
      </c>
      <c r="D149" t="s">
        <v>1410</v>
      </c>
      <c r="E149" s="40">
        <v>45292</v>
      </c>
      <c r="F149" s="20">
        <v>45346</v>
      </c>
      <c r="G149" t="s">
        <v>83</v>
      </c>
      <c r="H149" s="45">
        <v>1296</v>
      </c>
      <c r="I149" t="s">
        <v>245</v>
      </c>
      <c r="J149" t="s">
        <v>87</v>
      </c>
      <c r="K149" t="s">
        <v>1424</v>
      </c>
      <c r="L149">
        <v>0</v>
      </c>
      <c r="M149" t="s">
        <v>1432</v>
      </c>
      <c r="N149" t="s">
        <v>1532</v>
      </c>
    </row>
    <row r="150" spans="1:14" x14ac:dyDescent="0.25">
      <c r="A150" s="13">
        <v>2024</v>
      </c>
      <c r="B150" t="s">
        <v>1941</v>
      </c>
      <c r="C150" t="s">
        <v>1483</v>
      </c>
      <c r="D150" t="s">
        <v>33</v>
      </c>
      <c r="E150" s="40">
        <v>45351</v>
      </c>
      <c r="F150" s="20">
        <v>45408</v>
      </c>
      <c r="G150" t="s">
        <v>31</v>
      </c>
      <c r="H150" s="45">
        <v>1368</v>
      </c>
      <c r="I150" t="s">
        <v>339</v>
      </c>
      <c r="J150" t="s">
        <v>340</v>
      </c>
      <c r="K150" t="s">
        <v>1419</v>
      </c>
      <c r="L150" t="s">
        <v>1420</v>
      </c>
      <c r="M150" t="s">
        <v>1430</v>
      </c>
      <c r="N150" t="s">
        <v>1532</v>
      </c>
    </row>
    <row r="151" spans="1:14" x14ac:dyDescent="0.25">
      <c r="A151" s="13">
        <v>2024</v>
      </c>
      <c r="B151" t="s">
        <v>1990</v>
      </c>
      <c r="C151" t="s">
        <v>1487</v>
      </c>
      <c r="D151" t="s">
        <v>70</v>
      </c>
      <c r="E151" s="40">
        <v>45435</v>
      </c>
      <c r="F151" s="20">
        <v>45492</v>
      </c>
      <c r="G151" t="s">
        <v>44</v>
      </c>
      <c r="H151" s="45">
        <v>1368</v>
      </c>
      <c r="I151" t="s">
        <v>587</v>
      </c>
      <c r="J151" t="s">
        <v>588</v>
      </c>
      <c r="K151" t="s">
        <v>1419</v>
      </c>
      <c r="L151" t="s">
        <v>1426</v>
      </c>
      <c r="M151" t="s">
        <v>1430</v>
      </c>
      <c r="N151" t="s">
        <v>1532</v>
      </c>
    </row>
    <row r="152" spans="1:14" x14ac:dyDescent="0.25">
      <c r="A152" s="13">
        <v>2024</v>
      </c>
      <c r="B152" t="s">
        <v>1952</v>
      </c>
      <c r="C152" t="s">
        <v>1497</v>
      </c>
      <c r="D152" t="s">
        <v>41</v>
      </c>
      <c r="E152" s="40">
        <v>45368</v>
      </c>
      <c r="F152" s="20">
        <v>45427</v>
      </c>
      <c r="G152" t="s">
        <v>396</v>
      </c>
      <c r="H152" s="45">
        <v>1416</v>
      </c>
      <c r="I152" t="s">
        <v>397</v>
      </c>
      <c r="J152" t="s">
        <v>78</v>
      </c>
      <c r="K152" t="s">
        <v>1419</v>
      </c>
      <c r="L152" t="s">
        <v>1420</v>
      </c>
      <c r="M152" t="s">
        <v>1430</v>
      </c>
      <c r="N152" t="s">
        <v>1532</v>
      </c>
    </row>
    <row r="153" spans="1:14" x14ac:dyDescent="0.25">
      <c r="A153" s="13">
        <v>2024</v>
      </c>
      <c r="B153" t="s">
        <v>1919</v>
      </c>
      <c r="C153" t="s">
        <v>1491</v>
      </c>
      <c r="D153" t="s">
        <v>24</v>
      </c>
      <c r="E153" s="40">
        <v>45289</v>
      </c>
      <c r="F153" s="20">
        <v>45352</v>
      </c>
      <c r="G153" t="s">
        <v>76</v>
      </c>
      <c r="H153" s="45">
        <v>1512</v>
      </c>
      <c r="I153" t="s">
        <v>257</v>
      </c>
      <c r="J153" t="s">
        <v>258</v>
      </c>
      <c r="K153" t="s">
        <v>1424</v>
      </c>
      <c r="L153">
        <v>0</v>
      </c>
      <c r="M153" t="s">
        <v>1430</v>
      </c>
      <c r="N153" t="s">
        <v>1532</v>
      </c>
    </row>
    <row r="154" spans="1:14" x14ac:dyDescent="0.25">
      <c r="A154" s="13">
        <v>2024</v>
      </c>
      <c r="B154" t="s">
        <v>2023</v>
      </c>
      <c r="C154" t="s">
        <v>1488</v>
      </c>
      <c r="D154" t="s">
        <v>90</v>
      </c>
      <c r="E154" s="40">
        <v>45491</v>
      </c>
      <c r="F154" s="20">
        <v>45558</v>
      </c>
      <c r="G154" t="s">
        <v>105</v>
      </c>
      <c r="H154" s="45">
        <v>1608</v>
      </c>
      <c r="I154" t="s">
        <v>693</v>
      </c>
      <c r="J154" t="s">
        <v>694</v>
      </c>
      <c r="K154" t="s">
        <v>1425</v>
      </c>
      <c r="L154">
        <v>0</v>
      </c>
      <c r="M154" t="s">
        <v>1432</v>
      </c>
      <c r="N154" t="s">
        <v>1532</v>
      </c>
    </row>
    <row r="155" spans="1:14" x14ac:dyDescent="0.25">
      <c r="A155" s="13">
        <v>2024</v>
      </c>
      <c r="B155" t="s">
        <v>2016</v>
      </c>
      <c r="C155" t="s">
        <v>1496</v>
      </c>
      <c r="D155" t="s">
        <v>90</v>
      </c>
      <c r="E155" s="40">
        <v>45478</v>
      </c>
      <c r="F155" s="20">
        <v>45548</v>
      </c>
      <c r="G155" t="s">
        <v>665</v>
      </c>
      <c r="H155" s="45">
        <v>1680</v>
      </c>
      <c r="I155" t="s">
        <v>666</v>
      </c>
      <c r="J155" t="s">
        <v>667</v>
      </c>
      <c r="K155" t="s">
        <v>1418</v>
      </c>
      <c r="L155">
        <v>0</v>
      </c>
      <c r="M155" t="s">
        <v>1431</v>
      </c>
      <c r="N155" t="s">
        <v>1532</v>
      </c>
    </row>
    <row r="156" spans="1:14" x14ac:dyDescent="0.25">
      <c r="A156" s="13">
        <v>2024</v>
      </c>
      <c r="B156" t="s">
        <v>1902</v>
      </c>
      <c r="C156" t="s">
        <v>1503</v>
      </c>
      <c r="D156" t="s">
        <v>25</v>
      </c>
      <c r="E156" s="40">
        <v>45240</v>
      </c>
      <c r="F156" s="20">
        <v>45313</v>
      </c>
      <c r="G156" t="s">
        <v>178</v>
      </c>
      <c r="H156" s="45">
        <v>1752</v>
      </c>
      <c r="I156" t="s">
        <v>179</v>
      </c>
      <c r="J156" t="s">
        <v>180</v>
      </c>
      <c r="K156" t="s">
        <v>1418</v>
      </c>
      <c r="L156">
        <v>0</v>
      </c>
      <c r="M156" t="s">
        <v>1431</v>
      </c>
      <c r="N156" t="s">
        <v>1532</v>
      </c>
    </row>
    <row r="157" spans="1:14" x14ac:dyDescent="0.25">
      <c r="A157" s="13">
        <v>2024</v>
      </c>
      <c r="B157" t="s">
        <v>1890</v>
      </c>
      <c r="C157" t="s">
        <v>1500</v>
      </c>
      <c r="D157" t="s">
        <v>25</v>
      </c>
      <c r="E157" s="40">
        <v>45221</v>
      </c>
      <c r="F157" s="20">
        <v>45295</v>
      </c>
      <c r="G157" t="s">
        <v>124</v>
      </c>
      <c r="H157" s="45">
        <v>1776</v>
      </c>
      <c r="I157" t="s">
        <v>125</v>
      </c>
      <c r="J157" t="s">
        <v>8</v>
      </c>
      <c r="K157" t="s">
        <v>1419</v>
      </c>
      <c r="L157" t="s">
        <v>1420</v>
      </c>
      <c r="M157" t="s">
        <v>1430</v>
      </c>
      <c r="N157" t="s">
        <v>1532</v>
      </c>
    </row>
    <row r="158" spans="1:14" x14ac:dyDescent="0.25">
      <c r="A158" s="13">
        <v>2024</v>
      </c>
      <c r="B158" t="s">
        <v>1951</v>
      </c>
      <c r="C158" t="s">
        <v>1495</v>
      </c>
      <c r="D158" t="s">
        <v>41</v>
      </c>
      <c r="E158" s="40">
        <v>45346</v>
      </c>
      <c r="F158" s="20">
        <v>45423</v>
      </c>
      <c r="G158" t="s">
        <v>392</v>
      </c>
      <c r="H158" s="45">
        <v>1848</v>
      </c>
      <c r="I158" t="s">
        <v>393</v>
      </c>
      <c r="J158" t="s">
        <v>394</v>
      </c>
      <c r="K158" t="s">
        <v>1419</v>
      </c>
      <c r="L158" t="s">
        <v>1427</v>
      </c>
      <c r="M158" t="s">
        <v>1430</v>
      </c>
      <c r="N158" t="s">
        <v>1532</v>
      </c>
    </row>
    <row r="159" spans="1:14" x14ac:dyDescent="0.25">
      <c r="A159" s="13">
        <v>2024</v>
      </c>
      <c r="B159" t="s">
        <v>1998</v>
      </c>
      <c r="C159" t="s">
        <v>1505</v>
      </c>
      <c r="D159" t="s">
        <v>70</v>
      </c>
      <c r="E159" s="40">
        <v>45424</v>
      </c>
      <c r="F159" s="20">
        <v>45504</v>
      </c>
      <c r="G159" t="s">
        <v>581</v>
      </c>
      <c r="H159" s="45">
        <v>1920</v>
      </c>
      <c r="I159" t="s">
        <v>582</v>
      </c>
      <c r="J159" t="s">
        <v>583</v>
      </c>
      <c r="K159" t="s">
        <v>1424</v>
      </c>
      <c r="L159">
        <v>0</v>
      </c>
      <c r="M159" t="s">
        <v>1432</v>
      </c>
      <c r="N159" t="s">
        <v>1532</v>
      </c>
    </row>
    <row r="160" spans="1:14" x14ac:dyDescent="0.25">
      <c r="A160" s="13">
        <v>2024</v>
      </c>
      <c r="B160" t="s">
        <v>1949</v>
      </c>
      <c r="C160" t="s">
        <v>1486</v>
      </c>
      <c r="D160" t="s">
        <v>41</v>
      </c>
      <c r="E160" s="40">
        <v>45337</v>
      </c>
      <c r="F160" s="20">
        <v>45419</v>
      </c>
      <c r="G160" t="s">
        <v>368</v>
      </c>
      <c r="H160" s="45">
        <v>1968</v>
      </c>
      <c r="I160" t="s">
        <v>369</v>
      </c>
      <c r="J160" t="s">
        <v>370</v>
      </c>
      <c r="K160" t="s">
        <v>1418</v>
      </c>
      <c r="L160">
        <v>0</v>
      </c>
      <c r="M160" t="s">
        <v>1431</v>
      </c>
      <c r="N160" t="s">
        <v>1532</v>
      </c>
    </row>
    <row r="161" spans="1:14" x14ac:dyDescent="0.25">
      <c r="A161" s="13">
        <v>2024</v>
      </c>
      <c r="B161" t="s">
        <v>2061</v>
      </c>
      <c r="C161" t="s">
        <v>1490</v>
      </c>
      <c r="D161" t="s">
        <v>1412</v>
      </c>
      <c r="E161" s="40">
        <v>45568</v>
      </c>
      <c r="F161" s="20">
        <v>45653</v>
      </c>
      <c r="G161" t="s">
        <v>837</v>
      </c>
      <c r="H161" s="45">
        <v>2040</v>
      </c>
      <c r="I161" t="s">
        <v>836</v>
      </c>
      <c r="J161" t="s">
        <v>835</v>
      </c>
      <c r="K161" t="s">
        <v>1419</v>
      </c>
      <c r="L161" t="s">
        <v>1426</v>
      </c>
      <c r="M161" t="s">
        <v>1430</v>
      </c>
      <c r="N161" t="s">
        <v>1532</v>
      </c>
    </row>
    <row r="162" spans="1:14" x14ac:dyDescent="0.25">
      <c r="A162" s="13">
        <v>2024</v>
      </c>
      <c r="B162" t="s">
        <v>1935</v>
      </c>
      <c r="C162" t="s">
        <v>1510</v>
      </c>
      <c r="D162" t="s">
        <v>33</v>
      </c>
      <c r="E162" s="40">
        <v>45296</v>
      </c>
      <c r="F162" s="20">
        <v>45387</v>
      </c>
      <c r="G162" t="s">
        <v>71</v>
      </c>
      <c r="H162" s="45">
        <v>2184</v>
      </c>
      <c r="I162" t="s">
        <v>324</v>
      </c>
      <c r="J162" t="s">
        <v>325</v>
      </c>
      <c r="K162" t="s">
        <v>1419</v>
      </c>
      <c r="L162" t="s">
        <v>1420</v>
      </c>
      <c r="M162" t="s">
        <v>1430</v>
      </c>
      <c r="N162" t="s">
        <v>1532</v>
      </c>
    </row>
    <row r="163" spans="1:14" x14ac:dyDescent="0.25">
      <c r="A163" s="13">
        <v>2024</v>
      </c>
      <c r="B163" t="s">
        <v>2004</v>
      </c>
      <c r="C163" t="s">
        <v>1487</v>
      </c>
      <c r="D163" t="s">
        <v>82</v>
      </c>
      <c r="E163" s="40">
        <v>45428</v>
      </c>
      <c r="F163" s="20">
        <v>45523</v>
      </c>
      <c r="G163" t="s">
        <v>107</v>
      </c>
      <c r="H163" s="45">
        <v>2280</v>
      </c>
      <c r="I163" t="s">
        <v>614</v>
      </c>
      <c r="J163" t="s">
        <v>91</v>
      </c>
      <c r="K163" t="s">
        <v>1419</v>
      </c>
      <c r="L163" t="s">
        <v>1427</v>
      </c>
      <c r="M163" t="s">
        <v>1430</v>
      </c>
      <c r="N163" t="s">
        <v>1532</v>
      </c>
    </row>
    <row r="164" spans="1:14" x14ac:dyDescent="0.25">
      <c r="A164" s="13">
        <v>2024</v>
      </c>
      <c r="B164" t="s">
        <v>1956</v>
      </c>
      <c r="C164" t="s">
        <v>1490</v>
      </c>
      <c r="D164" t="s">
        <v>41</v>
      </c>
      <c r="E164" s="40">
        <v>45341</v>
      </c>
      <c r="F164" s="20">
        <v>45439</v>
      </c>
      <c r="G164" t="s">
        <v>159</v>
      </c>
      <c r="H164" s="45">
        <v>2352</v>
      </c>
      <c r="I164" t="s">
        <v>420</v>
      </c>
      <c r="J164" t="s">
        <v>421</v>
      </c>
      <c r="K164" t="s">
        <v>1424</v>
      </c>
      <c r="L164">
        <v>0</v>
      </c>
      <c r="M164" t="s">
        <v>1432</v>
      </c>
      <c r="N164" t="s">
        <v>1532</v>
      </c>
    </row>
    <row r="165" spans="1:14" x14ac:dyDescent="0.25">
      <c r="A165" s="13">
        <v>2024</v>
      </c>
      <c r="B165" t="s">
        <v>1914</v>
      </c>
      <c r="C165" t="s">
        <v>1487</v>
      </c>
      <c r="D165" t="s">
        <v>1410</v>
      </c>
      <c r="E165" s="40">
        <v>45241</v>
      </c>
      <c r="F165" s="20">
        <v>45341</v>
      </c>
      <c r="G165" t="s">
        <v>42</v>
      </c>
      <c r="H165" s="45">
        <v>2400</v>
      </c>
      <c r="I165" t="s">
        <v>234</v>
      </c>
      <c r="J165" t="s">
        <v>235</v>
      </c>
      <c r="K165" t="s">
        <v>1419</v>
      </c>
      <c r="L165" t="s">
        <v>1420</v>
      </c>
      <c r="M165" t="s">
        <v>1430</v>
      </c>
      <c r="N165" t="s">
        <v>1532</v>
      </c>
    </row>
    <row r="166" spans="1:14" x14ac:dyDescent="0.25">
      <c r="A166" s="13">
        <v>2024</v>
      </c>
      <c r="B166" t="s">
        <v>1954</v>
      </c>
      <c r="C166" t="s">
        <v>1480</v>
      </c>
      <c r="D166" t="s">
        <v>41</v>
      </c>
      <c r="E166" s="40">
        <v>45323</v>
      </c>
      <c r="F166" s="20">
        <v>45432</v>
      </c>
      <c r="G166" t="s">
        <v>407</v>
      </c>
      <c r="H166" s="45">
        <v>2616</v>
      </c>
      <c r="I166" t="s">
        <v>408</v>
      </c>
      <c r="J166" t="s">
        <v>409</v>
      </c>
      <c r="K166" t="s">
        <v>1424</v>
      </c>
      <c r="L166">
        <v>0</v>
      </c>
      <c r="M166" t="s">
        <v>1431</v>
      </c>
      <c r="N166" t="s">
        <v>1532</v>
      </c>
    </row>
    <row r="167" spans="1:14" x14ac:dyDescent="0.25">
      <c r="A167" s="13">
        <v>2024</v>
      </c>
      <c r="B167" t="s">
        <v>1914</v>
      </c>
      <c r="C167" t="s">
        <v>1487</v>
      </c>
      <c r="D167" t="s">
        <v>1410</v>
      </c>
      <c r="E167" s="40">
        <v>45204</v>
      </c>
      <c r="F167" s="20">
        <v>45341</v>
      </c>
      <c r="G167" t="s">
        <v>40</v>
      </c>
      <c r="H167" s="45">
        <v>3288</v>
      </c>
      <c r="I167" t="s">
        <v>236</v>
      </c>
      <c r="J167" t="s">
        <v>237</v>
      </c>
      <c r="K167" t="s">
        <v>1424</v>
      </c>
      <c r="L167">
        <v>0</v>
      </c>
      <c r="M167" t="s">
        <v>1432</v>
      </c>
      <c r="N167" t="s">
        <v>1532</v>
      </c>
    </row>
    <row r="168" spans="1:14" x14ac:dyDescent="0.25">
      <c r="A168" s="13">
        <v>2024</v>
      </c>
      <c r="B168" t="s">
        <v>2036</v>
      </c>
      <c r="C168" t="s">
        <v>1503</v>
      </c>
      <c r="D168" t="s">
        <v>94</v>
      </c>
      <c r="E168" s="40">
        <v>45445</v>
      </c>
      <c r="F168" s="20">
        <v>45587</v>
      </c>
      <c r="G168" t="s">
        <v>44</v>
      </c>
      <c r="H168" s="45">
        <v>3408</v>
      </c>
      <c r="I168" t="s">
        <v>733</v>
      </c>
      <c r="J168" t="s">
        <v>734</v>
      </c>
      <c r="K168" t="s">
        <v>1418</v>
      </c>
      <c r="L168">
        <v>0</v>
      </c>
      <c r="M168" t="s">
        <v>1430</v>
      </c>
      <c r="N168" t="s">
        <v>1532</v>
      </c>
    </row>
    <row r="169" spans="1:14" x14ac:dyDescent="0.25">
      <c r="A169" s="13">
        <v>2024</v>
      </c>
      <c r="B169" t="s">
        <v>1967</v>
      </c>
      <c r="C169" t="s">
        <v>1478</v>
      </c>
      <c r="D169" t="s">
        <v>65</v>
      </c>
      <c r="E169" s="40">
        <v>45316</v>
      </c>
      <c r="F169" s="20">
        <v>45459</v>
      </c>
      <c r="G169" t="s">
        <v>11</v>
      </c>
      <c r="H169" s="45">
        <v>3432</v>
      </c>
      <c r="I169" t="s">
        <v>463</v>
      </c>
      <c r="J169" t="s">
        <v>57</v>
      </c>
      <c r="K169" t="s">
        <v>1424</v>
      </c>
      <c r="L169">
        <v>0</v>
      </c>
      <c r="M169" t="s">
        <v>1432</v>
      </c>
      <c r="N169" t="s">
        <v>1532</v>
      </c>
    </row>
    <row r="170" spans="1:14" x14ac:dyDescent="0.25">
      <c r="A170" s="13">
        <v>2024</v>
      </c>
      <c r="B170" t="s">
        <v>1934</v>
      </c>
      <c r="C170" t="s">
        <v>1498</v>
      </c>
      <c r="D170" t="s">
        <v>33</v>
      </c>
      <c r="E170" s="40">
        <v>45233</v>
      </c>
      <c r="F170" s="20">
        <v>45384</v>
      </c>
      <c r="G170" t="s">
        <v>310</v>
      </c>
      <c r="H170" s="45">
        <v>3624</v>
      </c>
      <c r="I170" t="s">
        <v>311</v>
      </c>
      <c r="J170" t="s">
        <v>313</v>
      </c>
      <c r="K170" t="s">
        <v>1419</v>
      </c>
      <c r="L170" t="s">
        <v>1420</v>
      </c>
      <c r="M170" t="s">
        <v>1430</v>
      </c>
      <c r="N170" t="s">
        <v>1532</v>
      </c>
    </row>
    <row r="171" spans="1:14" x14ac:dyDescent="0.25">
      <c r="A171" s="13">
        <v>2024</v>
      </c>
      <c r="B171" t="s">
        <v>2054</v>
      </c>
      <c r="C171" t="s">
        <v>1495</v>
      </c>
      <c r="D171" t="s">
        <v>1412</v>
      </c>
      <c r="E171" s="40">
        <v>45486</v>
      </c>
      <c r="F171" s="20">
        <v>45637</v>
      </c>
      <c r="G171" t="s">
        <v>52</v>
      </c>
      <c r="H171" s="45">
        <v>3624</v>
      </c>
      <c r="I171" t="s">
        <v>813</v>
      </c>
      <c r="J171" t="s">
        <v>87</v>
      </c>
      <c r="K171" t="s">
        <v>1424</v>
      </c>
      <c r="L171">
        <v>0</v>
      </c>
      <c r="M171" t="s">
        <v>1432</v>
      </c>
      <c r="N171" t="s">
        <v>1532</v>
      </c>
    </row>
    <row r="172" spans="1:14" x14ac:dyDescent="0.25">
      <c r="A172" s="13">
        <v>2024</v>
      </c>
      <c r="B172" t="s">
        <v>2020</v>
      </c>
      <c r="C172" t="s">
        <v>1487</v>
      </c>
      <c r="D172" t="s">
        <v>90</v>
      </c>
      <c r="E172" s="40">
        <v>45401</v>
      </c>
      <c r="F172" s="20">
        <v>45554</v>
      </c>
      <c r="G172" t="s">
        <v>42</v>
      </c>
      <c r="H172" s="45">
        <v>3672</v>
      </c>
      <c r="I172" t="s">
        <v>685</v>
      </c>
      <c r="J172" t="s">
        <v>57</v>
      </c>
      <c r="K172" t="s">
        <v>1424</v>
      </c>
      <c r="L172">
        <v>0</v>
      </c>
      <c r="M172" t="s">
        <v>1432</v>
      </c>
      <c r="N172" t="s">
        <v>1532</v>
      </c>
    </row>
    <row r="173" spans="1:14" x14ac:dyDescent="0.25">
      <c r="A173" s="13">
        <v>2024</v>
      </c>
      <c r="B173" t="s">
        <v>1952</v>
      </c>
      <c r="C173" t="s">
        <v>1497</v>
      </c>
      <c r="D173" t="s">
        <v>41</v>
      </c>
      <c r="E173" s="40">
        <v>45262</v>
      </c>
      <c r="F173" s="20">
        <v>45427</v>
      </c>
      <c r="G173" t="s">
        <v>51</v>
      </c>
      <c r="H173" s="45">
        <v>3960</v>
      </c>
      <c r="I173" t="s">
        <v>399</v>
      </c>
      <c r="J173" t="s">
        <v>398</v>
      </c>
      <c r="K173" t="s">
        <v>1419</v>
      </c>
      <c r="L173" t="s">
        <v>1420</v>
      </c>
      <c r="M173" t="s">
        <v>1430</v>
      </c>
      <c r="N173" t="s">
        <v>1532</v>
      </c>
    </row>
    <row r="174" spans="1:14" x14ac:dyDescent="0.25">
      <c r="A174" s="13">
        <v>2024</v>
      </c>
      <c r="B174" t="s">
        <v>1928</v>
      </c>
      <c r="C174" t="s">
        <v>1497</v>
      </c>
      <c r="D174" t="s">
        <v>24</v>
      </c>
      <c r="E174" s="40">
        <v>45197</v>
      </c>
      <c r="F174" s="20">
        <v>45366</v>
      </c>
      <c r="G174" t="s">
        <v>99</v>
      </c>
      <c r="H174" s="45">
        <v>4056</v>
      </c>
      <c r="I174" t="s">
        <v>291</v>
      </c>
      <c r="J174" t="s">
        <v>292</v>
      </c>
      <c r="K174" t="s">
        <v>1424</v>
      </c>
      <c r="L174">
        <v>0</v>
      </c>
      <c r="M174" t="s">
        <v>1432</v>
      </c>
      <c r="N174" t="s">
        <v>1532</v>
      </c>
    </row>
    <row r="175" spans="1:14" x14ac:dyDescent="0.25">
      <c r="A175" s="13">
        <v>2024</v>
      </c>
      <c r="B175" t="s">
        <v>1921</v>
      </c>
      <c r="C175" t="s">
        <v>1492</v>
      </c>
      <c r="D175" t="s">
        <v>24</v>
      </c>
      <c r="E175" s="40">
        <v>45186</v>
      </c>
      <c r="F175" s="20">
        <v>45357</v>
      </c>
      <c r="G175" t="s">
        <v>11</v>
      </c>
      <c r="H175" s="45">
        <v>4104</v>
      </c>
      <c r="I175" t="s">
        <v>265</v>
      </c>
      <c r="J175" t="s">
        <v>264</v>
      </c>
      <c r="K175" t="s">
        <v>1424</v>
      </c>
      <c r="L175">
        <v>0</v>
      </c>
      <c r="M175" t="s">
        <v>1432</v>
      </c>
      <c r="N175" t="s">
        <v>1532</v>
      </c>
    </row>
    <row r="176" spans="1:14" x14ac:dyDescent="0.25">
      <c r="A176" s="13">
        <v>2024</v>
      </c>
      <c r="B176" t="s">
        <v>2013</v>
      </c>
      <c r="C176" t="s">
        <v>1502</v>
      </c>
      <c r="D176" t="s">
        <v>90</v>
      </c>
      <c r="E176" s="40">
        <v>45373</v>
      </c>
      <c r="F176" s="20">
        <v>45545</v>
      </c>
      <c r="G176" t="s">
        <v>85</v>
      </c>
      <c r="H176" s="45">
        <v>4128</v>
      </c>
      <c r="I176" t="s">
        <v>660</v>
      </c>
      <c r="J176" t="s">
        <v>661</v>
      </c>
      <c r="K176" t="s">
        <v>1419</v>
      </c>
      <c r="L176" t="s">
        <v>1420</v>
      </c>
      <c r="M176" t="s">
        <v>1430</v>
      </c>
      <c r="N176" t="s">
        <v>1532</v>
      </c>
    </row>
    <row r="177" spans="1:14" x14ac:dyDescent="0.25">
      <c r="A177" s="13">
        <v>2024</v>
      </c>
      <c r="B177" t="s">
        <v>1903</v>
      </c>
      <c r="C177" t="s">
        <v>1483</v>
      </c>
      <c r="D177" t="s">
        <v>25</v>
      </c>
      <c r="E177" s="40">
        <v>45142</v>
      </c>
      <c r="F177" s="20">
        <v>45317</v>
      </c>
      <c r="G177" t="s">
        <v>187</v>
      </c>
      <c r="H177" s="45">
        <v>4200</v>
      </c>
      <c r="I177" t="s">
        <v>188</v>
      </c>
      <c r="J177" t="s">
        <v>189</v>
      </c>
      <c r="K177" t="s">
        <v>1424</v>
      </c>
      <c r="L177">
        <v>0</v>
      </c>
      <c r="M177" t="s">
        <v>1432</v>
      </c>
      <c r="N177" t="s">
        <v>1532</v>
      </c>
    </row>
    <row r="178" spans="1:14" x14ac:dyDescent="0.25">
      <c r="A178" s="13">
        <v>2024</v>
      </c>
      <c r="B178" t="s">
        <v>1907</v>
      </c>
      <c r="C178" t="s">
        <v>1486</v>
      </c>
      <c r="D178" t="s">
        <v>1410</v>
      </c>
      <c r="E178" s="40">
        <v>45150</v>
      </c>
      <c r="F178" s="20">
        <v>45329</v>
      </c>
      <c r="G178" t="s">
        <v>205</v>
      </c>
      <c r="H178" s="45">
        <v>4296</v>
      </c>
      <c r="I178" t="s">
        <v>206</v>
      </c>
      <c r="J178" t="s">
        <v>208</v>
      </c>
      <c r="K178" t="s">
        <v>1424</v>
      </c>
      <c r="L178">
        <v>0</v>
      </c>
      <c r="M178" t="s">
        <v>1432</v>
      </c>
      <c r="N178" t="s">
        <v>1532</v>
      </c>
    </row>
    <row r="179" spans="1:14" x14ac:dyDescent="0.25">
      <c r="A179" s="13">
        <v>2024</v>
      </c>
      <c r="B179" t="s">
        <v>2032</v>
      </c>
      <c r="C179" t="s">
        <v>1493</v>
      </c>
      <c r="D179" t="s">
        <v>94</v>
      </c>
      <c r="E179" s="40">
        <v>45387</v>
      </c>
      <c r="F179" s="20">
        <v>45573</v>
      </c>
      <c r="G179" t="s">
        <v>712</v>
      </c>
      <c r="H179" s="45">
        <v>4464</v>
      </c>
      <c r="I179" t="s">
        <v>713</v>
      </c>
      <c r="J179" t="s">
        <v>714</v>
      </c>
      <c r="K179" t="s">
        <v>1419</v>
      </c>
      <c r="L179" t="s">
        <v>1422</v>
      </c>
      <c r="M179" t="s">
        <v>1430</v>
      </c>
      <c r="N179" t="s">
        <v>1532</v>
      </c>
    </row>
    <row r="180" spans="1:14" x14ac:dyDescent="0.25">
      <c r="A180" s="13">
        <v>2024</v>
      </c>
      <c r="B180" t="s">
        <v>1889</v>
      </c>
      <c r="C180" t="s">
        <v>1499</v>
      </c>
      <c r="D180" t="s">
        <v>25</v>
      </c>
      <c r="E180" s="40">
        <v>45106</v>
      </c>
      <c r="F180" s="20">
        <v>45294</v>
      </c>
      <c r="G180" t="s">
        <v>7</v>
      </c>
      <c r="H180" s="45">
        <v>4512</v>
      </c>
      <c r="I180" t="s">
        <v>121</v>
      </c>
      <c r="J180" t="s">
        <v>122</v>
      </c>
      <c r="K180" t="s">
        <v>1418</v>
      </c>
      <c r="L180">
        <v>0</v>
      </c>
      <c r="M180" t="s">
        <v>1430</v>
      </c>
      <c r="N180" t="s">
        <v>1532</v>
      </c>
    </row>
    <row r="181" spans="1:14" x14ac:dyDescent="0.25">
      <c r="A181" s="13">
        <v>2024</v>
      </c>
      <c r="B181" t="s">
        <v>2017</v>
      </c>
      <c r="C181" t="s">
        <v>1501</v>
      </c>
      <c r="D181" t="s">
        <v>90</v>
      </c>
      <c r="E181" s="40">
        <v>45360</v>
      </c>
      <c r="F181" s="20">
        <v>45552</v>
      </c>
      <c r="G181" t="s">
        <v>83</v>
      </c>
      <c r="H181" s="45">
        <v>4608</v>
      </c>
      <c r="I181" t="s">
        <v>668</v>
      </c>
      <c r="J181" t="s">
        <v>78</v>
      </c>
      <c r="K181" t="s">
        <v>1419</v>
      </c>
      <c r="L181" t="s">
        <v>1420</v>
      </c>
      <c r="M181" t="s">
        <v>1430</v>
      </c>
      <c r="N181" t="s">
        <v>1532</v>
      </c>
    </row>
    <row r="182" spans="1:14" x14ac:dyDescent="0.25">
      <c r="A182" s="13">
        <v>2024</v>
      </c>
      <c r="B182" t="s">
        <v>1906</v>
      </c>
      <c r="C182" t="s">
        <v>1510</v>
      </c>
      <c r="D182" t="s">
        <v>1410</v>
      </c>
      <c r="E182" s="40">
        <v>45130</v>
      </c>
      <c r="F182" s="20">
        <v>45327</v>
      </c>
      <c r="G182" t="s">
        <v>201</v>
      </c>
      <c r="H182" s="45">
        <v>4728</v>
      </c>
      <c r="I182" t="s">
        <v>202</v>
      </c>
      <c r="J182" t="s">
        <v>203</v>
      </c>
      <c r="K182" t="s">
        <v>1418</v>
      </c>
      <c r="L182">
        <v>0</v>
      </c>
      <c r="M182" t="s">
        <v>1431</v>
      </c>
      <c r="N182" t="s">
        <v>1532</v>
      </c>
    </row>
    <row r="183" spans="1:14" x14ac:dyDescent="0.25">
      <c r="A183" s="13">
        <v>2024</v>
      </c>
      <c r="B183" t="s">
        <v>1922</v>
      </c>
      <c r="C183" t="s">
        <v>1486</v>
      </c>
      <c r="D183" t="s">
        <v>24</v>
      </c>
      <c r="E183" s="40">
        <v>45150</v>
      </c>
      <c r="F183" s="20">
        <v>45358</v>
      </c>
      <c r="G183" t="s">
        <v>86</v>
      </c>
      <c r="H183" s="45">
        <v>4992</v>
      </c>
      <c r="I183" t="s">
        <v>266</v>
      </c>
      <c r="J183" t="s">
        <v>267</v>
      </c>
      <c r="K183" t="s">
        <v>1424</v>
      </c>
      <c r="L183">
        <v>0</v>
      </c>
      <c r="M183" t="s">
        <v>1432</v>
      </c>
      <c r="N183" t="s">
        <v>1532</v>
      </c>
    </row>
    <row r="184" spans="1:14" x14ac:dyDescent="0.25">
      <c r="A184" s="13">
        <v>2024</v>
      </c>
      <c r="B184" t="s">
        <v>1995</v>
      </c>
      <c r="C184" t="s">
        <v>1483</v>
      </c>
      <c r="D184" t="s">
        <v>70</v>
      </c>
      <c r="E184" s="40">
        <v>45282</v>
      </c>
      <c r="F184" s="20">
        <v>45499</v>
      </c>
      <c r="G184" t="s">
        <v>62</v>
      </c>
      <c r="H184" s="45">
        <v>5208</v>
      </c>
      <c r="I184" t="s">
        <v>567</v>
      </c>
      <c r="J184" t="s">
        <v>566</v>
      </c>
      <c r="K184" t="s">
        <v>1419</v>
      </c>
      <c r="L184" t="s">
        <v>1427</v>
      </c>
      <c r="M184" t="s">
        <v>1430</v>
      </c>
      <c r="N184" t="s">
        <v>1532</v>
      </c>
    </row>
    <row r="185" spans="1:14" x14ac:dyDescent="0.25">
      <c r="A185" s="13">
        <v>2024</v>
      </c>
      <c r="B185" t="s">
        <v>2057</v>
      </c>
      <c r="C185" t="s">
        <v>1478</v>
      </c>
      <c r="D185" t="s">
        <v>1412</v>
      </c>
      <c r="E185" s="40">
        <v>45414</v>
      </c>
      <c r="F185" s="20">
        <v>45642</v>
      </c>
      <c r="G185" t="s">
        <v>85</v>
      </c>
      <c r="H185" s="45">
        <v>5472</v>
      </c>
      <c r="I185" t="s">
        <v>820</v>
      </c>
      <c r="J185" t="s">
        <v>228</v>
      </c>
      <c r="K185" t="s">
        <v>1418</v>
      </c>
      <c r="L185">
        <v>0</v>
      </c>
      <c r="M185" t="s">
        <v>1430</v>
      </c>
      <c r="N185" t="s">
        <v>1532</v>
      </c>
    </row>
    <row r="186" spans="1:14" x14ac:dyDescent="0.25">
      <c r="A186" s="13">
        <v>2024</v>
      </c>
      <c r="B186" t="s">
        <v>1946</v>
      </c>
      <c r="C186" t="s">
        <v>1500</v>
      </c>
      <c r="D186" t="s">
        <v>41</v>
      </c>
      <c r="E186" s="40">
        <v>45158</v>
      </c>
      <c r="F186" s="20">
        <v>45416</v>
      </c>
      <c r="G186" t="s">
        <v>1947</v>
      </c>
      <c r="H186" s="45">
        <v>6192</v>
      </c>
      <c r="I186" t="s">
        <v>361</v>
      </c>
      <c r="J186" t="s">
        <v>362</v>
      </c>
      <c r="K186" t="s">
        <v>1424</v>
      </c>
      <c r="L186">
        <v>0</v>
      </c>
      <c r="M186" t="s">
        <v>1432</v>
      </c>
      <c r="N186" t="s">
        <v>1532</v>
      </c>
    </row>
    <row r="187" spans="1:14" x14ac:dyDescent="0.25">
      <c r="A187" s="13">
        <v>2024</v>
      </c>
      <c r="B187" t="s">
        <v>1939</v>
      </c>
      <c r="C187" t="s">
        <v>1480</v>
      </c>
      <c r="D187" t="s">
        <v>33</v>
      </c>
      <c r="E187" s="40">
        <v>45136</v>
      </c>
      <c r="F187" s="20">
        <v>45402</v>
      </c>
      <c r="G187" t="s">
        <v>332</v>
      </c>
      <c r="H187" s="45">
        <v>6384</v>
      </c>
      <c r="I187" t="s">
        <v>333</v>
      </c>
      <c r="J187" t="s">
        <v>334</v>
      </c>
      <c r="K187" t="s">
        <v>1424</v>
      </c>
      <c r="L187">
        <v>0</v>
      </c>
      <c r="M187" t="s">
        <v>1431</v>
      </c>
      <c r="N187" t="s">
        <v>1532</v>
      </c>
    </row>
    <row r="188" spans="1:14" x14ac:dyDescent="0.25">
      <c r="A188" s="13">
        <v>2024</v>
      </c>
      <c r="B188" t="s">
        <v>1904</v>
      </c>
      <c r="C188" t="s">
        <v>1505</v>
      </c>
      <c r="D188" t="s">
        <v>25</v>
      </c>
      <c r="E188" s="40">
        <v>45038</v>
      </c>
      <c r="F188" s="20">
        <v>45322</v>
      </c>
      <c r="G188" t="s">
        <v>191</v>
      </c>
      <c r="H188" s="45">
        <v>6816</v>
      </c>
      <c r="I188" t="s">
        <v>192</v>
      </c>
      <c r="J188" t="s">
        <v>193</v>
      </c>
      <c r="K188" t="s">
        <v>1419</v>
      </c>
      <c r="L188" t="s">
        <v>1426</v>
      </c>
      <c r="M188" t="s">
        <v>1430</v>
      </c>
      <c r="N188" t="s">
        <v>1532</v>
      </c>
    </row>
    <row r="189" spans="1:14" x14ac:dyDescent="0.25">
      <c r="A189" s="13">
        <v>2024</v>
      </c>
      <c r="B189" t="s">
        <v>1976</v>
      </c>
      <c r="C189" t="s">
        <v>1483</v>
      </c>
      <c r="D189" t="s">
        <v>65</v>
      </c>
      <c r="E189" s="40">
        <v>45136</v>
      </c>
      <c r="F189" s="20">
        <v>45469</v>
      </c>
      <c r="G189" t="s">
        <v>4</v>
      </c>
      <c r="H189" s="45">
        <v>7992</v>
      </c>
      <c r="I189" t="s">
        <v>492</v>
      </c>
      <c r="J189" t="s">
        <v>491</v>
      </c>
      <c r="K189" t="s">
        <v>1419</v>
      </c>
      <c r="L189" t="s">
        <v>1427</v>
      </c>
      <c r="M189" t="s">
        <v>1430</v>
      </c>
      <c r="N189" t="s">
        <v>1532</v>
      </c>
    </row>
    <row r="190" spans="1:14" x14ac:dyDescent="0.25">
      <c r="A190" s="13">
        <v>2024</v>
      </c>
      <c r="B190" t="s">
        <v>1896</v>
      </c>
      <c r="C190" t="s">
        <v>1496</v>
      </c>
      <c r="D190" t="s">
        <v>25</v>
      </c>
      <c r="E190" s="40">
        <v>44946</v>
      </c>
      <c r="F190" s="20">
        <v>45304</v>
      </c>
      <c r="G190" t="s">
        <v>32</v>
      </c>
      <c r="H190" s="45">
        <v>8592</v>
      </c>
      <c r="I190" t="s">
        <v>148</v>
      </c>
      <c r="J190" t="s">
        <v>149</v>
      </c>
      <c r="K190" t="s">
        <v>1425</v>
      </c>
      <c r="L190">
        <v>0</v>
      </c>
      <c r="M190" t="s">
        <v>1432</v>
      </c>
      <c r="N190" t="s">
        <v>1532</v>
      </c>
    </row>
    <row r="191" spans="1:14" x14ac:dyDescent="0.25">
      <c r="A191" s="13">
        <v>2024</v>
      </c>
      <c r="B191" t="s">
        <v>1974</v>
      </c>
      <c r="C191" t="s">
        <v>1489</v>
      </c>
      <c r="D191" t="s">
        <v>65</v>
      </c>
      <c r="E191" s="40">
        <v>45094</v>
      </c>
      <c r="F191" s="20">
        <v>45467</v>
      </c>
      <c r="G191" t="s">
        <v>484</v>
      </c>
      <c r="H191" s="45">
        <v>8952</v>
      </c>
      <c r="I191" t="s">
        <v>483</v>
      </c>
      <c r="J191" t="s">
        <v>482</v>
      </c>
      <c r="K191" t="s">
        <v>1418</v>
      </c>
      <c r="L191">
        <v>0</v>
      </c>
      <c r="M191" t="s">
        <v>1431</v>
      </c>
      <c r="N191" t="s">
        <v>1532</v>
      </c>
    </row>
    <row r="192" spans="1:14" x14ac:dyDescent="0.25">
      <c r="A192" s="13">
        <v>2024</v>
      </c>
      <c r="B192" t="s">
        <v>1996</v>
      </c>
      <c r="C192" t="s">
        <v>1504</v>
      </c>
      <c r="D192" t="s">
        <v>70</v>
      </c>
      <c r="E192" s="40">
        <v>45111</v>
      </c>
      <c r="F192" s="20">
        <v>45501</v>
      </c>
      <c r="G192" t="s">
        <v>21</v>
      </c>
      <c r="H192" s="45">
        <v>9360</v>
      </c>
      <c r="I192" t="s">
        <v>569</v>
      </c>
      <c r="J192" t="s">
        <v>570</v>
      </c>
      <c r="K192" t="s">
        <v>1424</v>
      </c>
      <c r="L192">
        <v>0</v>
      </c>
      <c r="M192" t="s">
        <v>1432</v>
      </c>
      <c r="N192" t="s">
        <v>1532</v>
      </c>
    </row>
    <row r="193" spans="1:14" x14ac:dyDescent="0.25">
      <c r="A193" s="13">
        <v>2024</v>
      </c>
      <c r="B193" t="s">
        <v>1909</v>
      </c>
      <c r="C193" t="s">
        <v>1494</v>
      </c>
      <c r="D193" t="s">
        <v>1410</v>
      </c>
      <c r="E193" s="40">
        <v>44896</v>
      </c>
      <c r="F193" s="20">
        <v>45331</v>
      </c>
      <c r="G193" t="s">
        <v>63</v>
      </c>
      <c r="H193" s="45">
        <v>10440</v>
      </c>
      <c r="I193" t="s">
        <v>199</v>
      </c>
      <c r="J193" t="s">
        <v>171</v>
      </c>
      <c r="K193" t="s">
        <v>1418</v>
      </c>
      <c r="L193">
        <v>0</v>
      </c>
      <c r="M193" t="s">
        <v>1431</v>
      </c>
      <c r="N193" t="s">
        <v>1532</v>
      </c>
    </row>
    <row r="194" spans="1:14" x14ac:dyDescent="0.25">
      <c r="A194" s="13">
        <v>2024</v>
      </c>
      <c r="B194" t="s">
        <v>2004</v>
      </c>
      <c r="C194" t="s">
        <v>1487</v>
      </c>
      <c r="D194" t="s">
        <v>82</v>
      </c>
      <c r="E194" s="40">
        <v>45060</v>
      </c>
      <c r="F194" s="20">
        <v>45523</v>
      </c>
      <c r="G194" t="s">
        <v>81</v>
      </c>
      <c r="H194" s="45">
        <v>11112</v>
      </c>
      <c r="I194" t="s">
        <v>619</v>
      </c>
      <c r="J194" t="s">
        <v>616</v>
      </c>
      <c r="K194" t="s">
        <v>1419</v>
      </c>
      <c r="L194" t="s">
        <v>1426</v>
      </c>
      <c r="M194" t="s">
        <v>1430</v>
      </c>
      <c r="N194" t="s">
        <v>1532</v>
      </c>
    </row>
    <row r="195" spans="1:14" x14ac:dyDescent="0.25">
      <c r="A195" s="13">
        <v>2024</v>
      </c>
      <c r="B195" t="s">
        <v>1899</v>
      </c>
      <c r="C195" t="s">
        <v>1478</v>
      </c>
      <c r="D195" t="s">
        <v>25</v>
      </c>
      <c r="E195" s="40">
        <v>44764</v>
      </c>
      <c r="F195" s="20">
        <v>45307</v>
      </c>
      <c r="G195" t="s">
        <v>32</v>
      </c>
      <c r="H195" s="45">
        <v>13032</v>
      </c>
      <c r="I195" t="s">
        <v>164</v>
      </c>
      <c r="J195" t="s">
        <v>165</v>
      </c>
      <c r="K195" t="s">
        <v>1424</v>
      </c>
      <c r="L195">
        <v>0</v>
      </c>
      <c r="M195" t="s">
        <v>1430</v>
      </c>
      <c r="N195" t="s">
        <v>1532</v>
      </c>
    </row>
    <row r="196" spans="1:14" x14ac:dyDescent="0.25">
      <c r="A196" s="13">
        <v>2024</v>
      </c>
      <c r="B196" t="s">
        <v>2048</v>
      </c>
      <c r="C196" t="s">
        <v>1478</v>
      </c>
      <c r="D196" t="s">
        <v>1411</v>
      </c>
      <c r="E196" s="40">
        <v>45044</v>
      </c>
      <c r="F196" s="20">
        <v>45612</v>
      </c>
      <c r="G196" t="s">
        <v>778</v>
      </c>
      <c r="H196" s="45">
        <v>13632</v>
      </c>
      <c r="I196" t="s">
        <v>779</v>
      </c>
      <c r="J196" t="s">
        <v>780</v>
      </c>
      <c r="K196" t="s">
        <v>1424</v>
      </c>
      <c r="L196">
        <v>0</v>
      </c>
      <c r="M196" t="s">
        <v>1431</v>
      </c>
      <c r="N196" t="s">
        <v>1532</v>
      </c>
    </row>
    <row r="197" spans="1:14" x14ac:dyDescent="0.25">
      <c r="A197" s="13">
        <v>2024</v>
      </c>
      <c r="B197" t="s">
        <v>1954</v>
      </c>
      <c r="C197" t="s">
        <v>1480</v>
      </c>
      <c r="D197" t="s">
        <v>41</v>
      </c>
      <c r="E197" s="40">
        <v>44836</v>
      </c>
      <c r="F197" s="20">
        <v>45432</v>
      </c>
      <c r="G197" t="s">
        <v>11</v>
      </c>
      <c r="H197" s="45">
        <v>14304</v>
      </c>
      <c r="I197" t="s">
        <v>410</v>
      </c>
      <c r="J197" t="s">
        <v>411</v>
      </c>
      <c r="K197" t="s">
        <v>1424</v>
      </c>
      <c r="L197">
        <v>0</v>
      </c>
      <c r="M197" t="s">
        <v>1432</v>
      </c>
      <c r="N197" t="s">
        <v>1532</v>
      </c>
    </row>
    <row r="198" spans="1:14" x14ac:dyDescent="0.25">
      <c r="A198" s="13">
        <v>2024</v>
      </c>
      <c r="B198" t="s">
        <v>2037</v>
      </c>
      <c r="C198" t="s">
        <v>1488</v>
      </c>
      <c r="D198" t="s">
        <v>94</v>
      </c>
      <c r="E198" s="40">
        <v>43148</v>
      </c>
      <c r="F198" s="20">
        <v>45588</v>
      </c>
      <c r="G198" t="s">
        <v>48</v>
      </c>
      <c r="H198" s="45">
        <v>58560</v>
      </c>
      <c r="I198" t="s">
        <v>736</v>
      </c>
      <c r="J198" t="s">
        <v>737</v>
      </c>
      <c r="K198" t="s">
        <v>1424</v>
      </c>
      <c r="L198">
        <v>0</v>
      </c>
      <c r="M198" t="s">
        <v>1432</v>
      </c>
      <c r="N198" t="s">
        <v>1532</v>
      </c>
    </row>
    <row r="199" spans="1:14" x14ac:dyDescent="0.25">
      <c r="A199" s="13">
        <v>2024</v>
      </c>
      <c r="B199" t="s">
        <v>1894</v>
      </c>
      <c r="C199" t="s">
        <v>1495</v>
      </c>
      <c r="D199" t="s">
        <v>25</v>
      </c>
      <c r="E199" s="40" t="s">
        <v>1795</v>
      </c>
      <c r="F199" s="20">
        <v>45302</v>
      </c>
      <c r="G199" t="s">
        <v>21</v>
      </c>
      <c r="H199" s="45">
        <v>1087248</v>
      </c>
      <c r="I199" t="s">
        <v>136</v>
      </c>
      <c r="J199" t="s">
        <v>137</v>
      </c>
      <c r="K199" t="s">
        <v>1419</v>
      </c>
      <c r="L199" t="s">
        <v>1423</v>
      </c>
      <c r="M199" t="s">
        <v>1430</v>
      </c>
      <c r="N199" t="s">
        <v>1530</v>
      </c>
    </row>
    <row r="200" spans="1:14" x14ac:dyDescent="0.25">
      <c r="A200" s="13">
        <v>2024</v>
      </c>
      <c r="B200" t="s">
        <v>1895</v>
      </c>
      <c r="C200" t="s">
        <v>1477</v>
      </c>
      <c r="D200" t="s">
        <v>25</v>
      </c>
      <c r="E200" s="40" t="s">
        <v>1795</v>
      </c>
      <c r="F200" s="20">
        <v>45303</v>
      </c>
      <c r="G200" t="s">
        <v>143</v>
      </c>
      <c r="H200" s="45">
        <v>1087272</v>
      </c>
      <c r="I200" t="s">
        <v>144</v>
      </c>
      <c r="J200" t="s">
        <v>145</v>
      </c>
      <c r="K200" t="s">
        <v>1424</v>
      </c>
      <c r="L200">
        <v>0</v>
      </c>
      <c r="M200" t="s">
        <v>1430</v>
      </c>
      <c r="N200" t="s">
        <v>1530</v>
      </c>
    </row>
    <row r="201" spans="1:14" x14ac:dyDescent="0.25">
      <c r="A201" s="13">
        <v>2024</v>
      </c>
      <c r="B201" t="s">
        <v>1895</v>
      </c>
      <c r="C201" t="s">
        <v>1477</v>
      </c>
      <c r="D201" t="s">
        <v>25</v>
      </c>
      <c r="E201" s="40" t="s">
        <v>1795</v>
      </c>
      <c r="F201" s="20">
        <v>45303</v>
      </c>
      <c r="G201" t="s">
        <v>151</v>
      </c>
      <c r="H201" s="45">
        <v>1087272</v>
      </c>
      <c r="I201" t="s">
        <v>152</v>
      </c>
      <c r="J201" t="s">
        <v>49</v>
      </c>
      <c r="K201" t="s">
        <v>1424</v>
      </c>
      <c r="L201">
        <v>0</v>
      </c>
      <c r="M201" t="s">
        <v>1432</v>
      </c>
      <c r="N201" t="s">
        <v>1530</v>
      </c>
    </row>
    <row r="202" spans="1:14" x14ac:dyDescent="0.25">
      <c r="A202" s="13">
        <v>2024</v>
      </c>
      <c r="B202" t="s">
        <v>1897</v>
      </c>
      <c r="C202" t="s">
        <v>1511</v>
      </c>
      <c r="D202" t="s">
        <v>25</v>
      </c>
      <c r="E202" s="40" t="s">
        <v>1795</v>
      </c>
      <c r="F202" s="20">
        <v>45305</v>
      </c>
      <c r="G202" t="s">
        <v>155</v>
      </c>
      <c r="H202" s="45">
        <v>1087320</v>
      </c>
      <c r="I202" t="s">
        <v>156</v>
      </c>
      <c r="J202" t="s">
        <v>157</v>
      </c>
      <c r="K202" t="s">
        <v>1419</v>
      </c>
      <c r="L202" t="s">
        <v>1426</v>
      </c>
      <c r="M202" t="s">
        <v>1430</v>
      </c>
      <c r="N202" t="s">
        <v>1530</v>
      </c>
    </row>
    <row r="203" spans="1:14" x14ac:dyDescent="0.25">
      <c r="A203" s="13">
        <v>2024</v>
      </c>
      <c r="B203" t="s">
        <v>1901</v>
      </c>
      <c r="C203" t="s">
        <v>1480</v>
      </c>
      <c r="D203" t="s">
        <v>25</v>
      </c>
      <c r="E203" s="40" t="s">
        <v>1795</v>
      </c>
      <c r="F203" s="20">
        <v>45311</v>
      </c>
      <c r="G203" t="s">
        <v>173</v>
      </c>
      <c r="H203" s="45">
        <v>1087464</v>
      </c>
      <c r="I203" t="s">
        <v>174</v>
      </c>
      <c r="J203" t="s">
        <v>176</v>
      </c>
      <c r="K203" t="s">
        <v>1424</v>
      </c>
      <c r="L203">
        <v>0</v>
      </c>
      <c r="M203" t="s">
        <v>1432</v>
      </c>
      <c r="N203" t="s">
        <v>1530</v>
      </c>
    </row>
    <row r="204" spans="1:14" x14ac:dyDescent="0.25">
      <c r="A204" s="13">
        <v>2024</v>
      </c>
      <c r="B204" t="s">
        <v>1902</v>
      </c>
      <c r="C204" t="s">
        <v>1503</v>
      </c>
      <c r="D204" t="s">
        <v>25</v>
      </c>
      <c r="E204" s="40" t="s">
        <v>1795</v>
      </c>
      <c r="F204" s="20">
        <v>45313</v>
      </c>
      <c r="G204" t="s">
        <v>181</v>
      </c>
      <c r="H204" s="45">
        <v>1087512</v>
      </c>
      <c r="I204" t="s">
        <v>182</v>
      </c>
      <c r="J204" t="s">
        <v>183</v>
      </c>
      <c r="K204" t="s">
        <v>1419</v>
      </c>
      <c r="L204" t="s">
        <v>1427</v>
      </c>
      <c r="M204" t="s">
        <v>1430</v>
      </c>
      <c r="N204" t="s">
        <v>1530</v>
      </c>
    </row>
    <row r="205" spans="1:14" x14ac:dyDescent="0.25">
      <c r="A205" s="13">
        <v>2024</v>
      </c>
      <c r="B205" t="s">
        <v>1911</v>
      </c>
      <c r="C205" t="s">
        <v>1496</v>
      </c>
      <c r="D205" t="s">
        <v>1410</v>
      </c>
      <c r="E205" s="40" t="s">
        <v>1795</v>
      </c>
      <c r="F205" s="20">
        <v>45335</v>
      </c>
      <c r="G205" t="s">
        <v>218</v>
      </c>
      <c r="H205" s="45">
        <v>1088040</v>
      </c>
      <c r="I205" t="s">
        <v>219</v>
      </c>
      <c r="J205" t="s">
        <v>19</v>
      </c>
      <c r="K205" t="s">
        <v>1418</v>
      </c>
      <c r="L205">
        <v>0</v>
      </c>
      <c r="M205" t="s">
        <v>1430</v>
      </c>
      <c r="N205" t="s">
        <v>1530</v>
      </c>
    </row>
    <row r="206" spans="1:14" x14ac:dyDescent="0.25">
      <c r="A206" s="13">
        <v>2024</v>
      </c>
      <c r="B206" t="s">
        <v>1913</v>
      </c>
      <c r="C206" t="s">
        <v>1478</v>
      </c>
      <c r="D206" t="s">
        <v>1410</v>
      </c>
      <c r="E206" s="40" t="s">
        <v>1795</v>
      </c>
      <c r="F206" s="20">
        <v>45338</v>
      </c>
      <c r="G206" t="s">
        <v>35</v>
      </c>
      <c r="H206" s="45">
        <v>1088112</v>
      </c>
      <c r="I206" t="s">
        <v>232</v>
      </c>
      <c r="J206" t="s">
        <v>231</v>
      </c>
      <c r="K206" t="s">
        <v>1424</v>
      </c>
      <c r="L206">
        <v>0</v>
      </c>
      <c r="M206" t="s">
        <v>1432</v>
      </c>
      <c r="N206" t="s">
        <v>1530</v>
      </c>
    </row>
    <row r="207" spans="1:14" x14ac:dyDescent="0.25">
      <c r="A207" s="13">
        <v>2024</v>
      </c>
      <c r="B207" t="s">
        <v>1916</v>
      </c>
      <c r="C207" t="s">
        <v>1488</v>
      </c>
      <c r="D207" t="s">
        <v>1410</v>
      </c>
      <c r="E207" s="40" t="s">
        <v>1795</v>
      </c>
      <c r="F207" s="20">
        <v>45345</v>
      </c>
      <c r="G207" t="s">
        <v>20</v>
      </c>
      <c r="H207" s="45">
        <v>1088280</v>
      </c>
      <c r="I207" t="s">
        <v>242</v>
      </c>
      <c r="J207" t="s">
        <v>243</v>
      </c>
      <c r="K207" t="s">
        <v>1424</v>
      </c>
      <c r="L207">
        <v>0</v>
      </c>
      <c r="M207" t="s">
        <v>1430</v>
      </c>
      <c r="N207" t="s">
        <v>1530</v>
      </c>
    </row>
    <row r="208" spans="1:14" x14ac:dyDescent="0.25">
      <c r="A208" s="13">
        <v>2024</v>
      </c>
      <c r="B208" t="s">
        <v>1918</v>
      </c>
      <c r="C208" t="s">
        <v>1490</v>
      </c>
      <c r="D208" t="s">
        <v>1410</v>
      </c>
      <c r="E208" s="40" t="s">
        <v>1795</v>
      </c>
      <c r="F208" s="20">
        <v>45349</v>
      </c>
      <c r="G208" t="s">
        <v>248</v>
      </c>
      <c r="H208" s="45">
        <v>1088376</v>
      </c>
      <c r="I208" t="s">
        <v>247</v>
      </c>
      <c r="J208" t="s">
        <v>246</v>
      </c>
      <c r="K208" t="s">
        <v>1424</v>
      </c>
      <c r="L208">
        <v>0</v>
      </c>
      <c r="M208" t="s">
        <v>1432</v>
      </c>
      <c r="N208" t="s">
        <v>1530</v>
      </c>
    </row>
    <row r="209" spans="1:14" x14ac:dyDescent="0.25">
      <c r="A209" s="13">
        <v>2024</v>
      </c>
      <c r="B209" t="s">
        <v>1918</v>
      </c>
      <c r="C209" t="s">
        <v>1490</v>
      </c>
      <c r="D209" t="s">
        <v>1410</v>
      </c>
      <c r="E209" s="40" t="s">
        <v>1795</v>
      </c>
      <c r="F209" s="20">
        <v>45349</v>
      </c>
      <c r="G209" t="s">
        <v>7</v>
      </c>
      <c r="H209" s="45">
        <v>1088376</v>
      </c>
      <c r="I209" t="s">
        <v>250</v>
      </c>
      <c r="J209" t="s">
        <v>251</v>
      </c>
      <c r="K209" t="s">
        <v>1419</v>
      </c>
      <c r="L209" t="s">
        <v>1427</v>
      </c>
      <c r="M209" t="s">
        <v>1430</v>
      </c>
      <c r="N209" t="s">
        <v>1530</v>
      </c>
    </row>
    <row r="210" spans="1:14" x14ac:dyDescent="0.25">
      <c r="A210" s="13">
        <v>2024</v>
      </c>
      <c r="B210" t="s">
        <v>1924</v>
      </c>
      <c r="C210" t="s">
        <v>1494</v>
      </c>
      <c r="D210" t="s">
        <v>24</v>
      </c>
      <c r="E210" s="40" t="s">
        <v>1795</v>
      </c>
      <c r="F210" s="20">
        <v>45360</v>
      </c>
      <c r="G210" t="s">
        <v>278</v>
      </c>
      <c r="H210" s="45">
        <v>1088640</v>
      </c>
      <c r="I210" t="s">
        <v>277</v>
      </c>
      <c r="J210" t="s">
        <v>276</v>
      </c>
      <c r="K210" t="s">
        <v>1419</v>
      </c>
      <c r="L210" t="s">
        <v>1426</v>
      </c>
      <c r="M210" t="s">
        <v>1430</v>
      </c>
      <c r="N210" t="s">
        <v>1530</v>
      </c>
    </row>
    <row r="211" spans="1:14" x14ac:dyDescent="0.25">
      <c r="A211" s="13">
        <v>2024</v>
      </c>
      <c r="B211" t="s">
        <v>1924</v>
      </c>
      <c r="C211" t="s">
        <v>1494</v>
      </c>
      <c r="D211" t="s">
        <v>24</v>
      </c>
      <c r="E211" s="40" t="s">
        <v>1795</v>
      </c>
      <c r="F211" s="20">
        <v>45360</v>
      </c>
      <c r="G211" t="s">
        <v>10</v>
      </c>
      <c r="H211" s="45">
        <v>1088640</v>
      </c>
      <c r="I211" t="s">
        <v>279</v>
      </c>
      <c r="J211" t="s">
        <v>280</v>
      </c>
      <c r="K211" t="s">
        <v>1424</v>
      </c>
      <c r="L211">
        <v>0</v>
      </c>
      <c r="M211" t="s">
        <v>1432</v>
      </c>
      <c r="N211" t="s">
        <v>1530</v>
      </c>
    </row>
    <row r="212" spans="1:14" x14ac:dyDescent="0.25">
      <c r="A212" s="13">
        <v>2024</v>
      </c>
      <c r="B212" t="s">
        <v>1925</v>
      </c>
      <c r="C212" t="s">
        <v>1495</v>
      </c>
      <c r="D212" t="s">
        <v>24</v>
      </c>
      <c r="E212" s="40" t="s">
        <v>1795</v>
      </c>
      <c r="F212" s="20">
        <v>45362</v>
      </c>
      <c r="G212" t="s">
        <v>99</v>
      </c>
      <c r="H212" s="45">
        <v>1088688</v>
      </c>
      <c r="I212" t="s">
        <v>282</v>
      </c>
      <c r="J212" t="s">
        <v>283</v>
      </c>
      <c r="K212" t="s">
        <v>1424</v>
      </c>
      <c r="L212">
        <v>0</v>
      </c>
      <c r="M212" t="s">
        <v>1432</v>
      </c>
      <c r="N212" t="s">
        <v>1530</v>
      </c>
    </row>
    <row r="213" spans="1:14" x14ac:dyDescent="0.25">
      <c r="A213" s="13">
        <v>2024</v>
      </c>
      <c r="B213" t="s">
        <v>1929</v>
      </c>
      <c r="C213" t="s">
        <v>1478</v>
      </c>
      <c r="D213" t="s">
        <v>24</v>
      </c>
      <c r="E213" s="40" t="s">
        <v>1795</v>
      </c>
      <c r="F213" s="20">
        <v>45367</v>
      </c>
      <c r="G213" t="s">
        <v>294</v>
      </c>
      <c r="H213" s="45">
        <v>1088808</v>
      </c>
      <c r="I213" t="s">
        <v>295</v>
      </c>
      <c r="J213" t="s">
        <v>87</v>
      </c>
      <c r="K213" t="s">
        <v>1424</v>
      </c>
      <c r="L213">
        <v>0</v>
      </c>
      <c r="M213" t="s">
        <v>1432</v>
      </c>
      <c r="N213" t="s">
        <v>1530</v>
      </c>
    </row>
    <row r="214" spans="1:14" x14ac:dyDescent="0.25">
      <c r="A214" s="13">
        <v>2024</v>
      </c>
      <c r="B214" t="s">
        <v>1934</v>
      </c>
      <c r="C214" t="s">
        <v>1498</v>
      </c>
      <c r="D214" t="s">
        <v>33</v>
      </c>
      <c r="E214" s="40" t="s">
        <v>1795</v>
      </c>
      <c r="F214" s="20">
        <v>45384</v>
      </c>
      <c r="G214" t="s">
        <v>318</v>
      </c>
      <c r="H214" s="45">
        <v>1089216</v>
      </c>
      <c r="I214" t="s">
        <v>319</v>
      </c>
      <c r="J214" t="s">
        <v>320</v>
      </c>
      <c r="K214" t="s">
        <v>1419</v>
      </c>
      <c r="L214" t="s">
        <v>1426</v>
      </c>
      <c r="M214" t="s">
        <v>1430</v>
      </c>
      <c r="N214" t="s">
        <v>1530</v>
      </c>
    </row>
    <row r="215" spans="1:14" x14ac:dyDescent="0.25">
      <c r="A215" s="13">
        <v>2024</v>
      </c>
      <c r="B215" t="s">
        <v>1934</v>
      </c>
      <c r="C215" t="s">
        <v>1498</v>
      </c>
      <c r="D215" t="s">
        <v>33</v>
      </c>
      <c r="E215" s="40" t="s">
        <v>1795</v>
      </c>
      <c r="F215" s="20">
        <v>45384</v>
      </c>
      <c r="G215" t="s">
        <v>315</v>
      </c>
      <c r="H215" s="45">
        <v>1089216</v>
      </c>
      <c r="I215" t="s">
        <v>316</v>
      </c>
      <c r="J215" t="s">
        <v>317</v>
      </c>
      <c r="K215" t="s">
        <v>1424</v>
      </c>
      <c r="L215">
        <v>0</v>
      </c>
      <c r="M215" t="s">
        <v>1432</v>
      </c>
      <c r="N215" t="s">
        <v>1530</v>
      </c>
    </row>
    <row r="216" spans="1:14" x14ac:dyDescent="0.25">
      <c r="A216" s="13">
        <v>2024</v>
      </c>
      <c r="B216" t="s">
        <v>1934</v>
      </c>
      <c r="C216" t="s">
        <v>1498</v>
      </c>
      <c r="D216" t="s">
        <v>33</v>
      </c>
      <c r="E216" s="40" t="s">
        <v>1795</v>
      </c>
      <c r="F216" s="20">
        <v>45384</v>
      </c>
      <c r="G216" t="s">
        <v>116</v>
      </c>
      <c r="H216" s="45">
        <v>1089216</v>
      </c>
      <c r="I216" t="s">
        <v>322</v>
      </c>
      <c r="J216" t="s">
        <v>321</v>
      </c>
      <c r="K216" t="s">
        <v>1424</v>
      </c>
      <c r="L216">
        <v>0</v>
      </c>
      <c r="M216" t="s">
        <v>1432</v>
      </c>
      <c r="N216" t="s">
        <v>1530</v>
      </c>
    </row>
    <row r="217" spans="1:14" x14ac:dyDescent="0.25">
      <c r="A217" s="13">
        <v>2024</v>
      </c>
      <c r="B217" t="s">
        <v>1943</v>
      </c>
      <c r="C217" t="s">
        <v>1513</v>
      </c>
      <c r="D217" t="s">
        <v>33</v>
      </c>
      <c r="E217" s="40" t="s">
        <v>1795</v>
      </c>
      <c r="F217" s="20">
        <v>45411</v>
      </c>
      <c r="G217" t="s">
        <v>53</v>
      </c>
      <c r="H217" s="45">
        <v>1089864</v>
      </c>
      <c r="I217" t="s">
        <v>342</v>
      </c>
      <c r="J217" t="s">
        <v>78</v>
      </c>
      <c r="K217" t="s">
        <v>1419</v>
      </c>
      <c r="L217" t="s">
        <v>1420</v>
      </c>
      <c r="M217" t="s">
        <v>1430</v>
      </c>
      <c r="N217" t="s">
        <v>1530</v>
      </c>
    </row>
    <row r="218" spans="1:14" x14ac:dyDescent="0.25">
      <c r="A218" s="13">
        <v>2024</v>
      </c>
      <c r="B218" t="s">
        <v>1944</v>
      </c>
      <c r="C218" t="s">
        <v>1491</v>
      </c>
      <c r="D218" t="s">
        <v>41</v>
      </c>
      <c r="E218" s="40" t="s">
        <v>1795</v>
      </c>
      <c r="F218" s="20">
        <v>45413</v>
      </c>
      <c r="G218" t="s">
        <v>11</v>
      </c>
      <c r="H218" s="45">
        <v>1089912</v>
      </c>
      <c r="I218" t="s">
        <v>347</v>
      </c>
      <c r="J218" t="s">
        <v>348</v>
      </c>
      <c r="K218" t="s">
        <v>1424</v>
      </c>
      <c r="L218">
        <v>0</v>
      </c>
      <c r="M218" t="s">
        <v>1432</v>
      </c>
      <c r="N218" t="s">
        <v>1530</v>
      </c>
    </row>
    <row r="219" spans="1:14" x14ac:dyDescent="0.25">
      <c r="A219" s="13">
        <v>2024</v>
      </c>
      <c r="B219" t="s">
        <v>1948</v>
      </c>
      <c r="C219" t="s">
        <v>1492</v>
      </c>
      <c r="D219" t="s">
        <v>41</v>
      </c>
      <c r="E219" s="40" t="s">
        <v>1795</v>
      </c>
      <c r="F219" s="20">
        <v>45418</v>
      </c>
      <c r="G219" t="s">
        <v>155</v>
      </c>
      <c r="H219" s="45">
        <v>1090032</v>
      </c>
      <c r="I219" t="s">
        <v>364</v>
      </c>
      <c r="J219" t="s">
        <v>365</v>
      </c>
      <c r="K219" t="s">
        <v>1419</v>
      </c>
      <c r="L219" t="s">
        <v>1426</v>
      </c>
      <c r="M219" t="s">
        <v>1430</v>
      </c>
      <c r="N219" t="s">
        <v>1530</v>
      </c>
    </row>
    <row r="220" spans="1:14" x14ac:dyDescent="0.25">
      <c r="A220" s="13">
        <v>2024</v>
      </c>
      <c r="B220" t="s">
        <v>1953</v>
      </c>
      <c r="C220" t="s">
        <v>1501</v>
      </c>
      <c r="D220" t="s">
        <v>41</v>
      </c>
      <c r="E220" s="40" t="s">
        <v>1795</v>
      </c>
      <c r="F220" s="20">
        <v>45429</v>
      </c>
      <c r="G220" t="s">
        <v>5</v>
      </c>
      <c r="H220" s="45">
        <v>1090296</v>
      </c>
      <c r="I220" t="s">
        <v>404</v>
      </c>
      <c r="J220" t="s">
        <v>405</v>
      </c>
      <c r="K220" t="s">
        <v>1424</v>
      </c>
      <c r="L220">
        <v>0</v>
      </c>
      <c r="M220" t="s">
        <v>1432</v>
      </c>
      <c r="N220" t="s">
        <v>1530</v>
      </c>
    </row>
    <row r="221" spans="1:14" x14ac:dyDescent="0.25">
      <c r="A221" s="13">
        <v>2024</v>
      </c>
      <c r="B221" t="s">
        <v>1953</v>
      </c>
      <c r="C221" t="s">
        <v>1501</v>
      </c>
      <c r="D221" t="s">
        <v>41</v>
      </c>
      <c r="E221" s="40" t="s">
        <v>1795</v>
      </c>
      <c r="F221" s="20">
        <v>45429</v>
      </c>
      <c r="G221" t="s">
        <v>155</v>
      </c>
      <c r="H221" s="45">
        <v>1090296</v>
      </c>
      <c r="I221" t="s">
        <v>412</v>
      </c>
      <c r="J221" t="s">
        <v>413</v>
      </c>
      <c r="K221" t="s">
        <v>1419</v>
      </c>
      <c r="L221" t="s">
        <v>1422</v>
      </c>
      <c r="M221" t="s">
        <v>1430</v>
      </c>
      <c r="N221" t="s">
        <v>1530</v>
      </c>
    </row>
    <row r="222" spans="1:14" x14ac:dyDescent="0.25">
      <c r="A222" s="13">
        <v>2024</v>
      </c>
      <c r="B222" t="s">
        <v>1955</v>
      </c>
      <c r="C222" t="s">
        <v>1503</v>
      </c>
      <c r="D222" t="s">
        <v>41</v>
      </c>
      <c r="E222" s="40" t="s">
        <v>1795</v>
      </c>
      <c r="F222" s="20">
        <v>45434</v>
      </c>
      <c r="G222" t="s">
        <v>423</v>
      </c>
      <c r="H222" s="45">
        <v>1090416</v>
      </c>
      <c r="I222" t="s">
        <v>424</v>
      </c>
      <c r="J222" t="s">
        <v>425</v>
      </c>
      <c r="K222" t="s">
        <v>1425</v>
      </c>
      <c r="L222">
        <v>0</v>
      </c>
      <c r="M222" t="s">
        <v>1430</v>
      </c>
      <c r="N222" t="s">
        <v>1530</v>
      </c>
    </row>
    <row r="223" spans="1:14" x14ac:dyDescent="0.25">
      <c r="A223" s="13">
        <v>2024</v>
      </c>
      <c r="B223" t="s">
        <v>1958</v>
      </c>
      <c r="C223" t="s">
        <v>1505</v>
      </c>
      <c r="D223" t="s">
        <v>41</v>
      </c>
      <c r="E223" s="40" t="s">
        <v>1795</v>
      </c>
      <c r="F223" s="20">
        <v>45443</v>
      </c>
      <c r="G223" t="s">
        <v>436</v>
      </c>
      <c r="H223" s="45">
        <v>1090632</v>
      </c>
      <c r="I223" t="s">
        <v>437</v>
      </c>
      <c r="J223" t="s">
        <v>438</v>
      </c>
      <c r="K223" t="s">
        <v>1418</v>
      </c>
      <c r="L223">
        <v>0</v>
      </c>
      <c r="M223" t="s">
        <v>1431</v>
      </c>
      <c r="N223" t="s">
        <v>1530</v>
      </c>
    </row>
    <row r="224" spans="1:14" x14ac:dyDescent="0.25">
      <c r="A224" s="13">
        <v>2024</v>
      </c>
      <c r="B224" t="s">
        <v>1962</v>
      </c>
      <c r="C224" t="s">
        <v>1496</v>
      </c>
      <c r="D224" t="s">
        <v>65</v>
      </c>
      <c r="E224" s="40" t="s">
        <v>1795</v>
      </c>
      <c r="F224" s="20">
        <v>45456</v>
      </c>
      <c r="G224" t="s">
        <v>104</v>
      </c>
      <c r="H224" s="45">
        <v>1090944</v>
      </c>
      <c r="I224" t="s">
        <v>449</v>
      </c>
      <c r="J224" t="s">
        <v>450</v>
      </c>
      <c r="K224" t="s">
        <v>1418</v>
      </c>
      <c r="L224">
        <v>0</v>
      </c>
      <c r="M224" t="s">
        <v>1431</v>
      </c>
      <c r="N224" t="s">
        <v>1530</v>
      </c>
    </row>
    <row r="225" spans="1:14" x14ac:dyDescent="0.25">
      <c r="A225" s="13">
        <v>2024</v>
      </c>
      <c r="B225" t="s">
        <v>1964</v>
      </c>
      <c r="C225" t="s">
        <v>1497</v>
      </c>
      <c r="D225" t="s">
        <v>65</v>
      </c>
      <c r="E225" s="40" t="s">
        <v>1795</v>
      </c>
      <c r="F225" s="20">
        <v>45458</v>
      </c>
      <c r="G225" t="s">
        <v>93</v>
      </c>
      <c r="H225" s="45">
        <v>1090992</v>
      </c>
      <c r="I225" t="s">
        <v>460</v>
      </c>
      <c r="J225" t="s">
        <v>1966</v>
      </c>
      <c r="K225" t="s">
        <v>1419</v>
      </c>
      <c r="L225" t="s">
        <v>1423</v>
      </c>
      <c r="M225" t="s">
        <v>1430</v>
      </c>
      <c r="N225" t="s">
        <v>1530</v>
      </c>
    </row>
    <row r="226" spans="1:14" x14ac:dyDescent="0.25">
      <c r="A226" s="13">
        <v>2024</v>
      </c>
      <c r="B226" t="s">
        <v>1969</v>
      </c>
      <c r="C226" t="s">
        <v>1507</v>
      </c>
      <c r="D226" t="s">
        <v>65</v>
      </c>
      <c r="E226" s="40" t="s">
        <v>1795</v>
      </c>
      <c r="F226" s="20">
        <v>45461</v>
      </c>
      <c r="G226" t="s">
        <v>423</v>
      </c>
      <c r="H226" s="45">
        <v>1091064</v>
      </c>
      <c r="I226" t="s">
        <v>467</v>
      </c>
      <c r="J226" t="s">
        <v>468</v>
      </c>
      <c r="K226" t="s">
        <v>1418</v>
      </c>
      <c r="L226">
        <v>0</v>
      </c>
      <c r="M226" t="s">
        <v>1430</v>
      </c>
      <c r="N226" t="s">
        <v>1530</v>
      </c>
    </row>
    <row r="227" spans="1:14" x14ac:dyDescent="0.25">
      <c r="A227" s="13">
        <v>2024</v>
      </c>
      <c r="B227" t="s">
        <v>1970</v>
      </c>
      <c r="C227" t="s">
        <v>1487</v>
      </c>
      <c r="D227" t="s">
        <v>65</v>
      </c>
      <c r="E227" s="40" t="s">
        <v>1795</v>
      </c>
      <c r="F227" s="20">
        <v>45462</v>
      </c>
      <c r="G227" t="s">
        <v>473</v>
      </c>
      <c r="H227" s="45">
        <v>1091088</v>
      </c>
      <c r="I227" t="s">
        <v>474</v>
      </c>
      <c r="J227" t="s">
        <v>475</v>
      </c>
      <c r="K227" t="s">
        <v>1424</v>
      </c>
      <c r="L227">
        <v>0</v>
      </c>
      <c r="M227" t="s">
        <v>1432</v>
      </c>
      <c r="N227" t="s">
        <v>1530</v>
      </c>
    </row>
    <row r="228" spans="1:14" x14ac:dyDescent="0.25">
      <c r="A228" s="13">
        <v>2024</v>
      </c>
      <c r="B228" t="s">
        <v>1977</v>
      </c>
      <c r="C228" t="s">
        <v>1513</v>
      </c>
      <c r="D228" t="s">
        <v>65</v>
      </c>
      <c r="E228" s="40" t="s">
        <v>1795</v>
      </c>
      <c r="F228" s="20">
        <v>45472</v>
      </c>
      <c r="G228" t="s">
        <v>294</v>
      </c>
      <c r="H228" s="45">
        <v>1091328</v>
      </c>
      <c r="I228" t="s">
        <v>494</v>
      </c>
      <c r="J228" t="s">
        <v>495</v>
      </c>
      <c r="K228" t="s">
        <v>1419</v>
      </c>
      <c r="L228" t="s">
        <v>1426</v>
      </c>
      <c r="M228" t="s">
        <v>1430</v>
      </c>
      <c r="N228" t="s">
        <v>1530</v>
      </c>
    </row>
    <row r="229" spans="1:14" x14ac:dyDescent="0.25">
      <c r="A229" s="13">
        <v>2024</v>
      </c>
      <c r="B229" t="s">
        <v>1978</v>
      </c>
      <c r="C229" t="s">
        <v>1499</v>
      </c>
      <c r="D229" t="s">
        <v>70</v>
      </c>
      <c r="E229" s="40" t="s">
        <v>1795</v>
      </c>
      <c r="F229" s="20">
        <v>45476</v>
      </c>
      <c r="G229" t="s">
        <v>499</v>
      </c>
      <c r="H229" s="45">
        <v>1091424</v>
      </c>
      <c r="I229" t="s">
        <v>500</v>
      </c>
      <c r="J229" t="s">
        <v>501</v>
      </c>
      <c r="K229" t="s">
        <v>1419</v>
      </c>
      <c r="L229" t="s">
        <v>1426</v>
      </c>
      <c r="M229" t="s">
        <v>1430</v>
      </c>
      <c r="N229" t="s">
        <v>1530</v>
      </c>
    </row>
    <row r="230" spans="1:14" x14ac:dyDescent="0.25">
      <c r="A230" s="13">
        <v>2024</v>
      </c>
      <c r="B230" t="s">
        <v>1985</v>
      </c>
      <c r="C230" t="s">
        <v>1502</v>
      </c>
      <c r="D230" t="s">
        <v>70</v>
      </c>
      <c r="E230" s="40" t="s">
        <v>1795</v>
      </c>
      <c r="F230" s="20">
        <v>45483</v>
      </c>
      <c r="G230" t="s">
        <v>516</v>
      </c>
      <c r="H230" s="45">
        <v>1091592</v>
      </c>
      <c r="I230" t="s">
        <v>517</v>
      </c>
      <c r="J230" t="s">
        <v>518</v>
      </c>
      <c r="K230" t="s">
        <v>1424</v>
      </c>
      <c r="L230">
        <v>0</v>
      </c>
      <c r="M230" t="s">
        <v>1432</v>
      </c>
      <c r="N230" t="s">
        <v>1530</v>
      </c>
    </row>
    <row r="231" spans="1:14" x14ac:dyDescent="0.25">
      <c r="A231" s="13">
        <v>2024</v>
      </c>
      <c r="B231" t="s">
        <v>1988</v>
      </c>
      <c r="C231" t="s">
        <v>1501</v>
      </c>
      <c r="D231" t="s">
        <v>70</v>
      </c>
      <c r="E231" s="40" t="s">
        <v>1795</v>
      </c>
      <c r="F231" s="20">
        <v>45490</v>
      </c>
      <c r="G231" t="s">
        <v>294</v>
      </c>
      <c r="H231" s="45">
        <v>1091760</v>
      </c>
      <c r="I231" t="s">
        <v>531</v>
      </c>
      <c r="J231" t="s">
        <v>532</v>
      </c>
      <c r="K231" t="s">
        <v>1424</v>
      </c>
      <c r="L231">
        <v>0</v>
      </c>
      <c r="M231" t="s">
        <v>1432</v>
      </c>
      <c r="N231" t="s">
        <v>1530</v>
      </c>
    </row>
    <row r="232" spans="1:14" x14ac:dyDescent="0.25">
      <c r="A232" s="13">
        <v>2024</v>
      </c>
      <c r="B232" t="s">
        <v>1989</v>
      </c>
      <c r="C232" t="s">
        <v>1507</v>
      </c>
      <c r="D232" t="s">
        <v>70</v>
      </c>
      <c r="E232" s="40" t="s">
        <v>1795</v>
      </c>
      <c r="F232" s="20">
        <v>45491</v>
      </c>
      <c r="G232" t="s">
        <v>155</v>
      </c>
      <c r="H232" s="45">
        <v>1091784</v>
      </c>
      <c r="I232" t="s">
        <v>534</v>
      </c>
      <c r="J232" t="s">
        <v>535</v>
      </c>
      <c r="K232" t="s">
        <v>1419</v>
      </c>
      <c r="L232" t="s">
        <v>1423</v>
      </c>
      <c r="M232" t="s">
        <v>1430</v>
      </c>
      <c r="N232" t="s">
        <v>1530</v>
      </c>
    </row>
    <row r="233" spans="1:14" x14ac:dyDescent="0.25">
      <c r="A233" s="13">
        <v>2024</v>
      </c>
      <c r="B233" t="s">
        <v>1992</v>
      </c>
      <c r="C233" t="s">
        <v>1503</v>
      </c>
      <c r="D233" t="s">
        <v>70</v>
      </c>
      <c r="E233" s="40" t="s">
        <v>1795</v>
      </c>
      <c r="F233" s="20">
        <v>45495</v>
      </c>
      <c r="G233" t="s">
        <v>5</v>
      </c>
      <c r="H233" s="45">
        <v>1091880</v>
      </c>
      <c r="I233" t="s">
        <v>548</v>
      </c>
      <c r="J233" t="s">
        <v>56</v>
      </c>
      <c r="K233" t="s">
        <v>1424</v>
      </c>
      <c r="L233">
        <v>0</v>
      </c>
      <c r="M233" t="s">
        <v>1432</v>
      </c>
      <c r="N233" t="s">
        <v>1530</v>
      </c>
    </row>
    <row r="234" spans="1:14" x14ac:dyDescent="0.25">
      <c r="A234" s="13">
        <v>2024</v>
      </c>
      <c r="B234" t="s">
        <v>1995</v>
      </c>
      <c r="C234" t="s">
        <v>1483</v>
      </c>
      <c r="D234" t="s">
        <v>70</v>
      </c>
      <c r="E234" s="40" t="s">
        <v>1795</v>
      </c>
      <c r="F234" s="20">
        <v>45499</v>
      </c>
      <c r="G234" t="s">
        <v>387</v>
      </c>
      <c r="H234" s="45">
        <v>1091976</v>
      </c>
      <c r="I234" t="s">
        <v>565</v>
      </c>
      <c r="J234" t="s">
        <v>101</v>
      </c>
      <c r="K234" t="s">
        <v>1419</v>
      </c>
      <c r="L234" t="s">
        <v>1420</v>
      </c>
      <c r="M234" t="s">
        <v>1430</v>
      </c>
      <c r="N234" t="s">
        <v>1530</v>
      </c>
    </row>
    <row r="235" spans="1:14" x14ac:dyDescent="0.25">
      <c r="A235" s="13">
        <v>2024</v>
      </c>
      <c r="B235" t="s">
        <v>1997</v>
      </c>
      <c r="C235" t="s">
        <v>1513</v>
      </c>
      <c r="D235" t="s">
        <v>70</v>
      </c>
      <c r="E235" s="40" t="s">
        <v>1795</v>
      </c>
      <c r="F235" s="20">
        <v>45502</v>
      </c>
      <c r="G235" t="s">
        <v>576</v>
      </c>
      <c r="H235" s="45">
        <v>1092048</v>
      </c>
      <c r="I235" t="s">
        <v>575</v>
      </c>
      <c r="J235" t="s">
        <v>574</v>
      </c>
      <c r="K235" t="s">
        <v>1419</v>
      </c>
      <c r="L235" t="s">
        <v>1427</v>
      </c>
      <c r="M235" t="s">
        <v>1430</v>
      </c>
      <c r="N235" t="s">
        <v>1530</v>
      </c>
    </row>
    <row r="236" spans="1:14" x14ac:dyDescent="0.25">
      <c r="A236" s="13">
        <v>2024</v>
      </c>
      <c r="B236" t="s">
        <v>1997</v>
      </c>
      <c r="C236" t="s">
        <v>1513</v>
      </c>
      <c r="D236" t="s">
        <v>70</v>
      </c>
      <c r="E236" s="40" t="s">
        <v>1795</v>
      </c>
      <c r="F236" s="20">
        <v>45502</v>
      </c>
      <c r="G236" t="s">
        <v>577</v>
      </c>
      <c r="H236" s="45">
        <v>1092048</v>
      </c>
      <c r="I236" t="s">
        <v>578</v>
      </c>
      <c r="J236" t="s">
        <v>579</v>
      </c>
      <c r="K236" t="s">
        <v>1419</v>
      </c>
      <c r="L236" t="s">
        <v>1427</v>
      </c>
      <c r="M236" t="s">
        <v>1430</v>
      </c>
      <c r="N236" t="s">
        <v>1530</v>
      </c>
    </row>
    <row r="237" spans="1:14" x14ac:dyDescent="0.25">
      <c r="A237" s="13">
        <v>2024</v>
      </c>
      <c r="B237" t="s">
        <v>1999</v>
      </c>
      <c r="C237" t="s">
        <v>1498</v>
      </c>
      <c r="D237" t="s">
        <v>82</v>
      </c>
      <c r="E237" s="40" t="s">
        <v>1795</v>
      </c>
      <c r="F237" s="20">
        <v>45506</v>
      </c>
      <c r="G237" t="s">
        <v>600</v>
      </c>
      <c r="H237" s="45">
        <v>1092144</v>
      </c>
      <c r="I237" t="s">
        <v>601</v>
      </c>
      <c r="J237" t="s">
        <v>523</v>
      </c>
      <c r="K237" t="s">
        <v>1424</v>
      </c>
      <c r="L237">
        <v>0</v>
      </c>
      <c r="M237" t="s">
        <v>1432</v>
      </c>
      <c r="N237" t="s">
        <v>1530</v>
      </c>
    </row>
    <row r="238" spans="1:14" x14ac:dyDescent="0.25">
      <c r="A238" s="13">
        <v>2024</v>
      </c>
      <c r="B238" t="s">
        <v>2004</v>
      </c>
      <c r="C238" t="s">
        <v>1487</v>
      </c>
      <c r="D238" t="s">
        <v>82</v>
      </c>
      <c r="E238" s="40" t="s">
        <v>1795</v>
      </c>
      <c r="F238" s="20">
        <v>45523</v>
      </c>
      <c r="G238" t="s">
        <v>618</v>
      </c>
      <c r="H238" s="45">
        <v>1092552</v>
      </c>
      <c r="I238" t="s">
        <v>617</v>
      </c>
      <c r="J238" t="s">
        <v>615</v>
      </c>
      <c r="K238" t="s">
        <v>1419</v>
      </c>
      <c r="L238" t="s">
        <v>1426</v>
      </c>
      <c r="M238" t="s">
        <v>1430</v>
      </c>
      <c r="N238" t="s">
        <v>1530</v>
      </c>
    </row>
    <row r="239" spans="1:14" x14ac:dyDescent="0.25">
      <c r="A239" s="13">
        <v>2024</v>
      </c>
      <c r="B239" t="s">
        <v>2004</v>
      </c>
      <c r="C239" t="s">
        <v>1487</v>
      </c>
      <c r="D239" t="s">
        <v>82</v>
      </c>
      <c r="E239" s="40" t="s">
        <v>1795</v>
      </c>
      <c r="F239" s="20">
        <v>45523</v>
      </c>
      <c r="G239" t="s">
        <v>74</v>
      </c>
      <c r="H239" s="45">
        <v>1092552</v>
      </c>
      <c r="I239" t="s">
        <v>620</v>
      </c>
      <c r="J239" t="s">
        <v>621</v>
      </c>
      <c r="K239" t="s">
        <v>1424</v>
      </c>
      <c r="L239">
        <v>0</v>
      </c>
      <c r="M239" t="s">
        <v>1432</v>
      </c>
      <c r="N239" t="s">
        <v>1530</v>
      </c>
    </row>
    <row r="240" spans="1:14" x14ac:dyDescent="0.25">
      <c r="A240" s="13">
        <v>2024</v>
      </c>
      <c r="B240" t="s">
        <v>2010</v>
      </c>
      <c r="C240" t="s">
        <v>1492</v>
      </c>
      <c r="D240" t="s">
        <v>90</v>
      </c>
      <c r="E240" s="40" t="s">
        <v>1795</v>
      </c>
      <c r="F240" s="20">
        <v>45541</v>
      </c>
      <c r="G240" t="s">
        <v>104</v>
      </c>
      <c r="H240" s="45">
        <v>1092984</v>
      </c>
      <c r="I240" t="s">
        <v>647</v>
      </c>
      <c r="J240" t="s">
        <v>648</v>
      </c>
      <c r="K240" t="s">
        <v>1418</v>
      </c>
      <c r="L240">
        <v>0</v>
      </c>
      <c r="M240" t="s">
        <v>1430</v>
      </c>
      <c r="N240" t="s">
        <v>1530</v>
      </c>
    </row>
    <row r="241" spans="1:14" x14ac:dyDescent="0.25">
      <c r="A241" s="13">
        <v>2024</v>
      </c>
      <c r="B241" t="s">
        <v>2011</v>
      </c>
      <c r="C241" t="s">
        <v>1486</v>
      </c>
      <c r="D241" t="s">
        <v>90</v>
      </c>
      <c r="E241" s="40" t="s">
        <v>1795</v>
      </c>
      <c r="F241" s="20">
        <v>45542</v>
      </c>
      <c r="G241" t="s">
        <v>6</v>
      </c>
      <c r="H241" s="45">
        <v>1093008</v>
      </c>
      <c r="I241" t="s">
        <v>650</v>
      </c>
      <c r="J241" t="s">
        <v>87</v>
      </c>
      <c r="K241" t="s">
        <v>1424</v>
      </c>
      <c r="L241">
        <v>0</v>
      </c>
      <c r="M241" t="s">
        <v>1432</v>
      </c>
      <c r="N241" t="s">
        <v>1530</v>
      </c>
    </row>
    <row r="242" spans="1:14" x14ac:dyDescent="0.25">
      <c r="A242" s="13">
        <v>2024</v>
      </c>
      <c r="B242" t="s">
        <v>2033</v>
      </c>
      <c r="C242" t="s">
        <v>1502</v>
      </c>
      <c r="D242" t="s">
        <v>94</v>
      </c>
      <c r="E242" s="40" t="s">
        <v>1795</v>
      </c>
      <c r="F242" s="20">
        <v>45575</v>
      </c>
      <c r="G242" t="s">
        <v>389</v>
      </c>
      <c r="H242" s="45">
        <v>1093800</v>
      </c>
      <c r="I242" t="s">
        <v>716</v>
      </c>
      <c r="J242" t="s">
        <v>2034</v>
      </c>
      <c r="K242" t="s">
        <v>1419</v>
      </c>
      <c r="L242" t="s">
        <v>1423</v>
      </c>
      <c r="M242" t="s">
        <v>1430</v>
      </c>
      <c r="N242" t="s">
        <v>1530</v>
      </c>
    </row>
    <row r="243" spans="1:14" x14ac:dyDescent="0.25">
      <c r="A243" s="13">
        <v>2024</v>
      </c>
      <c r="B243" t="s">
        <v>2043</v>
      </c>
      <c r="C243" t="s">
        <v>1494</v>
      </c>
      <c r="D243" t="s">
        <v>1411</v>
      </c>
      <c r="E243" s="40" t="s">
        <v>1795</v>
      </c>
      <c r="F243" s="20">
        <v>45605</v>
      </c>
      <c r="G243" t="s">
        <v>45</v>
      </c>
      <c r="H243" s="45">
        <v>1094520</v>
      </c>
      <c r="I243" t="s">
        <v>763</v>
      </c>
      <c r="J243" t="s">
        <v>766</v>
      </c>
      <c r="K243" t="s">
        <v>1424</v>
      </c>
      <c r="L243">
        <v>0</v>
      </c>
      <c r="M243" t="s">
        <v>1432</v>
      </c>
      <c r="N243" t="s">
        <v>1530</v>
      </c>
    </row>
    <row r="244" spans="1:14" x14ac:dyDescent="0.25">
      <c r="A244" s="13">
        <v>2024</v>
      </c>
      <c r="B244" t="s">
        <v>2045</v>
      </c>
      <c r="C244" t="s">
        <v>1495</v>
      </c>
      <c r="D244" t="s">
        <v>1411</v>
      </c>
      <c r="E244" s="40" t="s">
        <v>1795</v>
      </c>
      <c r="F244" s="20">
        <v>45607</v>
      </c>
      <c r="G244" t="s">
        <v>769</v>
      </c>
      <c r="H244" s="45">
        <v>1094568</v>
      </c>
      <c r="I244" t="s">
        <v>770</v>
      </c>
      <c r="J244" t="s">
        <v>771</v>
      </c>
      <c r="K244" t="s">
        <v>1419</v>
      </c>
      <c r="L244" t="s">
        <v>1420</v>
      </c>
      <c r="M244" t="s">
        <v>1430</v>
      </c>
      <c r="N244" t="s">
        <v>1530</v>
      </c>
    </row>
    <row r="245" spans="1:14" x14ac:dyDescent="0.25">
      <c r="A245" s="13">
        <v>2024</v>
      </c>
      <c r="B245" t="s">
        <v>2048</v>
      </c>
      <c r="C245" t="s">
        <v>1478</v>
      </c>
      <c r="D245" t="s">
        <v>1411</v>
      </c>
      <c r="E245" s="40" t="s">
        <v>1795</v>
      </c>
      <c r="F245" s="20">
        <v>45612</v>
      </c>
      <c r="G245" t="s">
        <v>92</v>
      </c>
      <c r="H245" s="45">
        <v>1094688</v>
      </c>
      <c r="I245" t="s">
        <v>775</v>
      </c>
      <c r="J245" t="s">
        <v>776</v>
      </c>
      <c r="K245" t="s">
        <v>1419</v>
      </c>
      <c r="L245" t="s">
        <v>1426</v>
      </c>
      <c r="M245" t="s">
        <v>1430</v>
      </c>
      <c r="N245" t="s">
        <v>1530</v>
      </c>
    </row>
    <row r="246" spans="1:14" x14ac:dyDescent="0.25">
      <c r="A246" s="13">
        <v>2024</v>
      </c>
      <c r="B246" t="s">
        <v>2051</v>
      </c>
      <c r="C246" t="s">
        <v>1499</v>
      </c>
      <c r="D246" t="s">
        <v>1412</v>
      </c>
      <c r="E246" s="40" t="s">
        <v>1795</v>
      </c>
      <c r="F246" s="20">
        <v>45629</v>
      </c>
      <c r="G246" t="s">
        <v>15</v>
      </c>
      <c r="H246" s="45">
        <v>1095096</v>
      </c>
      <c r="I246" t="s">
        <v>798</v>
      </c>
      <c r="J246" t="s">
        <v>799</v>
      </c>
      <c r="K246" t="s">
        <v>1419</v>
      </c>
      <c r="L246" t="s">
        <v>1429</v>
      </c>
      <c r="M246" t="s">
        <v>1430</v>
      </c>
      <c r="N246" t="s">
        <v>1530</v>
      </c>
    </row>
    <row r="247" spans="1:14" x14ac:dyDescent="0.25">
      <c r="A247" s="13">
        <v>2024</v>
      </c>
      <c r="B247" t="s">
        <v>2052</v>
      </c>
      <c r="C247" t="s">
        <v>1486</v>
      </c>
      <c r="D247" t="s">
        <v>1412</v>
      </c>
      <c r="E247" s="40" t="s">
        <v>1795</v>
      </c>
      <c r="F247" s="20">
        <v>45633</v>
      </c>
      <c r="G247" t="s">
        <v>45</v>
      </c>
      <c r="H247" s="45">
        <v>1095192</v>
      </c>
      <c r="I247" t="s">
        <v>801</v>
      </c>
      <c r="J247" t="s">
        <v>800</v>
      </c>
      <c r="K247" t="s">
        <v>1419</v>
      </c>
      <c r="L247" t="s">
        <v>1426</v>
      </c>
      <c r="M247" t="s">
        <v>1430</v>
      </c>
      <c r="N247" t="s">
        <v>1530</v>
      </c>
    </row>
    <row r="248" spans="1:14" x14ac:dyDescent="0.25">
      <c r="A248" s="13">
        <v>2024</v>
      </c>
      <c r="B248" t="s">
        <v>2058</v>
      </c>
      <c r="C248" t="s">
        <v>1480</v>
      </c>
      <c r="D248" t="s">
        <v>1412</v>
      </c>
      <c r="E248" s="40" t="s">
        <v>1795</v>
      </c>
      <c r="F248" s="20">
        <v>45646</v>
      </c>
      <c r="G248" t="s">
        <v>98</v>
      </c>
      <c r="H248" s="45">
        <v>1095504</v>
      </c>
      <c r="I248" t="s">
        <v>823</v>
      </c>
      <c r="J248" t="s">
        <v>653</v>
      </c>
      <c r="K248" t="s">
        <v>1424</v>
      </c>
      <c r="L248">
        <v>0</v>
      </c>
      <c r="M248" t="s">
        <v>1432</v>
      </c>
      <c r="N248" t="s">
        <v>1530</v>
      </c>
    </row>
    <row r="249" spans="1:14" x14ac:dyDescent="0.25">
      <c r="A249" s="13">
        <v>2024</v>
      </c>
      <c r="B249" t="s">
        <v>2059</v>
      </c>
      <c r="C249" t="s">
        <v>1509</v>
      </c>
      <c r="D249" t="s">
        <v>1412</v>
      </c>
      <c r="E249" s="40" t="s">
        <v>1795</v>
      </c>
      <c r="F249" s="20">
        <v>45647</v>
      </c>
      <c r="G249" t="s">
        <v>66</v>
      </c>
      <c r="H249" s="45">
        <v>1095528</v>
      </c>
      <c r="I249" t="s">
        <v>825</v>
      </c>
      <c r="J249" t="s">
        <v>824</v>
      </c>
      <c r="K249" t="s">
        <v>1424</v>
      </c>
      <c r="L249">
        <v>0</v>
      </c>
      <c r="M249" t="s">
        <v>1430</v>
      </c>
      <c r="N249" t="s">
        <v>1530</v>
      </c>
    </row>
    <row r="250" spans="1:14" x14ac:dyDescent="0.25">
      <c r="A250" s="13">
        <v>2024</v>
      </c>
      <c r="B250" t="s">
        <v>2060</v>
      </c>
      <c r="C250" t="s">
        <v>1488</v>
      </c>
      <c r="D250" t="s">
        <v>1412</v>
      </c>
      <c r="E250" s="40" t="s">
        <v>1795</v>
      </c>
      <c r="F250" s="20">
        <v>45649</v>
      </c>
      <c r="G250" t="s">
        <v>589</v>
      </c>
      <c r="H250" s="45">
        <v>1095576</v>
      </c>
      <c r="I250" t="s">
        <v>828</v>
      </c>
      <c r="J250" t="s">
        <v>829</v>
      </c>
      <c r="K250" t="s">
        <v>1425</v>
      </c>
      <c r="L250">
        <v>0</v>
      </c>
      <c r="M250" t="s">
        <v>1431</v>
      </c>
      <c r="N250" t="s">
        <v>1530</v>
      </c>
    </row>
    <row r="251" spans="1:14" x14ac:dyDescent="0.25">
      <c r="A251" s="13">
        <v>2025</v>
      </c>
      <c r="B251" t="s">
        <v>2095</v>
      </c>
      <c r="C251" t="s">
        <v>1483</v>
      </c>
      <c r="D251" t="s">
        <v>25</v>
      </c>
      <c r="E251" s="40">
        <v>45683</v>
      </c>
      <c r="F251" s="20">
        <v>45683</v>
      </c>
      <c r="G251" t="s">
        <v>854</v>
      </c>
      <c r="H251" s="45">
        <v>0</v>
      </c>
      <c r="I251" t="s">
        <v>855</v>
      </c>
      <c r="J251" t="s">
        <v>2096</v>
      </c>
      <c r="K251" t="s">
        <v>1424</v>
      </c>
      <c r="L251">
        <v>0</v>
      </c>
      <c r="M251" t="s">
        <v>1430</v>
      </c>
      <c r="N251" t="s">
        <v>1532</v>
      </c>
    </row>
    <row r="252" spans="1:14" x14ac:dyDescent="0.25">
      <c r="A252" s="13">
        <v>2025</v>
      </c>
      <c r="B252" t="s">
        <v>2125</v>
      </c>
      <c r="C252" t="s">
        <v>1508</v>
      </c>
      <c r="D252" t="s">
        <v>41</v>
      </c>
      <c r="E252" s="40">
        <v>45807</v>
      </c>
      <c r="F252" s="20">
        <v>45807</v>
      </c>
      <c r="G252" t="s">
        <v>1037</v>
      </c>
      <c r="H252" s="45">
        <v>0</v>
      </c>
      <c r="I252" t="s">
        <v>1038</v>
      </c>
      <c r="J252" t="s">
        <v>2137</v>
      </c>
      <c r="K252" t="s">
        <v>1419</v>
      </c>
      <c r="L252" t="s">
        <v>1427</v>
      </c>
      <c r="M252" t="s">
        <v>1430</v>
      </c>
      <c r="N252" t="s">
        <v>1532</v>
      </c>
    </row>
    <row r="253" spans="1:14" x14ac:dyDescent="0.25">
      <c r="A253" s="13">
        <v>2025</v>
      </c>
      <c r="B253" t="s">
        <v>2139</v>
      </c>
      <c r="C253" t="s">
        <v>1491</v>
      </c>
      <c r="D253" t="s">
        <v>65</v>
      </c>
      <c r="E253" s="40">
        <v>45809</v>
      </c>
      <c r="F253" s="20">
        <v>45809</v>
      </c>
      <c r="G253" t="s">
        <v>1041</v>
      </c>
      <c r="H253" s="45">
        <v>0</v>
      </c>
      <c r="I253" t="s">
        <v>1040</v>
      </c>
      <c r="J253" t="s">
        <v>103</v>
      </c>
      <c r="K253" t="s">
        <v>1419</v>
      </c>
      <c r="L253" t="s">
        <v>1427</v>
      </c>
      <c r="M253" t="s">
        <v>1430</v>
      </c>
      <c r="N253" t="s">
        <v>1532</v>
      </c>
    </row>
    <row r="254" spans="1:14" x14ac:dyDescent="0.25">
      <c r="A254" s="13">
        <v>2025</v>
      </c>
      <c r="B254" t="s">
        <v>2151</v>
      </c>
      <c r="C254" t="s">
        <v>1492</v>
      </c>
      <c r="D254" t="s">
        <v>70</v>
      </c>
      <c r="E254" s="40">
        <v>45844</v>
      </c>
      <c r="F254" s="20">
        <v>45844</v>
      </c>
      <c r="G254" t="s">
        <v>1102</v>
      </c>
      <c r="H254" s="45">
        <v>0</v>
      </c>
      <c r="I254" t="s">
        <v>1103</v>
      </c>
      <c r="J254" t="s">
        <v>1104</v>
      </c>
      <c r="K254" t="s">
        <v>1419</v>
      </c>
      <c r="L254" t="s">
        <v>1426</v>
      </c>
      <c r="M254" t="s">
        <v>1430</v>
      </c>
      <c r="N254" t="s">
        <v>1532</v>
      </c>
    </row>
    <row r="255" spans="1:14" x14ac:dyDescent="0.25">
      <c r="A255" s="13">
        <v>2025</v>
      </c>
      <c r="B255" t="s">
        <v>2138</v>
      </c>
      <c r="C255" t="s">
        <v>1491</v>
      </c>
      <c r="D255" t="s">
        <v>82</v>
      </c>
      <c r="E255" s="40">
        <v>45870</v>
      </c>
      <c r="F255" s="20">
        <v>45870</v>
      </c>
      <c r="G255" t="s">
        <v>39</v>
      </c>
      <c r="H255" s="45">
        <v>0</v>
      </c>
      <c r="I255" t="s">
        <v>1156</v>
      </c>
      <c r="J255" t="s">
        <v>2156</v>
      </c>
      <c r="K255" t="s">
        <v>1424</v>
      </c>
      <c r="L255">
        <v>0</v>
      </c>
      <c r="M255" t="s">
        <v>1432</v>
      </c>
      <c r="N255" t="s">
        <v>1532</v>
      </c>
    </row>
    <row r="256" spans="1:14" x14ac:dyDescent="0.25">
      <c r="A256" s="13">
        <v>2025</v>
      </c>
      <c r="B256" t="s">
        <v>2157</v>
      </c>
      <c r="C256" t="s">
        <v>1499</v>
      </c>
      <c r="D256" t="s">
        <v>82</v>
      </c>
      <c r="E256" s="40">
        <v>45872</v>
      </c>
      <c r="F256" s="20">
        <v>45872</v>
      </c>
      <c r="G256" t="s">
        <v>876</v>
      </c>
      <c r="H256" s="45">
        <v>0</v>
      </c>
      <c r="I256" t="s">
        <v>1162</v>
      </c>
      <c r="J256" t="s">
        <v>1161</v>
      </c>
      <c r="K256" t="s">
        <v>1419</v>
      </c>
      <c r="L256" t="s">
        <v>1420</v>
      </c>
      <c r="M256" t="s">
        <v>1430</v>
      </c>
      <c r="N256" t="s">
        <v>1532</v>
      </c>
    </row>
    <row r="257" spans="1:14" x14ac:dyDescent="0.25">
      <c r="A257" s="13">
        <v>2025</v>
      </c>
      <c r="B257" t="s">
        <v>2157</v>
      </c>
      <c r="C257" t="s">
        <v>1499</v>
      </c>
      <c r="D257" t="s">
        <v>82</v>
      </c>
      <c r="E257" s="40">
        <v>45872</v>
      </c>
      <c r="F257" s="20">
        <v>45872</v>
      </c>
      <c r="G257" t="s">
        <v>1199</v>
      </c>
      <c r="H257" s="45">
        <v>0</v>
      </c>
      <c r="I257" t="s">
        <v>1200</v>
      </c>
      <c r="J257" t="s">
        <v>1795</v>
      </c>
      <c r="K257">
        <v>0</v>
      </c>
      <c r="L257">
        <v>0</v>
      </c>
      <c r="M257">
        <v>0</v>
      </c>
      <c r="N257" t="s">
        <v>1532</v>
      </c>
    </row>
    <row r="258" spans="1:14" x14ac:dyDescent="0.25">
      <c r="A258" s="13">
        <v>2025</v>
      </c>
      <c r="B258" t="s">
        <v>2162</v>
      </c>
      <c r="C258" t="s">
        <v>1494</v>
      </c>
      <c r="D258" t="s">
        <v>82</v>
      </c>
      <c r="E258" s="40">
        <v>45878</v>
      </c>
      <c r="F258" s="20">
        <v>45878</v>
      </c>
      <c r="G258" t="s">
        <v>11</v>
      </c>
      <c r="H258" s="45">
        <v>0</v>
      </c>
      <c r="I258" t="s">
        <v>1177</v>
      </c>
      <c r="J258" t="s">
        <v>1178</v>
      </c>
      <c r="K258" t="s">
        <v>1424</v>
      </c>
      <c r="L258">
        <v>0</v>
      </c>
      <c r="M258" t="s">
        <v>1432</v>
      </c>
      <c r="N258" t="s">
        <v>1532</v>
      </c>
    </row>
    <row r="259" spans="1:14" x14ac:dyDescent="0.25">
      <c r="A259" s="13">
        <v>2025</v>
      </c>
      <c r="B259" t="s">
        <v>2170</v>
      </c>
      <c r="C259" t="s">
        <v>1489</v>
      </c>
      <c r="D259" t="s">
        <v>82</v>
      </c>
      <c r="E259" s="40">
        <v>45893</v>
      </c>
      <c r="F259" s="20">
        <v>45893</v>
      </c>
      <c r="G259" t="s">
        <v>837</v>
      </c>
      <c r="H259" s="45">
        <v>0</v>
      </c>
      <c r="I259" t="s">
        <v>1189</v>
      </c>
      <c r="J259" t="s">
        <v>1190</v>
      </c>
      <c r="K259" t="s">
        <v>1419</v>
      </c>
      <c r="L259" t="s">
        <v>1422</v>
      </c>
      <c r="M259" t="s">
        <v>1430</v>
      </c>
      <c r="N259" t="s">
        <v>1532</v>
      </c>
    </row>
    <row r="260" spans="1:14" x14ac:dyDescent="0.25">
      <c r="A260" s="13">
        <v>2025</v>
      </c>
      <c r="B260" t="s">
        <v>2171</v>
      </c>
      <c r="C260" t="s">
        <v>1504</v>
      </c>
      <c r="D260" t="s">
        <v>82</v>
      </c>
      <c r="E260" s="40">
        <v>45897</v>
      </c>
      <c r="F260" s="20">
        <v>45897</v>
      </c>
      <c r="G260" t="s">
        <v>1205</v>
      </c>
      <c r="H260" s="45">
        <v>0</v>
      </c>
      <c r="I260" t="s">
        <v>1206</v>
      </c>
      <c r="J260" t="s">
        <v>1212</v>
      </c>
      <c r="K260" t="s">
        <v>1424</v>
      </c>
      <c r="L260">
        <v>0</v>
      </c>
      <c r="M260" t="s">
        <v>1430</v>
      </c>
      <c r="N260" t="s">
        <v>1532</v>
      </c>
    </row>
    <row r="261" spans="1:14" x14ac:dyDescent="0.25">
      <c r="A261" s="13">
        <v>2025</v>
      </c>
      <c r="B261" t="s">
        <v>2097</v>
      </c>
      <c r="C261" t="s">
        <v>1490</v>
      </c>
      <c r="D261" t="s">
        <v>25</v>
      </c>
      <c r="E261" s="40">
        <v>45683</v>
      </c>
      <c r="F261" s="20">
        <v>45684</v>
      </c>
      <c r="G261" t="s">
        <v>92</v>
      </c>
      <c r="H261" s="45">
        <v>24</v>
      </c>
      <c r="I261" t="s">
        <v>858</v>
      </c>
      <c r="J261" t="s">
        <v>859</v>
      </c>
      <c r="K261" t="s">
        <v>1419</v>
      </c>
      <c r="L261" t="s">
        <v>1420</v>
      </c>
      <c r="M261" t="s">
        <v>1430</v>
      </c>
      <c r="N261" t="s">
        <v>1532</v>
      </c>
    </row>
    <row r="262" spans="1:14" x14ac:dyDescent="0.25">
      <c r="A262" s="13">
        <v>2025</v>
      </c>
      <c r="B262" t="s">
        <v>2102</v>
      </c>
      <c r="C262" t="s">
        <v>1497</v>
      </c>
      <c r="D262" t="s">
        <v>1410</v>
      </c>
      <c r="E262" s="40">
        <v>45702</v>
      </c>
      <c r="F262" s="20">
        <v>45703</v>
      </c>
      <c r="G262" t="s">
        <v>887</v>
      </c>
      <c r="H262" s="45">
        <v>24</v>
      </c>
      <c r="I262" t="s">
        <v>888</v>
      </c>
      <c r="J262" t="s">
        <v>889</v>
      </c>
      <c r="K262" t="s">
        <v>1424</v>
      </c>
      <c r="L262">
        <v>0</v>
      </c>
      <c r="M262" t="s">
        <v>1432</v>
      </c>
      <c r="N262" t="s">
        <v>1532</v>
      </c>
    </row>
    <row r="263" spans="1:14" x14ac:dyDescent="0.25">
      <c r="A263" s="13">
        <v>2025</v>
      </c>
      <c r="B263" t="s">
        <v>2083</v>
      </c>
      <c r="C263" t="s">
        <v>1502</v>
      </c>
      <c r="D263" t="s">
        <v>24</v>
      </c>
      <c r="E263" s="40">
        <v>45725</v>
      </c>
      <c r="F263" s="20">
        <v>45726</v>
      </c>
      <c r="G263" t="s">
        <v>96</v>
      </c>
      <c r="H263" s="45">
        <v>24</v>
      </c>
      <c r="I263" t="s">
        <v>939</v>
      </c>
      <c r="J263" t="s">
        <v>940</v>
      </c>
      <c r="K263" t="s">
        <v>1424</v>
      </c>
      <c r="L263">
        <v>0</v>
      </c>
      <c r="M263" t="s">
        <v>1431</v>
      </c>
      <c r="N263" t="s">
        <v>1532</v>
      </c>
    </row>
    <row r="264" spans="1:14" x14ac:dyDescent="0.25">
      <c r="A264" s="13">
        <v>2025</v>
      </c>
      <c r="B264" t="s">
        <v>2111</v>
      </c>
      <c r="C264" t="s">
        <v>1497</v>
      </c>
      <c r="D264" t="s">
        <v>24</v>
      </c>
      <c r="E264" s="40">
        <v>45730</v>
      </c>
      <c r="F264" s="20">
        <v>45731</v>
      </c>
      <c r="G264" t="s">
        <v>124</v>
      </c>
      <c r="H264" s="45">
        <v>24</v>
      </c>
      <c r="I264" t="s">
        <v>946</v>
      </c>
      <c r="J264" t="s">
        <v>2112</v>
      </c>
      <c r="K264" t="s">
        <v>1419</v>
      </c>
      <c r="L264" t="s">
        <v>1426</v>
      </c>
      <c r="M264" t="s">
        <v>1430</v>
      </c>
      <c r="N264" t="s">
        <v>1532</v>
      </c>
    </row>
    <row r="265" spans="1:14" x14ac:dyDescent="0.25">
      <c r="A265" s="13">
        <v>2025</v>
      </c>
      <c r="B265" t="s">
        <v>2128</v>
      </c>
      <c r="C265" t="s">
        <v>1477</v>
      </c>
      <c r="D265" t="s">
        <v>41</v>
      </c>
      <c r="E265" s="40">
        <v>45788</v>
      </c>
      <c r="F265" s="20">
        <v>45789</v>
      </c>
      <c r="G265" t="s">
        <v>349</v>
      </c>
      <c r="H265" s="45">
        <v>24</v>
      </c>
      <c r="I265" t="s">
        <v>997</v>
      </c>
      <c r="J265" t="s">
        <v>998</v>
      </c>
      <c r="K265" t="s">
        <v>1419</v>
      </c>
      <c r="L265" t="s">
        <v>1422</v>
      </c>
      <c r="M265" t="s">
        <v>1430</v>
      </c>
      <c r="N265" t="s">
        <v>1532</v>
      </c>
    </row>
    <row r="266" spans="1:14" x14ac:dyDescent="0.25">
      <c r="A266" s="13">
        <v>2025</v>
      </c>
      <c r="B266" t="s">
        <v>2127</v>
      </c>
      <c r="C266" t="s">
        <v>1478</v>
      </c>
      <c r="D266" t="s">
        <v>41</v>
      </c>
      <c r="E266" s="40">
        <v>45792</v>
      </c>
      <c r="F266" s="20">
        <v>45793</v>
      </c>
      <c r="G266" t="s">
        <v>10</v>
      </c>
      <c r="H266" s="45">
        <v>24</v>
      </c>
      <c r="I266" t="s">
        <v>1010</v>
      </c>
      <c r="J266" t="s">
        <v>2130</v>
      </c>
      <c r="K266" t="s">
        <v>1419</v>
      </c>
      <c r="L266" t="s">
        <v>1423</v>
      </c>
      <c r="M266" t="s">
        <v>1430</v>
      </c>
      <c r="N266" t="s">
        <v>1532</v>
      </c>
    </row>
    <row r="267" spans="1:14" x14ac:dyDescent="0.25">
      <c r="A267" s="13">
        <v>2025</v>
      </c>
      <c r="B267" t="s">
        <v>2142</v>
      </c>
      <c r="C267" t="s">
        <v>1490</v>
      </c>
      <c r="D267" t="s">
        <v>90</v>
      </c>
      <c r="E267" s="40">
        <v>45926</v>
      </c>
      <c r="F267" s="20">
        <v>45927</v>
      </c>
      <c r="G267" t="s">
        <v>597</v>
      </c>
      <c r="H267" s="45">
        <v>24</v>
      </c>
      <c r="I267" t="s">
        <v>1238</v>
      </c>
      <c r="J267" t="s">
        <v>1239</v>
      </c>
      <c r="K267" t="s">
        <v>1419</v>
      </c>
      <c r="L267" t="s">
        <v>1426</v>
      </c>
      <c r="M267" t="s">
        <v>1430</v>
      </c>
      <c r="N267" t="s">
        <v>1532</v>
      </c>
    </row>
    <row r="268" spans="1:14" x14ac:dyDescent="0.25">
      <c r="A268" s="13">
        <v>2025</v>
      </c>
      <c r="B268" t="s">
        <v>2180</v>
      </c>
      <c r="C268" t="s">
        <v>1504</v>
      </c>
      <c r="D268" t="s">
        <v>90</v>
      </c>
      <c r="E268" s="40">
        <v>45927</v>
      </c>
      <c r="F268" s="20">
        <v>45928</v>
      </c>
      <c r="G268" t="s">
        <v>159</v>
      </c>
      <c r="H268" s="45">
        <v>24</v>
      </c>
      <c r="I268" t="s">
        <v>1244</v>
      </c>
      <c r="J268" t="s">
        <v>1245</v>
      </c>
      <c r="K268" t="s">
        <v>1419</v>
      </c>
      <c r="L268" t="s">
        <v>1426</v>
      </c>
      <c r="M268" t="s">
        <v>1430</v>
      </c>
      <c r="N268" t="s">
        <v>1532</v>
      </c>
    </row>
    <row r="269" spans="1:14" x14ac:dyDescent="0.25">
      <c r="A269" s="13">
        <v>2025</v>
      </c>
      <c r="B269" t="s">
        <v>2191</v>
      </c>
      <c r="C269" t="s">
        <v>1480</v>
      </c>
      <c r="D269" t="s">
        <v>1411</v>
      </c>
      <c r="E269" s="40">
        <v>45980</v>
      </c>
      <c r="F269" s="20">
        <v>45981</v>
      </c>
      <c r="G269" t="s">
        <v>26</v>
      </c>
      <c r="H269" s="45">
        <v>24</v>
      </c>
      <c r="I269" t="s">
        <v>1317</v>
      </c>
      <c r="J269" t="s">
        <v>657</v>
      </c>
      <c r="K269" t="s">
        <v>1418</v>
      </c>
      <c r="L269">
        <v>0</v>
      </c>
      <c r="M269" t="s">
        <v>1431</v>
      </c>
      <c r="N269" t="s">
        <v>1532</v>
      </c>
    </row>
    <row r="270" spans="1:14" x14ac:dyDescent="0.25">
      <c r="A270" s="13">
        <v>2025</v>
      </c>
      <c r="B270" t="s">
        <v>2201</v>
      </c>
      <c r="C270" t="s">
        <v>1480</v>
      </c>
      <c r="D270" t="s">
        <v>1412</v>
      </c>
      <c r="E270" s="40">
        <v>46010</v>
      </c>
      <c r="F270" s="20">
        <v>46011</v>
      </c>
      <c r="G270" t="s">
        <v>1253</v>
      </c>
      <c r="H270" s="45">
        <v>24</v>
      </c>
      <c r="I270" t="s">
        <v>1366</v>
      </c>
      <c r="J270" t="s">
        <v>1367</v>
      </c>
      <c r="K270" t="s">
        <v>1425</v>
      </c>
      <c r="L270">
        <v>0</v>
      </c>
      <c r="M270" t="s">
        <v>1432</v>
      </c>
      <c r="N270" t="s">
        <v>1532</v>
      </c>
    </row>
    <row r="271" spans="1:14" x14ac:dyDescent="0.25">
      <c r="A271" s="13">
        <v>2025</v>
      </c>
      <c r="B271" t="s">
        <v>2107</v>
      </c>
      <c r="C271" t="s">
        <v>1510</v>
      </c>
      <c r="D271" t="s">
        <v>24</v>
      </c>
      <c r="E271" s="40">
        <v>45719</v>
      </c>
      <c r="F271" s="20">
        <v>45721</v>
      </c>
      <c r="G271" t="s">
        <v>840</v>
      </c>
      <c r="H271" s="45">
        <v>48</v>
      </c>
      <c r="I271" t="s">
        <v>927</v>
      </c>
      <c r="J271" t="s">
        <v>928</v>
      </c>
      <c r="K271" t="s">
        <v>1424</v>
      </c>
      <c r="L271">
        <v>0</v>
      </c>
      <c r="M271" t="s">
        <v>1432</v>
      </c>
      <c r="N271" t="s">
        <v>1532</v>
      </c>
    </row>
    <row r="272" spans="1:14" x14ac:dyDescent="0.25">
      <c r="A272" s="13">
        <v>2025</v>
      </c>
      <c r="B272" t="s">
        <v>2117</v>
      </c>
      <c r="C272" t="s">
        <v>1486</v>
      </c>
      <c r="D272" t="s">
        <v>33</v>
      </c>
      <c r="E272" s="40">
        <v>45752</v>
      </c>
      <c r="F272" s="20">
        <v>45754</v>
      </c>
      <c r="G272" t="s">
        <v>9</v>
      </c>
      <c r="H272" s="45">
        <v>48</v>
      </c>
      <c r="I272" t="s">
        <v>972</v>
      </c>
      <c r="J272" t="s">
        <v>661</v>
      </c>
      <c r="K272" t="s">
        <v>1419</v>
      </c>
      <c r="L272" t="s">
        <v>1420</v>
      </c>
      <c r="M272" t="s">
        <v>1430</v>
      </c>
      <c r="N272" t="s">
        <v>1532</v>
      </c>
    </row>
    <row r="273" spans="1:14" x14ac:dyDescent="0.25">
      <c r="A273" s="13">
        <v>2025</v>
      </c>
      <c r="B273" t="s">
        <v>2122</v>
      </c>
      <c r="C273" t="s">
        <v>1503</v>
      </c>
      <c r="D273" t="s">
        <v>33</v>
      </c>
      <c r="E273" s="40">
        <v>45767</v>
      </c>
      <c r="F273" s="20">
        <v>45769</v>
      </c>
      <c r="G273" t="s">
        <v>108</v>
      </c>
      <c r="H273" s="45">
        <v>48</v>
      </c>
      <c r="I273" t="s">
        <v>979</v>
      </c>
      <c r="J273" t="s">
        <v>980</v>
      </c>
      <c r="K273" t="s">
        <v>1424</v>
      </c>
      <c r="L273">
        <v>0</v>
      </c>
      <c r="M273" t="s">
        <v>1432</v>
      </c>
      <c r="N273" t="s">
        <v>1532</v>
      </c>
    </row>
    <row r="274" spans="1:14" x14ac:dyDescent="0.25">
      <c r="A274" s="13">
        <v>2025</v>
      </c>
      <c r="B274" t="s">
        <v>2176</v>
      </c>
      <c r="C274" t="s">
        <v>1496</v>
      </c>
      <c r="D274" t="s">
        <v>94</v>
      </c>
      <c r="E274" s="40">
        <v>45941</v>
      </c>
      <c r="F274" s="20">
        <v>45943</v>
      </c>
      <c r="G274" t="s">
        <v>239</v>
      </c>
      <c r="H274" s="45">
        <v>48</v>
      </c>
      <c r="I274" t="s">
        <v>1255</v>
      </c>
      <c r="J274" t="s">
        <v>1256</v>
      </c>
      <c r="K274" t="s">
        <v>1419</v>
      </c>
      <c r="L274" t="s">
        <v>1426</v>
      </c>
      <c r="M274" t="s">
        <v>1430</v>
      </c>
      <c r="N274" t="s">
        <v>1532</v>
      </c>
    </row>
    <row r="275" spans="1:14" x14ac:dyDescent="0.25">
      <c r="A275" s="13">
        <v>2025</v>
      </c>
      <c r="B275" t="s">
        <v>2178</v>
      </c>
      <c r="C275" t="s">
        <v>1499</v>
      </c>
      <c r="D275" t="s">
        <v>1411</v>
      </c>
      <c r="E275" s="40">
        <v>45962</v>
      </c>
      <c r="F275" s="20">
        <v>45964</v>
      </c>
      <c r="G275" t="s">
        <v>73</v>
      </c>
      <c r="H275" s="45">
        <v>48</v>
      </c>
      <c r="I275" t="s">
        <v>1306</v>
      </c>
      <c r="J275" t="s">
        <v>255</v>
      </c>
      <c r="K275" t="s">
        <v>1419</v>
      </c>
      <c r="L275" t="s">
        <v>1420</v>
      </c>
      <c r="M275" t="s">
        <v>1430</v>
      </c>
      <c r="N275" t="s">
        <v>1532</v>
      </c>
    </row>
    <row r="276" spans="1:14" x14ac:dyDescent="0.25">
      <c r="A276" s="13">
        <v>2025</v>
      </c>
      <c r="B276" t="s">
        <v>2087</v>
      </c>
      <c r="C276" t="s">
        <v>1511</v>
      </c>
      <c r="D276" t="s">
        <v>25</v>
      </c>
      <c r="E276" s="40">
        <v>45668</v>
      </c>
      <c r="F276" s="20">
        <v>45671</v>
      </c>
      <c r="G276" t="s">
        <v>789</v>
      </c>
      <c r="H276" s="45">
        <v>72</v>
      </c>
      <c r="I276" t="s">
        <v>790</v>
      </c>
      <c r="J276" t="s">
        <v>791</v>
      </c>
      <c r="K276" t="s">
        <v>1419</v>
      </c>
      <c r="L276" t="s">
        <v>1421</v>
      </c>
      <c r="M276" t="s">
        <v>1430</v>
      </c>
      <c r="N276" t="s">
        <v>1532</v>
      </c>
    </row>
    <row r="277" spans="1:14" x14ac:dyDescent="0.25">
      <c r="A277" s="13">
        <v>2025</v>
      </c>
      <c r="B277" t="s">
        <v>2094</v>
      </c>
      <c r="C277" t="s">
        <v>1500</v>
      </c>
      <c r="D277" t="s">
        <v>1410</v>
      </c>
      <c r="E277" s="40">
        <v>45689</v>
      </c>
      <c r="F277" s="20">
        <v>45692</v>
      </c>
      <c r="G277" t="s">
        <v>2098</v>
      </c>
      <c r="H277" s="45">
        <v>72</v>
      </c>
      <c r="I277" t="s">
        <v>872</v>
      </c>
      <c r="J277" t="s">
        <v>101</v>
      </c>
      <c r="K277" t="s">
        <v>1419</v>
      </c>
      <c r="L277" t="s">
        <v>1420</v>
      </c>
      <c r="M277" t="s">
        <v>1430</v>
      </c>
      <c r="N277" t="s">
        <v>1532</v>
      </c>
    </row>
    <row r="278" spans="1:14" x14ac:dyDescent="0.25">
      <c r="A278" s="13">
        <v>2025</v>
      </c>
      <c r="B278" t="s">
        <v>2100</v>
      </c>
      <c r="C278" t="s">
        <v>1501</v>
      </c>
      <c r="D278" t="s">
        <v>1410</v>
      </c>
      <c r="E278" s="40">
        <v>45702</v>
      </c>
      <c r="F278" s="20">
        <v>45705</v>
      </c>
      <c r="G278" t="s">
        <v>895</v>
      </c>
      <c r="H278" s="45">
        <v>72</v>
      </c>
      <c r="I278" t="s">
        <v>894</v>
      </c>
      <c r="J278" t="s">
        <v>892</v>
      </c>
      <c r="K278" t="s">
        <v>1419</v>
      </c>
      <c r="L278" t="s">
        <v>1426</v>
      </c>
      <c r="M278" t="s">
        <v>1430</v>
      </c>
      <c r="N278" t="s">
        <v>1532</v>
      </c>
    </row>
    <row r="279" spans="1:14" x14ac:dyDescent="0.25">
      <c r="A279" s="13">
        <v>2025</v>
      </c>
      <c r="B279" t="s">
        <v>2089</v>
      </c>
      <c r="C279" t="s">
        <v>1512</v>
      </c>
      <c r="D279" t="s">
        <v>1410</v>
      </c>
      <c r="E279" s="40">
        <v>45710</v>
      </c>
      <c r="F279" s="20">
        <v>45713</v>
      </c>
      <c r="G279" t="s">
        <v>11</v>
      </c>
      <c r="H279" s="45">
        <v>72</v>
      </c>
      <c r="I279" t="s">
        <v>925</v>
      </c>
      <c r="J279" t="s">
        <v>913</v>
      </c>
      <c r="K279" t="s">
        <v>1419</v>
      </c>
      <c r="L279" t="s">
        <v>1427</v>
      </c>
      <c r="M279" t="s">
        <v>1430</v>
      </c>
      <c r="N279" t="s">
        <v>1532</v>
      </c>
    </row>
    <row r="280" spans="1:14" x14ac:dyDescent="0.25">
      <c r="A280" s="13">
        <v>2025</v>
      </c>
      <c r="B280" t="s">
        <v>2132</v>
      </c>
      <c r="C280" t="s">
        <v>1483</v>
      </c>
      <c r="D280" t="s">
        <v>41</v>
      </c>
      <c r="E280" s="40">
        <v>45800</v>
      </c>
      <c r="F280" s="20">
        <v>45803</v>
      </c>
      <c r="G280" t="s">
        <v>31</v>
      </c>
      <c r="H280" s="45">
        <v>72</v>
      </c>
      <c r="I280" t="s">
        <v>1025</v>
      </c>
      <c r="J280" t="s">
        <v>1024</v>
      </c>
      <c r="K280" t="s">
        <v>1419</v>
      </c>
      <c r="L280" t="s">
        <v>1423</v>
      </c>
      <c r="M280" t="s">
        <v>1430</v>
      </c>
      <c r="N280" t="s">
        <v>1532</v>
      </c>
    </row>
    <row r="281" spans="1:14" x14ac:dyDescent="0.25">
      <c r="A281" s="13">
        <v>2025</v>
      </c>
      <c r="B281" t="s">
        <v>2141</v>
      </c>
      <c r="C281" t="s">
        <v>1494</v>
      </c>
      <c r="D281" t="s">
        <v>65</v>
      </c>
      <c r="E281" s="40">
        <v>45814</v>
      </c>
      <c r="F281" s="20">
        <v>45817</v>
      </c>
      <c r="G281" t="s">
        <v>31</v>
      </c>
      <c r="H281" s="45">
        <v>72</v>
      </c>
      <c r="I281" t="s">
        <v>1046</v>
      </c>
      <c r="J281" t="s">
        <v>661</v>
      </c>
      <c r="K281" t="s">
        <v>1419</v>
      </c>
      <c r="L281" t="s">
        <v>1420</v>
      </c>
      <c r="M281" t="s">
        <v>1430</v>
      </c>
      <c r="N281" t="s">
        <v>1532</v>
      </c>
    </row>
    <row r="282" spans="1:14" x14ac:dyDescent="0.25">
      <c r="A282" s="13">
        <v>2025</v>
      </c>
      <c r="B282" t="s">
        <v>2146</v>
      </c>
      <c r="C282" t="s">
        <v>1509</v>
      </c>
      <c r="D282" t="s">
        <v>70</v>
      </c>
      <c r="E282" s="40">
        <v>45856</v>
      </c>
      <c r="F282" s="20">
        <v>45859</v>
      </c>
      <c r="G282" t="s">
        <v>1132</v>
      </c>
      <c r="H282" s="45">
        <v>72</v>
      </c>
      <c r="I282" t="s">
        <v>1131</v>
      </c>
      <c r="J282" t="s">
        <v>1130</v>
      </c>
      <c r="K282" t="s">
        <v>1424</v>
      </c>
      <c r="L282">
        <v>0</v>
      </c>
      <c r="M282" t="s">
        <v>1432</v>
      </c>
      <c r="N282" t="s">
        <v>1532</v>
      </c>
    </row>
    <row r="283" spans="1:14" x14ac:dyDescent="0.25">
      <c r="A283" s="13">
        <v>2025</v>
      </c>
      <c r="B283" t="s">
        <v>2154</v>
      </c>
      <c r="C283" t="s">
        <v>1488</v>
      </c>
      <c r="D283" t="s">
        <v>70</v>
      </c>
      <c r="E283" s="40">
        <v>45858</v>
      </c>
      <c r="F283" s="20">
        <v>45861</v>
      </c>
      <c r="G283" t="s">
        <v>1138</v>
      </c>
      <c r="H283" s="45">
        <v>72</v>
      </c>
      <c r="I283" t="s">
        <v>1139</v>
      </c>
      <c r="J283" t="s">
        <v>255</v>
      </c>
      <c r="K283" t="s">
        <v>1419</v>
      </c>
      <c r="L283" t="s">
        <v>1420</v>
      </c>
      <c r="M283" t="s">
        <v>1430</v>
      </c>
      <c r="N283" t="s">
        <v>1532</v>
      </c>
    </row>
    <row r="284" spans="1:14" x14ac:dyDescent="0.25">
      <c r="A284" s="13">
        <v>2025</v>
      </c>
      <c r="B284" t="s">
        <v>2175</v>
      </c>
      <c r="C284" t="s">
        <v>1492</v>
      </c>
      <c r="D284" t="s">
        <v>94</v>
      </c>
      <c r="E284" s="40">
        <v>45933</v>
      </c>
      <c r="F284" s="20">
        <v>45936</v>
      </c>
      <c r="G284" t="s">
        <v>1253</v>
      </c>
      <c r="H284" s="45">
        <v>72</v>
      </c>
      <c r="I284" t="s">
        <v>1252</v>
      </c>
      <c r="J284" t="s">
        <v>1251</v>
      </c>
      <c r="K284" t="s">
        <v>1418</v>
      </c>
      <c r="L284">
        <v>0</v>
      </c>
      <c r="M284" t="s">
        <v>1431</v>
      </c>
      <c r="N284" t="s">
        <v>1532</v>
      </c>
    </row>
    <row r="285" spans="1:14" x14ac:dyDescent="0.25">
      <c r="A285" s="13">
        <v>2025</v>
      </c>
      <c r="B285" t="s">
        <v>2193</v>
      </c>
      <c r="C285" t="s">
        <v>1503</v>
      </c>
      <c r="D285" t="s">
        <v>1411</v>
      </c>
      <c r="E285" s="40">
        <v>45980</v>
      </c>
      <c r="F285" s="20">
        <v>45983</v>
      </c>
      <c r="G285" t="s">
        <v>1325</v>
      </c>
      <c r="H285" s="45">
        <v>72</v>
      </c>
      <c r="I285" t="s">
        <v>1326</v>
      </c>
      <c r="J285" t="s">
        <v>2166</v>
      </c>
      <c r="K285" t="s">
        <v>1419</v>
      </c>
      <c r="L285" t="s">
        <v>1423</v>
      </c>
      <c r="M285" t="s">
        <v>1430</v>
      </c>
      <c r="N285" t="s">
        <v>1532</v>
      </c>
    </row>
    <row r="286" spans="1:14" x14ac:dyDescent="0.25">
      <c r="A286" s="13">
        <v>2025</v>
      </c>
      <c r="B286" t="s">
        <v>2185</v>
      </c>
      <c r="C286" t="s">
        <v>1489</v>
      </c>
      <c r="D286" t="s">
        <v>1411</v>
      </c>
      <c r="E286" s="40">
        <v>45982</v>
      </c>
      <c r="F286" s="20">
        <v>45985</v>
      </c>
      <c r="G286" t="s">
        <v>73</v>
      </c>
      <c r="H286" s="45">
        <v>72</v>
      </c>
      <c r="I286" t="s">
        <v>1328</v>
      </c>
      <c r="J286" t="s">
        <v>1327</v>
      </c>
      <c r="K286" t="s">
        <v>1419</v>
      </c>
      <c r="L286" t="s">
        <v>1420</v>
      </c>
      <c r="M286" t="s">
        <v>1430</v>
      </c>
      <c r="N286" t="s">
        <v>1532</v>
      </c>
    </row>
    <row r="287" spans="1:14" x14ac:dyDescent="0.25">
      <c r="A287" s="13">
        <v>2025</v>
      </c>
      <c r="B287" t="s">
        <v>2100</v>
      </c>
      <c r="C287" t="s">
        <v>1501</v>
      </c>
      <c r="D287" t="s">
        <v>1410</v>
      </c>
      <c r="E287" s="40">
        <v>45701</v>
      </c>
      <c r="F287" s="20">
        <v>45705</v>
      </c>
      <c r="G287" t="s">
        <v>31</v>
      </c>
      <c r="H287" s="45">
        <v>96</v>
      </c>
      <c r="I287" t="s">
        <v>891</v>
      </c>
      <c r="J287" t="s">
        <v>893</v>
      </c>
      <c r="K287" t="s">
        <v>1419</v>
      </c>
      <c r="L287" t="s">
        <v>1426</v>
      </c>
      <c r="M287" t="s">
        <v>1430</v>
      </c>
      <c r="N287" t="s">
        <v>1532</v>
      </c>
    </row>
    <row r="288" spans="1:14" x14ac:dyDescent="0.25">
      <c r="A288" s="13">
        <v>2025</v>
      </c>
      <c r="B288" t="s">
        <v>2113</v>
      </c>
      <c r="C288" t="s">
        <v>1507</v>
      </c>
      <c r="D288" t="s">
        <v>24</v>
      </c>
      <c r="E288" s="40">
        <v>45730</v>
      </c>
      <c r="F288" s="20">
        <v>45734</v>
      </c>
      <c r="G288" t="s">
        <v>389</v>
      </c>
      <c r="H288" s="45">
        <v>96</v>
      </c>
      <c r="I288" t="s">
        <v>953</v>
      </c>
      <c r="J288" t="s">
        <v>954</v>
      </c>
      <c r="K288" t="s">
        <v>1419</v>
      </c>
      <c r="L288" t="s">
        <v>1429</v>
      </c>
      <c r="M288" t="s">
        <v>1430</v>
      </c>
      <c r="N288" t="s">
        <v>1532</v>
      </c>
    </row>
    <row r="289" spans="1:14" x14ac:dyDescent="0.25">
      <c r="A289" s="13">
        <v>2025</v>
      </c>
      <c r="B289" t="s">
        <v>2132</v>
      </c>
      <c r="C289" t="s">
        <v>1483</v>
      </c>
      <c r="D289" t="s">
        <v>41</v>
      </c>
      <c r="E289" s="40">
        <v>45799</v>
      </c>
      <c r="F289" s="20">
        <v>45803</v>
      </c>
      <c r="G289" t="s">
        <v>28</v>
      </c>
      <c r="H289" s="45">
        <v>96</v>
      </c>
      <c r="I289" t="s">
        <v>1022</v>
      </c>
      <c r="J289" t="s">
        <v>1023</v>
      </c>
      <c r="K289" t="s">
        <v>1418</v>
      </c>
      <c r="L289">
        <v>0</v>
      </c>
      <c r="M289" t="s">
        <v>1430</v>
      </c>
      <c r="N289" t="s">
        <v>1532</v>
      </c>
    </row>
    <row r="290" spans="1:14" x14ac:dyDescent="0.25">
      <c r="A290" s="13">
        <v>2025</v>
      </c>
      <c r="B290" t="s">
        <v>2144</v>
      </c>
      <c r="C290" t="s">
        <v>1488</v>
      </c>
      <c r="D290" t="s">
        <v>65</v>
      </c>
      <c r="E290" s="40">
        <v>45827</v>
      </c>
      <c r="F290" s="20">
        <v>45831</v>
      </c>
      <c r="G290" t="s">
        <v>1061</v>
      </c>
      <c r="H290" s="45">
        <v>96</v>
      </c>
      <c r="I290" t="s">
        <v>1062</v>
      </c>
      <c r="J290" t="s">
        <v>1063</v>
      </c>
      <c r="K290" t="s">
        <v>1419</v>
      </c>
      <c r="L290" t="s">
        <v>1420</v>
      </c>
      <c r="M290" t="s">
        <v>1430</v>
      </c>
      <c r="N290" t="s">
        <v>1532</v>
      </c>
    </row>
    <row r="291" spans="1:14" x14ac:dyDescent="0.25">
      <c r="A291" s="13">
        <v>2025</v>
      </c>
      <c r="B291" t="s">
        <v>2133</v>
      </c>
      <c r="C291" t="s">
        <v>1511</v>
      </c>
      <c r="D291" t="s">
        <v>70</v>
      </c>
      <c r="E291" s="40">
        <v>45848</v>
      </c>
      <c r="F291" s="20">
        <v>45852</v>
      </c>
      <c r="G291" t="s">
        <v>96</v>
      </c>
      <c r="H291" s="45">
        <v>96</v>
      </c>
      <c r="I291" t="s">
        <v>1108</v>
      </c>
      <c r="J291" t="s">
        <v>1107</v>
      </c>
      <c r="K291" t="s">
        <v>1419</v>
      </c>
      <c r="L291" t="s">
        <v>1420</v>
      </c>
      <c r="M291" t="s">
        <v>1430</v>
      </c>
      <c r="N291" t="s">
        <v>1532</v>
      </c>
    </row>
    <row r="292" spans="1:14" x14ac:dyDescent="0.25">
      <c r="A292" s="13">
        <v>2025</v>
      </c>
      <c r="B292" t="s">
        <v>2146</v>
      </c>
      <c r="C292" t="s">
        <v>1509</v>
      </c>
      <c r="D292" t="s">
        <v>70</v>
      </c>
      <c r="E292" s="40">
        <v>45855</v>
      </c>
      <c r="F292" s="20">
        <v>45859</v>
      </c>
      <c r="G292" t="s">
        <v>1048</v>
      </c>
      <c r="H292" s="45">
        <v>96</v>
      </c>
      <c r="I292" t="s">
        <v>1134</v>
      </c>
      <c r="J292" t="s">
        <v>1135</v>
      </c>
      <c r="K292" t="s">
        <v>1419</v>
      </c>
      <c r="L292" t="s">
        <v>1423</v>
      </c>
      <c r="M292" t="s">
        <v>1430</v>
      </c>
      <c r="N292" t="s">
        <v>1532</v>
      </c>
    </row>
    <row r="293" spans="1:14" x14ac:dyDescent="0.25">
      <c r="A293" s="13">
        <v>2025</v>
      </c>
      <c r="B293" t="s">
        <v>2129</v>
      </c>
      <c r="C293" t="s">
        <v>1513</v>
      </c>
      <c r="D293" t="s">
        <v>41</v>
      </c>
      <c r="E293" s="40">
        <v>45801</v>
      </c>
      <c r="F293" s="20">
        <v>45806</v>
      </c>
      <c r="G293" t="s">
        <v>52</v>
      </c>
      <c r="H293" s="45">
        <v>100</v>
      </c>
      <c r="I293" t="s">
        <v>1069</v>
      </c>
      <c r="J293" t="s">
        <v>1070</v>
      </c>
      <c r="K293" t="s">
        <v>1424</v>
      </c>
      <c r="L293">
        <v>0</v>
      </c>
      <c r="M293" t="s">
        <v>1432</v>
      </c>
      <c r="N293" t="s">
        <v>1530</v>
      </c>
    </row>
    <row r="294" spans="1:14" x14ac:dyDescent="0.25">
      <c r="A294" s="13">
        <v>2025</v>
      </c>
      <c r="B294" t="s">
        <v>2140</v>
      </c>
      <c r="C294" t="s">
        <v>1502</v>
      </c>
      <c r="D294" t="s">
        <v>65</v>
      </c>
      <c r="E294" s="40">
        <v>45813</v>
      </c>
      <c r="F294" s="20">
        <v>45818</v>
      </c>
      <c r="G294" t="s">
        <v>1052</v>
      </c>
      <c r="H294" s="45">
        <v>120</v>
      </c>
      <c r="I294" t="s">
        <v>1053</v>
      </c>
      <c r="J294" t="s">
        <v>101</v>
      </c>
      <c r="K294" t="s">
        <v>1419</v>
      </c>
      <c r="L294" t="s">
        <v>1420</v>
      </c>
      <c r="M294" t="s">
        <v>1430</v>
      </c>
      <c r="N294" t="s">
        <v>1532</v>
      </c>
    </row>
    <row r="295" spans="1:14" x14ac:dyDescent="0.25">
      <c r="A295" s="13">
        <v>2025</v>
      </c>
      <c r="B295" t="s">
        <v>2155</v>
      </c>
      <c r="C295" t="s">
        <v>1505</v>
      </c>
      <c r="D295" t="s">
        <v>70</v>
      </c>
      <c r="E295" s="40">
        <v>45864</v>
      </c>
      <c r="F295" s="20">
        <v>45869</v>
      </c>
      <c r="G295" t="s">
        <v>79</v>
      </c>
      <c r="H295" s="45">
        <v>120</v>
      </c>
      <c r="I295" t="s">
        <v>1155</v>
      </c>
      <c r="J295" t="s">
        <v>1024</v>
      </c>
      <c r="K295" t="s">
        <v>1419</v>
      </c>
      <c r="L295" t="s">
        <v>1423</v>
      </c>
      <c r="M295" t="s">
        <v>1430</v>
      </c>
      <c r="N295" t="s">
        <v>1532</v>
      </c>
    </row>
    <row r="296" spans="1:14" x14ac:dyDescent="0.25">
      <c r="A296" s="13">
        <v>2025</v>
      </c>
      <c r="B296" t="s">
        <v>2183</v>
      </c>
      <c r="C296" t="s">
        <v>1511</v>
      </c>
      <c r="D296" t="s">
        <v>94</v>
      </c>
      <c r="E296" s="40">
        <v>45939</v>
      </c>
      <c r="F296" s="20">
        <v>45944</v>
      </c>
      <c r="G296" t="s">
        <v>665</v>
      </c>
      <c r="H296" s="45">
        <v>120</v>
      </c>
      <c r="I296" t="s">
        <v>1262</v>
      </c>
      <c r="J296" t="s">
        <v>1261</v>
      </c>
      <c r="K296" t="s">
        <v>1419</v>
      </c>
      <c r="L296" t="s">
        <v>1420</v>
      </c>
      <c r="M296" t="s">
        <v>1430</v>
      </c>
      <c r="N296" t="s">
        <v>1532</v>
      </c>
    </row>
    <row r="297" spans="1:14" x14ac:dyDescent="0.25">
      <c r="A297" s="13">
        <v>2025</v>
      </c>
      <c r="B297" t="s">
        <v>2196</v>
      </c>
      <c r="C297" t="s">
        <v>1510</v>
      </c>
      <c r="D297" t="s">
        <v>1412</v>
      </c>
      <c r="E297" s="40">
        <v>45991</v>
      </c>
      <c r="F297" s="20">
        <v>45996</v>
      </c>
      <c r="G297" t="s">
        <v>1185</v>
      </c>
      <c r="H297" s="45">
        <v>120</v>
      </c>
      <c r="I297" t="s">
        <v>1346</v>
      </c>
      <c r="J297" t="s">
        <v>2197</v>
      </c>
      <c r="K297" t="s">
        <v>1424</v>
      </c>
      <c r="L297">
        <v>0</v>
      </c>
      <c r="M297" t="s">
        <v>1432</v>
      </c>
      <c r="N297" t="s">
        <v>1532</v>
      </c>
    </row>
    <row r="298" spans="1:14" x14ac:dyDescent="0.25">
      <c r="A298" s="13">
        <v>2025</v>
      </c>
      <c r="B298" t="s">
        <v>2205</v>
      </c>
      <c r="C298" t="s">
        <v>1513</v>
      </c>
      <c r="D298" t="s">
        <v>94</v>
      </c>
      <c r="E298" s="40">
        <v>45953</v>
      </c>
      <c r="F298" s="20">
        <v>45959</v>
      </c>
      <c r="G298" t="s">
        <v>812</v>
      </c>
      <c r="H298" s="45">
        <v>120</v>
      </c>
      <c r="I298" t="s">
        <v>1279</v>
      </c>
      <c r="J298" t="s">
        <v>1280</v>
      </c>
      <c r="K298" t="s">
        <v>1419</v>
      </c>
      <c r="L298" t="s">
        <v>1420</v>
      </c>
      <c r="M298" t="s">
        <v>1430</v>
      </c>
      <c r="N298" t="s">
        <v>1530</v>
      </c>
    </row>
    <row r="299" spans="1:14" x14ac:dyDescent="0.25">
      <c r="A299" s="13">
        <v>2025</v>
      </c>
      <c r="B299" t="s">
        <v>2127</v>
      </c>
      <c r="C299" t="s">
        <v>1478</v>
      </c>
      <c r="D299" t="s">
        <v>41</v>
      </c>
      <c r="E299" s="40">
        <v>45787</v>
      </c>
      <c r="F299" s="20">
        <v>45793</v>
      </c>
      <c r="G299" t="s">
        <v>1008</v>
      </c>
      <c r="H299" s="45">
        <v>144</v>
      </c>
      <c r="I299" t="s">
        <v>1007</v>
      </c>
      <c r="J299" t="s">
        <v>1006</v>
      </c>
      <c r="K299" t="s">
        <v>1419</v>
      </c>
      <c r="L299" t="s">
        <v>1420</v>
      </c>
      <c r="M299" t="s">
        <v>1430</v>
      </c>
      <c r="N299" t="s">
        <v>1532</v>
      </c>
    </row>
    <row r="300" spans="1:14" x14ac:dyDescent="0.25">
      <c r="A300" s="13">
        <v>2025</v>
      </c>
      <c r="B300" t="s">
        <v>2198</v>
      </c>
      <c r="C300" t="s">
        <v>1477</v>
      </c>
      <c r="D300" t="s">
        <v>1412</v>
      </c>
      <c r="E300" s="40">
        <v>45997</v>
      </c>
      <c r="F300" s="20">
        <v>46003</v>
      </c>
      <c r="G300" t="s">
        <v>52</v>
      </c>
      <c r="H300" s="45">
        <v>144</v>
      </c>
      <c r="I300" t="s">
        <v>1352</v>
      </c>
      <c r="J300" t="s">
        <v>2199</v>
      </c>
      <c r="K300" t="s">
        <v>1419</v>
      </c>
      <c r="L300" t="s">
        <v>1423</v>
      </c>
      <c r="M300" t="s">
        <v>1430</v>
      </c>
      <c r="N300" t="s">
        <v>1532</v>
      </c>
    </row>
    <row r="301" spans="1:14" x14ac:dyDescent="0.25">
      <c r="A301" s="13">
        <v>2025</v>
      </c>
      <c r="B301" t="s">
        <v>2184</v>
      </c>
      <c r="C301" t="s">
        <v>1480</v>
      </c>
      <c r="D301" t="s">
        <v>94</v>
      </c>
      <c r="E301" s="40">
        <v>45943</v>
      </c>
      <c r="F301" s="20">
        <v>45950</v>
      </c>
      <c r="G301" t="s">
        <v>43</v>
      </c>
      <c r="H301" s="45">
        <v>168</v>
      </c>
      <c r="I301" t="s">
        <v>1267</v>
      </c>
      <c r="J301" t="s">
        <v>1266</v>
      </c>
      <c r="K301" t="s">
        <v>1419</v>
      </c>
      <c r="L301" t="s">
        <v>1422</v>
      </c>
      <c r="M301" t="s">
        <v>1430</v>
      </c>
      <c r="N301" t="s">
        <v>1532</v>
      </c>
    </row>
    <row r="302" spans="1:14" x14ac:dyDescent="0.25">
      <c r="A302" s="13">
        <v>2025</v>
      </c>
      <c r="B302" t="s">
        <v>2090</v>
      </c>
      <c r="C302" t="s">
        <v>1489</v>
      </c>
      <c r="D302" t="s">
        <v>25</v>
      </c>
      <c r="E302" s="40">
        <v>45673</v>
      </c>
      <c r="F302" s="20">
        <v>45681</v>
      </c>
      <c r="G302" t="s">
        <v>5</v>
      </c>
      <c r="H302" s="45">
        <v>192</v>
      </c>
      <c r="I302" t="s">
        <v>851</v>
      </c>
      <c r="J302" t="s">
        <v>852</v>
      </c>
      <c r="K302" t="s">
        <v>1419</v>
      </c>
      <c r="L302" t="s">
        <v>1426</v>
      </c>
      <c r="M302" t="s">
        <v>1430</v>
      </c>
      <c r="N302" t="s">
        <v>1532</v>
      </c>
    </row>
    <row r="303" spans="1:14" x14ac:dyDescent="0.25">
      <c r="A303" s="13">
        <v>2025</v>
      </c>
      <c r="B303" t="s">
        <v>2104</v>
      </c>
      <c r="C303" t="s">
        <v>1499</v>
      </c>
      <c r="D303" t="s">
        <v>24</v>
      </c>
      <c r="E303" s="40">
        <v>45711</v>
      </c>
      <c r="F303" s="20">
        <v>45719</v>
      </c>
      <c r="G303" t="s">
        <v>349</v>
      </c>
      <c r="H303" s="45">
        <v>192</v>
      </c>
      <c r="I303" t="s">
        <v>920</v>
      </c>
      <c r="J303" t="s">
        <v>921</v>
      </c>
      <c r="K303" t="s">
        <v>1424</v>
      </c>
      <c r="L303">
        <v>0</v>
      </c>
      <c r="M303" t="s">
        <v>1431</v>
      </c>
      <c r="N303" t="s">
        <v>1532</v>
      </c>
    </row>
    <row r="304" spans="1:14" x14ac:dyDescent="0.25">
      <c r="A304" s="13">
        <v>2025</v>
      </c>
      <c r="B304" t="s">
        <v>2104</v>
      </c>
      <c r="C304" t="s">
        <v>1499</v>
      </c>
      <c r="D304" t="s">
        <v>24</v>
      </c>
      <c r="E304" s="40">
        <v>45711</v>
      </c>
      <c r="F304" s="20">
        <v>45719</v>
      </c>
      <c r="G304" t="s">
        <v>924</v>
      </c>
      <c r="H304" s="45">
        <v>192</v>
      </c>
      <c r="I304" t="s">
        <v>923</v>
      </c>
      <c r="J304" t="s">
        <v>922</v>
      </c>
      <c r="K304" t="s">
        <v>1419</v>
      </c>
      <c r="L304" t="s">
        <v>1426</v>
      </c>
      <c r="M304" t="s">
        <v>1430</v>
      </c>
      <c r="N304" t="s">
        <v>1532</v>
      </c>
    </row>
    <row r="305" spans="1:14" x14ac:dyDescent="0.25">
      <c r="A305" s="13">
        <v>2025</v>
      </c>
      <c r="B305" t="s">
        <v>2114</v>
      </c>
      <c r="C305" t="s">
        <v>1504</v>
      </c>
      <c r="D305" t="s">
        <v>24</v>
      </c>
      <c r="E305" s="40">
        <v>45736</v>
      </c>
      <c r="F305" s="20">
        <v>45744</v>
      </c>
      <c r="G305" t="s">
        <v>960</v>
      </c>
      <c r="H305" s="45">
        <v>192</v>
      </c>
      <c r="I305" t="s">
        <v>959</v>
      </c>
      <c r="J305" t="s">
        <v>2115</v>
      </c>
      <c r="K305" t="s">
        <v>1419</v>
      </c>
      <c r="L305" t="s">
        <v>1423</v>
      </c>
      <c r="M305" t="s">
        <v>1430</v>
      </c>
      <c r="N305" t="s">
        <v>1532</v>
      </c>
    </row>
    <row r="306" spans="1:14" x14ac:dyDescent="0.25">
      <c r="A306" s="13">
        <v>2025</v>
      </c>
      <c r="B306" t="s">
        <v>2195</v>
      </c>
      <c r="C306" t="s">
        <v>1487</v>
      </c>
      <c r="D306" t="s">
        <v>1412</v>
      </c>
      <c r="E306" s="40">
        <v>46002</v>
      </c>
      <c r="F306" s="20">
        <v>46010</v>
      </c>
      <c r="G306" t="s">
        <v>572</v>
      </c>
      <c r="H306" s="45">
        <v>192</v>
      </c>
      <c r="I306" t="s">
        <v>1361</v>
      </c>
      <c r="J306" t="s">
        <v>1362</v>
      </c>
      <c r="K306" t="s">
        <v>1419</v>
      </c>
      <c r="L306" t="s">
        <v>1423</v>
      </c>
      <c r="M306" t="s">
        <v>1430</v>
      </c>
      <c r="N306" t="s">
        <v>1532</v>
      </c>
    </row>
    <row r="307" spans="1:14" x14ac:dyDescent="0.25">
      <c r="A307" s="13">
        <v>2025</v>
      </c>
      <c r="B307" t="s">
        <v>2094</v>
      </c>
      <c r="C307" t="s">
        <v>1500</v>
      </c>
      <c r="D307" t="s">
        <v>1410</v>
      </c>
      <c r="E307" s="40">
        <v>45682</v>
      </c>
      <c r="F307" s="20">
        <v>45692</v>
      </c>
      <c r="G307" t="s">
        <v>868</v>
      </c>
      <c r="H307" s="45">
        <v>240</v>
      </c>
      <c r="I307" t="s">
        <v>869</v>
      </c>
      <c r="J307" t="s">
        <v>870</v>
      </c>
      <c r="K307" t="s">
        <v>1419</v>
      </c>
      <c r="L307" t="s">
        <v>1426</v>
      </c>
      <c r="M307" t="s">
        <v>1430</v>
      </c>
      <c r="N307" t="s">
        <v>1532</v>
      </c>
    </row>
    <row r="308" spans="1:14" x14ac:dyDescent="0.25">
      <c r="A308" s="13">
        <v>2025</v>
      </c>
      <c r="B308" t="s">
        <v>2164</v>
      </c>
      <c r="C308" t="s">
        <v>1489</v>
      </c>
      <c r="D308" t="s">
        <v>90</v>
      </c>
      <c r="E308" s="40">
        <v>45914</v>
      </c>
      <c r="F308" s="20">
        <v>45924</v>
      </c>
      <c r="G308" t="s">
        <v>106</v>
      </c>
      <c r="H308" s="45">
        <v>240</v>
      </c>
      <c r="I308" t="s">
        <v>1225</v>
      </c>
      <c r="J308" t="s">
        <v>661</v>
      </c>
      <c r="K308" t="s">
        <v>1419</v>
      </c>
      <c r="L308" t="s">
        <v>1420</v>
      </c>
      <c r="M308" t="s">
        <v>1430</v>
      </c>
      <c r="N308" t="s">
        <v>1532</v>
      </c>
    </row>
    <row r="309" spans="1:14" x14ac:dyDescent="0.25">
      <c r="A309" s="13">
        <v>2025</v>
      </c>
      <c r="B309" t="s">
        <v>2150</v>
      </c>
      <c r="C309" t="s">
        <v>1478</v>
      </c>
      <c r="D309" t="s">
        <v>70</v>
      </c>
      <c r="E309" s="40">
        <v>45843</v>
      </c>
      <c r="F309" s="20">
        <v>45854</v>
      </c>
      <c r="G309" t="s">
        <v>1120</v>
      </c>
      <c r="H309" s="45">
        <v>264</v>
      </c>
      <c r="I309" t="s">
        <v>1121</v>
      </c>
      <c r="J309" t="s">
        <v>1122</v>
      </c>
      <c r="K309" t="s">
        <v>1419</v>
      </c>
      <c r="L309" t="s">
        <v>1423</v>
      </c>
      <c r="M309" t="s">
        <v>1430</v>
      </c>
      <c r="N309" t="s">
        <v>1532</v>
      </c>
    </row>
    <row r="310" spans="1:14" x14ac:dyDescent="0.25">
      <c r="A310" s="13">
        <v>2025</v>
      </c>
      <c r="B310" t="s">
        <v>2163</v>
      </c>
      <c r="C310" t="s">
        <v>1480</v>
      </c>
      <c r="D310" t="s">
        <v>82</v>
      </c>
      <c r="E310" s="40">
        <v>45878</v>
      </c>
      <c r="F310" s="20">
        <v>45889</v>
      </c>
      <c r="G310" t="s">
        <v>1185</v>
      </c>
      <c r="H310" s="45">
        <v>264</v>
      </c>
      <c r="I310" t="s">
        <v>1186</v>
      </c>
      <c r="J310" t="s">
        <v>1187</v>
      </c>
      <c r="K310" t="s">
        <v>1418</v>
      </c>
      <c r="L310">
        <v>0</v>
      </c>
      <c r="M310" t="s">
        <v>1431</v>
      </c>
      <c r="N310" t="s">
        <v>1532</v>
      </c>
    </row>
    <row r="311" spans="1:14" x14ac:dyDescent="0.25">
      <c r="A311" s="13">
        <v>2025</v>
      </c>
      <c r="B311" t="s">
        <v>2181</v>
      </c>
      <c r="C311" t="s">
        <v>1508</v>
      </c>
      <c r="D311" t="s">
        <v>1412</v>
      </c>
      <c r="E311" s="40">
        <v>46010</v>
      </c>
      <c r="F311" s="20">
        <v>46021</v>
      </c>
      <c r="G311" t="s">
        <v>1386</v>
      </c>
      <c r="H311" s="45">
        <v>264</v>
      </c>
      <c r="I311" t="s">
        <v>1387</v>
      </c>
      <c r="J311" t="s">
        <v>1388</v>
      </c>
      <c r="K311" t="s">
        <v>1419</v>
      </c>
      <c r="L311" t="s">
        <v>1429</v>
      </c>
      <c r="M311" t="s">
        <v>1430</v>
      </c>
      <c r="N311" t="s">
        <v>1532</v>
      </c>
    </row>
    <row r="312" spans="1:14" x14ac:dyDescent="0.25">
      <c r="A312" s="13">
        <v>2025</v>
      </c>
      <c r="B312" t="s">
        <v>2082</v>
      </c>
      <c r="C312" t="s">
        <v>1494</v>
      </c>
      <c r="D312" t="s">
        <v>25</v>
      </c>
      <c r="E312" s="40">
        <v>45653</v>
      </c>
      <c r="F312" s="20">
        <v>45666</v>
      </c>
      <c r="G312" t="s">
        <v>787</v>
      </c>
      <c r="H312" s="45">
        <v>312</v>
      </c>
      <c r="I312" t="s">
        <v>786</v>
      </c>
      <c r="J312" t="s">
        <v>84</v>
      </c>
      <c r="K312" t="s">
        <v>1419</v>
      </c>
      <c r="L312" t="s">
        <v>1420</v>
      </c>
      <c r="M312" t="s">
        <v>1430</v>
      </c>
      <c r="N312" t="s">
        <v>1532</v>
      </c>
    </row>
    <row r="313" spans="1:14" x14ac:dyDescent="0.25">
      <c r="A313" s="13">
        <v>2025</v>
      </c>
      <c r="B313" t="s">
        <v>2191</v>
      </c>
      <c r="C313" t="s">
        <v>1480</v>
      </c>
      <c r="D313" t="s">
        <v>1411</v>
      </c>
      <c r="E313" s="40">
        <v>45968</v>
      </c>
      <c r="F313" s="20">
        <v>45981</v>
      </c>
      <c r="G313" t="s">
        <v>1234</v>
      </c>
      <c r="H313" s="45">
        <v>312</v>
      </c>
      <c r="I313" t="s">
        <v>1315</v>
      </c>
      <c r="J313" t="s">
        <v>255</v>
      </c>
      <c r="K313" t="s">
        <v>1419</v>
      </c>
      <c r="L313" t="s">
        <v>1420</v>
      </c>
      <c r="M313" t="s">
        <v>1430</v>
      </c>
      <c r="N313" t="s">
        <v>1532</v>
      </c>
    </row>
    <row r="314" spans="1:14" x14ac:dyDescent="0.25">
      <c r="A314" s="13">
        <v>2025</v>
      </c>
      <c r="B314" t="s">
        <v>2092</v>
      </c>
      <c r="C314" t="s">
        <v>1505</v>
      </c>
      <c r="D314" t="s">
        <v>25</v>
      </c>
      <c r="E314" s="40">
        <v>45674</v>
      </c>
      <c r="F314" s="20">
        <v>45688</v>
      </c>
      <c r="G314" t="s">
        <v>17</v>
      </c>
      <c r="H314" s="45">
        <v>336</v>
      </c>
      <c r="I314" t="s">
        <v>865</v>
      </c>
      <c r="J314" t="s">
        <v>866</v>
      </c>
      <c r="K314" t="s">
        <v>1419</v>
      </c>
      <c r="L314" t="s">
        <v>1427</v>
      </c>
      <c r="M314" t="s">
        <v>1430</v>
      </c>
      <c r="N314" t="s">
        <v>1532</v>
      </c>
    </row>
    <row r="315" spans="1:14" x14ac:dyDescent="0.25">
      <c r="A315" s="13">
        <v>2025</v>
      </c>
      <c r="B315" t="s">
        <v>2145</v>
      </c>
      <c r="C315" t="s">
        <v>1486</v>
      </c>
      <c r="D315" t="s">
        <v>70</v>
      </c>
      <c r="E315" s="40">
        <v>45830</v>
      </c>
      <c r="F315" s="20">
        <v>45845</v>
      </c>
      <c r="G315" t="s">
        <v>840</v>
      </c>
      <c r="H315" s="45">
        <v>360</v>
      </c>
      <c r="I315" t="s">
        <v>1099</v>
      </c>
      <c r="J315" t="s">
        <v>661</v>
      </c>
      <c r="K315" t="s">
        <v>1419</v>
      </c>
      <c r="L315" t="s">
        <v>1420</v>
      </c>
      <c r="M315" t="s">
        <v>1430</v>
      </c>
      <c r="N315" t="s">
        <v>1532</v>
      </c>
    </row>
    <row r="316" spans="1:14" x14ac:dyDescent="0.25">
      <c r="A316" s="13">
        <v>2025</v>
      </c>
      <c r="B316" t="s">
        <v>2194</v>
      </c>
      <c r="C316" t="s">
        <v>1496</v>
      </c>
      <c r="D316" t="s">
        <v>1412</v>
      </c>
      <c r="E316" s="40">
        <v>45989</v>
      </c>
      <c r="F316" s="20">
        <v>46004</v>
      </c>
      <c r="G316" t="s">
        <v>1355</v>
      </c>
      <c r="H316" s="45">
        <v>360</v>
      </c>
      <c r="I316" t="s">
        <v>1356</v>
      </c>
      <c r="J316" t="s">
        <v>1357</v>
      </c>
      <c r="K316" t="s">
        <v>1424</v>
      </c>
      <c r="L316">
        <v>0</v>
      </c>
      <c r="M316" t="s">
        <v>1431</v>
      </c>
      <c r="N316" t="s">
        <v>1532</v>
      </c>
    </row>
    <row r="317" spans="1:14" x14ac:dyDescent="0.25">
      <c r="A317" s="13">
        <v>2025</v>
      </c>
      <c r="B317" t="s">
        <v>2106</v>
      </c>
      <c r="C317" t="s">
        <v>1501</v>
      </c>
      <c r="D317" t="s">
        <v>24</v>
      </c>
      <c r="E317" s="40">
        <v>45717</v>
      </c>
      <c r="F317" s="20">
        <v>45733</v>
      </c>
      <c r="G317" t="s">
        <v>949</v>
      </c>
      <c r="H317" s="45">
        <v>384</v>
      </c>
      <c r="I317" t="s">
        <v>950</v>
      </c>
      <c r="J317" t="s">
        <v>951</v>
      </c>
      <c r="K317" t="s">
        <v>1419</v>
      </c>
      <c r="L317" t="s">
        <v>1420</v>
      </c>
      <c r="M317" t="s">
        <v>1430</v>
      </c>
      <c r="N317" t="s">
        <v>1532</v>
      </c>
    </row>
    <row r="318" spans="1:14" x14ac:dyDescent="0.25">
      <c r="A318" s="13">
        <v>2025</v>
      </c>
      <c r="B318" t="s">
        <v>2160</v>
      </c>
      <c r="C318" t="s">
        <v>1512</v>
      </c>
      <c r="D318" t="s">
        <v>82</v>
      </c>
      <c r="E318" s="40">
        <v>45877</v>
      </c>
      <c r="F318" s="20">
        <v>45894</v>
      </c>
      <c r="G318" t="s">
        <v>1202</v>
      </c>
      <c r="H318" s="45">
        <v>408</v>
      </c>
      <c r="I318" t="s">
        <v>1203</v>
      </c>
      <c r="J318" t="s">
        <v>1211</v>
      </c>
      <c r="K318" t="s">
        <v>1424</v>
      </c>
      <c r="L318">
        <v>0</v>
      </c>
      <c r="M318" t="s">
        <v>1432</v>
      </c>
      <c r="N318" t="s">
        <v>1532</v>
      </c>
    </row>
    <row r="319" spans="1:14" x14ac:dyDescent="0.25">
      <c r="A319" s="13">
        <v>2025</v>
      </c>
      <c r="B319" t="s">
        <v>2129</v>
      </c>
      <c r="C319" t="s">
        <v>1513</v>
      </c>
      <c r="D319" t="s">
        <v>41</v>
      </c>
      <c r="E319" s="40">
        <v>45788</v>
      </c>
      <c r="F319" s="20">
        <v>45806</v>
      </c>
      <c r="G319" t="s">
        <v>61</v>
      </c>
      <c r="H319" s="45">
        <v>432</v>
      </c>
      <c r="I319" t="s">
        <v>1030</v>
      </c>
      <c r="J319" t="s">
        <v>1029</v>
      </c>
      <c r="K319" t="s">
        <v>1425</v>
      </c>
      <c r="L319">
        <v>0</v>
      </c>
      <c r="M319" t="s">
        <v>1432</v>
      </c>
      <c r="N319" t="s">
        <v>1532</v>
      </c>
    </row>
    <row r="320" spans="1:14" x14ac:dyDescent="0.25">
      <c r="A320" s="13">
        <v>2025</v>
      </c>
      <c r="B320" t="s">
        <v>2149</v>
      </c>
      <c r="C320" t="s">
        <v>1499</v>
      </c>
      <c r="D320" t="s">
        <v>90</v>
      </c>
      <c r="E320" s="40">
        <v>45885</v>
      </c>
      <c r="F320" s="20">
        <v>45903</v>
      </c>
      <c r="G320" t="s">
        <v>1207</v>
      </c>
      <c r="H320" s="45">
        <v>432</v>
      </c>
      <c r="I320" t="s">
        <v>1208</v>
      </c>
      <c r="J320" t="s">
        <v>1213</v>
      </c>
      <c r="K320" t="s">
        <v>1424</v>
      </c>
      <c r="L320">
        <v>0</v>
      </c>
      <c r="M320" t="s">
        <v>1432</v>
      </c>
      <c r="N320" t="s">
        <v>1532</v>
      </c>
    </row>
    <row r="321" spans="1:14" x14ac:dyDescent="0.25">
      <c r="A321" s="13">
        <v>2025</v>
      </c>
      <c r="B321" t="s">
        <v>2118</v>
      </c>
      <c r="C321" t="s">
        <v>1512</v>
      </c>
      <c r="D321" t="s">
        <v>33</v>
      </c>
      <c r="E321" s="40">
        <v>45753</v>
      </c>
      <c r="F321" s="20">
        <v>45772</v>
      </c>
      <c r="G321" t="s">
        <v>102</v>
      </c>
      <c r="H321" s="45">
        <v>456</v>
      </c>
      <c r="I321" t="s">
        <v>982</v>
      </c>
      <c r="J321" t="s">
        <v>981</v>
      </c>
      <c r="K321" t="s">
        <v>1424</v>
      </c>
      <c r="L321">
        <v>0</v>
      </c>
      <c r="M321" t="s">
        <v>1432</v>
      </c>
      <c r="N321" t="s">
        <v>1532</v>
      </c>
    </row>
    <row r="322" spans="1:14" x14ac:dyDescent="0.25">
      <c r="A322" s="13">
        <v>2025</v>
      </c>
      <c r="B322" t="s">
        <v>2125</v>
      </c>
      <c r="C322" t="s">
        <v>1508</v>
      </c>
      <c r="D322" t="s">
        <v>41</v>
      </c>
      <c r="E322" s="40">
        <v>45788</v>
      </c>
      <c r="F322" s="20">
        <v>45807</v>
      </c>
      <c r="G322" t="s">
        <v>789</v>
      </c>
      <c r="H322" s="45">
        <v>456</v>
      </c>
      <c r="I322" t="s">
        <v>1033</v>
      </c>
      <c r="J322" t="s">
        <v>1034</v>
      </c>
      <c r="K322" t="s">
        <v>1418</v>
      </c>
      <c r="L322">
        <v>0</v>
      </c>
      <c r="M322" t="s">
        <v>1431</v>
      </c>
      <c r="N322" t="s">
        <v>1532</v>
      </c>
    </row>
    <row r="323" spans="1:14" x14ac:dyDescent="0.25">
      <c r="A323" s="13">
        <v>2025</v>
      </c>
      <c r="B323" t="s">
        <v>2200</v>
      </c>
      <c r="C323" t="s">
        <v>1483</v>
      </c>
      <c r="D323" t="s">
        <v>1412</v>
      </c>
      <c r="E323" s="40">
        <v>45998</v>
      </c>
      <c r="F323" s="20">
        <v>46017</v>
      </c>
      <c r="G323" t="s">
        <v>11</v>
      </c>
      <c r="H323" s="45">
        <v>456</v>
      </c>
      <c r="I323" t="s">
        <v>1378</v>
      </c>
      <c r="J323" t="s">
        <v>1379</v>
      </c>
      <c r="K323" t="s">
        <v>1424</v>
      </c>
      <c r="L323">
        <v>0</v>
      </c>
      <c r="M323" t="s">
        <v>1432</v>
      </c>
      <c r="N323" t="s">
        <v>1532</v>
      </c>
    </row>
    <row r="324" spans="1:14" x14ac:dyDescent="0.25">
      <c r="A324" s="13">
        <v>2025</v>
      </c>
      <c r="B324" t="s">
        <v>2167</v>
      </c>
      <c r="C324" t="s">
        <v>1500</v>
      </c>
      <c r="D324" t="s">
        <v>90</v>
      </c>
      <c r="E324" s="40">
        <v>45884</v>
      </c>
      <c r="F324" s="20">
        <v>45904</v>
      </c>
      <c r="G324" t="s">
        <v>218</v>
      </c>
      <c r="H324" s="45">
        <v>480</v>
      </c>
      <c r="I324" t="s">
        <v>1195</v>
      </c>
      <c r="J324" t="s">
        <v>255</v>
      </c>
      <c r="K324" t="s">
        <v>1419</v>
      </c>
      <c r="L324" t="s">
        <v>1420</v>
      </c>
      <c r="M324" t="s">
        <v>1430</v>
      </c>
      <c r="N324" t="s">
        <v>1532</v>
      </c>
    </row>
    <row r="325" spans="1:14" x14ac:dyDescent="0.25">
      <c r="A325" s="13">
        <v>2025</v>
      </c>
      <c r="B325" t="s">
        <v>2195</v>
      </c>
      <c r="C325" t="s">
        <v>1487</v>
      </c>
      <c r="D325" t="s">
        <v>1412</v>
      </c>
      <c r="E325" s="40">
        <v>45990</v>
      </c>
      <c r="F325" s="20">
        <v>46010</v>
      </c>
      <c r="G325" t="s">
        <v>15</v>
      </c>
      <c r="H325" s="45">
        <v>480</v>
      </c>
      <c r="I325" t="s">
        <v>1363</v>
      </c>
      <c r="J325" t="s">
        <v>1362</v>
      </c>
      <c r="K325" t="s">
        <v>1419</v>
      </c>
      <c r="L325" t="s">
        <v>1423</v>
      </c>
      <c r="M325" t="s">
        <v>1430</v>
      </c>
      <c r="N325" t="s">
        <v>1532</v>
      </c>
    </row>
    <row r="326" spans="1:14" x14ac:dyDescent="0.25">
      <c r="A326" s="13">
        <v>2025</v>
      </c>
      <c r="B326" t="s">
        <v>2066</v>
      </c>
      <c r="C326" t="s">
        <v>1505</v>
      </c>
      <c r="D326" t="s">
        <v>94</v>
      </c>
      <c r="E326" s="40">
        <v>45940</v>
      </c>
      <c r="F326" s="20">
        <v>45961</v>
      </c>
      <c r="G326" t="s">
        <v>12</v>
      </c>
      <c r="H326" s="45">
        <v>504</v>
      </c>
      <c r="I326" t="s">
        <v>1293</v>
      </c>
      <c r="J326" t="s">
        <v>1294</v>
      </c>
      <c r="K326" t="s">
        <v>1418</v>
      </c>
      <c r="L326">
        <v>0</v>
      </c>
      <c r="M326" t="s">
        <v>1430</v>
      </c>
      <c r="N326" t="s">
        <v>1532</v>
      </c>
    </row>
    <row r="327" spans="1:14" x14ac:dyDescent="0.25">
      <c r="A327" s="13">
        <v>2025</v>
      </c>
      <c r="B327" t="s">
        <v>2091</v>
      </c>
      <c r="C327" t="s">
        <v>1495</v>
      </c>
      <c r="D327" t="s">
        <v>1410</v>
      </c>
      <c r="E327" s="40">
        <v>45677</v>
      </c>
      <c r="F327" s="20">
        <v>45699</v>
      </c>
      <c r="G327" t="s">
        <v>349</v>
      </c>
      <c r="H327" s="45">
        <v>528</v>
      </c>
      <c r="I327" t="s">
        <v>881</v>
      </c>
      <c r="J327" t="s">
        <v>882</v>
      </c>
      <c r="K327" t="s">
        <v>1419</v>
      </c>
      <c r="L327" t="s">
        <v>1426</v>
      </c>
      <c r="M327" t="s">
        <v>1430</v>
      </c>
      <c r="N327" t="s">
        <v>1532</v>
      </c>
    </row>
    <row r="328" spans="1:14" x14ac:dyDescent="0.25">
      <c r="A328" s="13">
        <v>2025</v>
      </c>
      <c r="B328" t="s">
        <v>2152</v>
      </c>
      <c r="C328" t="s">
        <v>1507</v>
      </c>
      <c r="D328" t="s">
        <v>82</v>
      </c>
      <c r="E328" s="40">
        <v>45865</v>
      </c>
      <c r="F328" s="20">
        <v>45887</v>
      </c>
      <c r="G328" t="s">
        <v>10</v>
      </c>
      <c r="H328" s="45">
        <v>528</v>
      </c>
      <c r="I328" t="s">
        <v>1179</v>
      </c>
      <c r="J328" t="s">
        <v>1180</v>
      </c>
      <c r="K328" t="s">
        <v>1424</v>
      </c>
      <c r="L328">
        <v>0</v>
      </c>
      <c r="M328" t="s">
        <v>1432</v>
      </c>
      <c r="N328" t="s">
        <v>1532</v>
      </c>
    </row>
    <row r="329" spans="1:14" x14ac:dyDescent="0.25">
      <c r="A329" s="13">
        <v>2025</v>
      </c>
      <c r="B329" t="s">
        <v>2131</v>
      </c>
      <c r="C329" t="s">
        <v>1486</v>
      </c>
      <c r="D329" t="s">
        <v>65</v>
      </c>
      <c r="E329" s="40">
        <v>45792</v>
      </c>
      <c r="F329" s="20">
        <v>45815</v>
      </c>
      <c r="G329" t="s">
        <v>81</v>
      </c>
      <c r="H329" s="45">
        <v>552</v>
      </c>
      <c r="I329" t="s">
        <v>1043</v>
      </c>
      <c r="J329" t="s">
        <v>1042</v>
      </c>
      <c r="K329" t="s">
        <v>1424</v>
      </c>
      <c r="L329">
        <v>0</v>
      </c>
      <c r="M329" t="s">
        <v>1432</v>
      </c>
      <c r="N329" t="s">
        <v>1532</v>
      </c>
    </row>
    <row r="330" spans="1:14" x14ac:dyDescent="0.25">
      <c r="A330" s="13">
        <v>2025</v>
      </c>
      <c r="B330" t="s">
        <v>2147</v>
      </c>
      <c r="C330" t="s">
        <v>1487</v>
      </c>
      <c r="D330" t="s">
        <v>70</v>
      </c>
      <c r="E330" s="40">
        <v>45834</v>
      </c>
      <c r="F330" s="20">
        <v>45857</v>
      </c>
      <c r="G330" t="s">
        <v>13</v>
      </c>
      <c r="H330" s="45">
        <v>552</v>
      </c>
      <c r="I330" t="s">
        <v>1128</v>
      </c>
      <c r="J330" t="s">
        <v>1129</v>
      </c>
      <c r="K330" t="s">
        <v>1419</v>
      </c>
      <c r="L330" t="s">
        <v>1426</v>
      </c>
      <c r="M330" t="s">
        <v>1430</v>
      </c>
      <c r="N330" t="s">
        <v>1532</v>
      </c>
    </row>
    <row r="331" spans="1:14" x14ac:dyDescent="0.25">
      <c r="A331" s="13">
        <v>2025</v>
      </c>
      <c r="B331" t="s">
        <v>2142</v>
      </c>
      <c r="C331" t="s">
        <v>1490</v>
      </c>
      <c r="D331" t="s">
        <v>90</v>
      </c>
      <c r="E331" s="40">
        <v>45899</v>
      </c>
      <c r="F331" s="20">
        <v>45927</v>
      </c>
      <c r="G331" t="s">
        <v>618</v>
      </c>
      <c r="H331" s="45">
        <v>560</v>
      </c>
      <c r="I331" t="s">
        <v>1242</v>
      </c>
      <c r="J331" t="s">
        <v>1241</v>
      </c>
      <c r="K331" t="s">
        <v>1419</v>
      </c>
      <c r="L331" t="s">
        <v>1422</v>
      </c>
      <c r="M331" t="s">
        <v>1430</v>
      </c>
      <c r="N331" t="s">
        <v>1530</v>
      </c>
    </row>
    <row r="332" spans="1:14" x14ac:dyDescent="0.25">
      <c r="A332" s="13">
        <v>2025</v>
      </c>
      <c r="B332" t="s">
        <v>2083</v>
      </c>
      <c r="C332" t="s">
        <v>1502</v>
      </c>
      <c r="D332" t="s">
        <v>24</v>
      </c>
      <c r="E332" s="40">
        <v>45702</v>
      </c>
      <c r="F332" s="20">
        <v>45726</v>
      </c>
      <c r="G332" t="s">
        <v>974</v>
      </c>
      <c r="H332" s="45">
        <v>576</v>
      </c>
      <c r="I332" t="s">
        <v>938</v>
      </c>
      <c r="J332" t="s">
        <v>937</v>
      </c>
      <c r="K332" t="s">
        <v>1419</v>
      </c>
      <c r="L332" t="s">
        <v>1423</v>
      </c>
      <c r="M332" t="s">
        <v>1430</v>
      </c>
      <c r="N332" t="s">
        <v>1532</v>
      </c>
    </row>
    <row r="333" spans="1:14" x14ac:dyDescent="0.25">
      <c r="A333" s="13">
        <v>2025</v>
      </c>
      <c r="B333" t="s">
        <v>2103</v>
      </c>
      <c r="C333" t="s">
        <v>1508</v>
      </c>
      <c r="D333" t="s">
        <v>65</v>
      </c>
      <c r="E333" s="40">
        <v>45814</v>
      </c>
      <c r="F333" s="20">
        <v>45838</v>
      </c>
      <c r="G333" t="s">
        <v>31</v>
      </c>
      <c r="H333" s="45">
        <v>576</v>
      </c>
      <c r="I333" t="s">
        <v>1083</v>
      </c>
      <c r="J333" t="s">
        <v>1082</v>
      </c>
      <c r="K333" t="s">
        <v>1424</v>
      </c>
      <c r="L333">
        <v>0</v>
      </c>
      <c r="M333" t="s">
        <v>1432</v>
      </c>
      <c r="N333" t="s">
        <v>1532</v>
      </c>
    </row>
    <row r="334" spans="1:14" x14ac:dyDescent="0.25">
      <c r="A334" s="13">
        <v>2025</v>
      </c>
      <c r="B334" t="s">
        <v>2153</v>
      </c>
      <c r="C334" t="s">
        <v>1495</v>
      </c>
      <c r="D334" t="s">
        <v>82</v>
      </c>
      <c r="E334" s="40">
        <v>45855</v>
      </c>
      <c r="F334" s="20">
        <v>45880</v>
      </c>
      <c r="G334" t="s">
        <v>1165</v>
      </c>
      <c r="H334" s="45">
        <v>600</v>
      </c>
      <c r="I334" t="s">
        <v>1166</v>
      </c>
      <c r="J334" t="s">
        <v>255</v>
      </c>
      <c r="K334" t="s">
        <v>1419</v>
      </c>
      <c r="L334" t="s">
        <v>1420</v>
      </c>
      <c r="M334" t="s">
        <v>1430</v>
      </c>
      <c r="N334" t="s">
        <v>1532</v>
      </c>
    </row>
    <row r="335" spans="1:14" x14ac:dyDescent="0.25">
      <c r="A335" s="13">
        <v>2025</v>
      </c>
      <c r="B335" t="s">
        <v>2091</v>
      </c>
      <c r="C335" t="s">
        <v>1495</v>
      </c>
      <c r="D335" t="s">
        <v>1410</v>
      </c>
      <c r="E335" s="40">
        <v>45673</v>
      </c>
      <c r="F335" s="20">
        <v>45699</v>
      </c>
      <c r="G335" t="s">
        <v>876</v>
      </c>
      <c r="H335" s="45">
        <v>624</v>
      </c>
      <c r="I335" t="s">
        <v>877</v>
      </c>
      <c r="J335" t="s">
        <v>878</v>
      </c>
      <c r="K335" t="s">
        <v>1424</v>
      </c>
      <c r="L335">
        <v>0</v>
      </c>
      <c r="M335" t="s">
        <v>1432</v>
      </c>
      <c r="N335" t="s">
        <v>1532</v>
      </c>
    </row>
    <row r="336" spans="1:14" x14ac:dyDescent="0.25">
      <c r="A336" s="13">
        <v>2025</v>
      </c>
      <c r="B336" t="s">
        <v>2189</v>
      </c>
      <c r="C336" t="s">
        <v>1504</v>
      </c>
      <c r="D336" t="s">
        <v>1411</v>
      </c>
      <c r="E336" s="40">
        <v>45963</v>
      </c>
      <c r="F336" s="20">
        <v>45989</v>
      </c>
      <c r="G336" t="s">
        <v>1339</v>
      </c>
      <c r="H336" s="45">
        <v>624</v>
      </c>
      <c r="I336" t="s">
        <v>1338</v>
      </c>
      <c r="J336" t="s">
        <v>87</v>
      </c>
      <c r="K336" t="s">
        <v>1424</v>
      </c>
      <c r="L336">
        <v>0</v>
      </c>
      <c r="M336" t="s">
        <v>1432</v>
      </c>
      <c r="N336" t="s">
        <v>1532</v>
      </c>
    </row>
    <row r="337" spans="1:14" x14ac:dyDescent="0.25">
      <c r="A337" s="13">
        <v>2025</v>
      </c>
      <c r="B337" t="s">
        <v>2182</v>
      </c>
      <c r="C337" t="s">
        <v>1488</v>
      </c>
      <c r="D337" t="s">
        <v>1412</v>
      </c>
      <c r="E337" s="40">
        <v>45988</v>
      </c>
      <c r="F337" s="20">
        <v>46014</v>
      </c>
      <c r="G337" t="s">
        <v>294</v>
      </c>
      <c r="H337" s="45">
        <v>624</v>
      </c>
      <c r="I337" t="s">
        <v>1376</v>
      </c>
      <c r="J337" t="s">
        <v>1375</v>
      </c>
      <c r="K337" t="s">
        <v>1418</v>
      </c>
      <c r="L337">
        <v>0</v>
      </c>
      <c r="M337" t="s">
        <v>1431</v>
      </c>
      <c r="N337" t="s">
        <v>1532</v>
      </c>
    </row>
    <row r="338" spans="1:14" x14ac:dyDescent="0.25">
      <c r="A338" s="13">
        <v>2025</v>
      </c>
      <c r="B338" t="s">
        <v>2179</v>
      </c>
      <c r="C338" t="s">
        <v>1488</v>
      </c>
      <c r="D338" t="s">
        <v>94</v>
      </c>
      <c r="E338" s="40">
        <v>45926</v>
      </c>
      <c r="F338" s="20">
        <v>45953</v>
      </c>
      <c r="G338" t="s">
        <v>26</v>
      </c>
      <c r="H338" s="45">
        <v>648</v>
      </c>
      <c r="I338" t="s">
        <v>1274</v>
      </c>
      <c r="J338" t="s">
        <v>100</v>
      </c>
      <c r="K338" t="s">
        <v>1419</v>
      </c>
      <c r="L338" t="s">
        <v>1420</v>
      </c>
      <c r="M338" t="s">
        <v>1430</v>
      </c>
      <c r="N338" t="s">
        <v>1532</v>
      </c>
    </row>
    <row r="339" spans="1:14" x14ac:dyDescent="0.25">
      <c r="A339" s="13">
        <v>2025</v>
      </c>
      <c r="B339" t="s">
        <v>2066</v>
      </c>
      <c r="C339" t="s">
        <v>1505</v>
      </c>
      <c r="D339" t="s">
        <v>94</v>
      </c>
      <c r="E339" s="40">
        <v>45927</v>
      </c>
      <c r="F339" s="20">
        <v>45961</v>
      </c>
      <c r="G339" t="s">
        <v>1296</v>
      </c>
      <c r="H339" s="45">
        <v>680</v>
      </c>
      <c r="I339" t="s">
        <v>1364</v>
      </c>
      <c r="J339" t="s">
        <v>1297</v>
      </c>
      <c r="K339" t="s">
        <v>1424</v>
      </c>
      <c r="L339">
        <v>0</v>
      </c>
      <c r="M339" t="s">
        <v>1432</v>
      </c>
      <c r="N339" t="s">
        <v>1530</v>
      </c>
    </row>
    <row r="340" spans="1:14" x14ac:dyDescent="0.25">
      <c r="A340" s="13">
        <v>2025</v>
      </c>
      <c r="B340" t="s">
        <v>2101</v>
      </c>
      <c r="C340" t="s">
        <v>1511</v>
      </c>
      <c r="D340" t="s">
        <v>24</v>
      </c>
      <c r="E340" s="40">
        <v>45701</v>
      </c>
      <c r="F340" s="20">
        <v>45730</v>
      </c>
      <c r="G340" t="s">
        <v>31</v>
      </c>
      <c r="H340" s="45">
        <v>696</v>
      </c>
      <c r="I340" t="s">
        <v>976</v>
      </c>
      <c r="J340" t="s">
        <v>977</v>
      </c>
      <c r="K340" t="s">
        <v>1424</v>
      </c>
      <c r="L340">
        <v>0</v>
      </c>
      <c r="M340" t="s">
        <v>1432</v>
      </c>
      <c r="N340" t="s">
        <v>1532</v>
      </c>
    </row>
    <row r="341" spans="1:14" x14ac:dyDescent="0.25">
      <c r="A341" s="13">
        <v>2025</v>
      </c>
      <c r="B341" t="s">
        <v>2146</v>
      </c>
      <c r="C341" t="s">
        <v>1509</v>
      </c>
      <c r="D341" t="s">
        <v>70</v>
      </c>
      <c r="E341" s="40">
        <v>45830</v>
      </c>
      <c r="F341" s="20">
        <v>45859</v>
      </c>
      <c r="G341" t="s">
        <v>31</v>
      </c>
      <c r="H341" s="45">
        <v>696</v>
      </c>
      <c r="I341" t="s">
        <v>1136</v>
      </c>
      <c r="J341" t="s">
        <v>1034</v>
      </c>
      <c r="K341" t="s">
        <v>1418</v>
      </c>
      <c r="L341">
        <v>0</v>
      </c>
      <c r="M341" t="s">
        <v>1431</v>
      </c>
      <c r="N341" t="s">
        <v>1532</v>
      </c>
    </row>
    <row r="342" spans="1:14" x14ac:dyDescent="0.25">
      <c r="A342" s="13">
        <v>2025</v>
      </c>
      <c r="B342" t="s">
        <v>2174</v>
      </c>
      <c r="C342" t="s">
        <v>1513</v>
      </c>
      <c r="D342" t="s">
        <v>90</v>
      </c>
      <c r="E342" s="40">
        <v>45900</v>
      </c>
      <c r="F342" s="20">
        <v>45929</v>
      </c>
      <c r="G342" t="s">
        <v>1234</v>
      </c>
      <c r="H342" s="45">
        <v>696</v>
      </c>
      <c r="I342" t="s">
        <v>1235</v>
      </c>
      <c r="J342" t="s">
        <v>1236</v>
      </c>
      <c r="K342" t="s">
        <v>1425</v>
      </c>
      <c r="L342">
        <v>0</v>
      </c>
      <c r="M342" t="s">
        <v>1432</v>
      </c>
      <c r="N342" t="s">
        <v>1532</v>
      </c>
    </row>
    <row r="343" spans="1:14" x14ac:dyDescent="0.25">
      <c r="A343" s="13">
        <v>2025</v>
      </c>
      <c r="B343" t="s">
        <v>2088</v>
      </c>
      <c r="C343" t="s">
        <v>1502</v>
      </c>
      <c r="D343" t="s">
        <v>1410</v>
      </c>
      <c r="E343" s="40">
        <v>45668</v>
      </c>
      <c r="F343" s="20">
        <v>45698</v>
      </c>
      <c r="G343" t="s">
        <v>589</v>
      </c>
      <c r="H343" s="45">
        <v>720</v>
      </c>
      <c r="I343" t="s">
        <v>874</v>
      </c>
      <c r="J343" t="s">
        <v>657</v>
      </c>
      <c r="K343" t="s">
        <v>1418</v>
      </c>
      <c r="L343">
        <v>0</v>
      </c>
      <c r="M343" t="s">
        <v>1431</v>
      </c>
      <c r="N343" t="s">
        <v>1532</v>
      </c>
    </row>
    <row r="344" spans="1:14" x14ac:dyDescent="0.25">
      <c r="A344" s="13">
        <v>2025</v>
      </c>
      <c r="B344" t="s">
        <v>2121</v>
      </c>
      <c r="C344" t="s">
        <v>1500</v>
      </c>
      <c r="D344" t="s">
        <v>82</v>
      </c>
      <c r="E344" s="40">
        <v>45843</v>
      </c>
      <c r="F344" s="20">
        <v>45873</v>
      </c>
      <c r="G344" t="s">
        <v>72</v>
      </c>
      <c r="H344" s="45">
        <v>720</v>
      </c>
      <c r="I344" t="s">
        <v>1152</v>
      </c>
      <c r="J344" t="s">
        <v>937</v>
      </c>
      <c r="K344" t="s">
        <v>1419</v>
      </c>
      <c r="L344" t="s">
        <v>1423</v>
      </c>
      <c r="M344" t="s">
        <v>1430</v>
      </c>
      <c r="N344" t="s">
        <v>1532</v>
      </c>
    </row>
    <row r="345" spans="1:14" x14ac:dyDescent="0.25">
      <c r="A345" s="13">
        <v>2025</v>
      </c>
      <c r="B345" t="s">
        <v>2121</v>
      </c>
      <c r="C345" t="s">
        <v>1500</v>
      </c>
      <c r="D345" t="s">
        <v>82</v>
      </c>
      <c r="E345" s="40">
        <v>45843</v>
      </c>
      <c r="F345" s="20">
        <v>45873</v>
      </c>
      <c r="G345" t="s">
        <v>632</v>
      </c>
      <c r="H345" s="45">
        <v>720</v>
      </c>
      <c r="I345" t="s">
        <v>1159</v>
      </c>
      <c r="J345" t="s">
        <v>1158</v>
      </c>
      <c r="K345" t="s">
        <v>1419</v>
      </c>
      <c r="L345" t="s">
        <v>1427</v>
      </c>
      <c r="M345" t="s">
        <v>1430</v>
      </c>
      <c r="N345" t="s">
        <v>1532</v>
      </c>
    </row>
    <row r="346" spans="1:14" x14ac:dyDescent="0.25">
      <c r="A346" s="13">
        <v>2025</v>
      </c>
      <c r="B346" t="s">
        <v>2108</v>
      </c>
      <c r="C346" t="s">
        <v>1493</v>
      </c>
      <c r="D346" t="s">
        <v>33</v>
      </c>
      <c r="E346" s="40">
        <v>45724</v>
      </c>
      <c r="F346" s="20">
        <v>45755</v>
      </c>
      <c r="G346" t="s">
        <v>31</v>
      </c>
      <c r="H346" s="45">
        <v>744</v>
      </c>
      <c r="I346" t="s">
        <v>971</v>
      </c>
      <c r="J346" t="s">
        <v>2109</v>
      </c>
      <c r="K346" t="s">
        <v>1419</v>
      </c>
      <c r="L346" t="s">
        <v>1426</v>
      </c>
      <c r="M346" t="s">
        <v>1430</v>
      </c>
      <c r="N346" t="s">
        <v>1532</v>
      </c>
    </row>
    <row r="347" spans="1:14" x14ac:dyDescent="0.25">
      <c r="A347" s="13">
        <v>2025</v>
      </c>
      <c r="B347" t="s">
        <v>2071</v>
      </c>
      <c r="C347" t="s">
        <v>1507</v>
      </c>
      <c r="D347" t="s">
        <v>1410</v>
      </c>
      <c r="E347" s="40">
        <v>45674</v>
      </c>
      <c r="F347" s="20">
        <v>45706</v>
      </c>
      <c r="G347" t="s">
        <v>107</v>
      </c>
      <c r="H347" s="45">
        <v>768</v>
      </c>
      <c r="I347" t="s">
        <v>901</v>
      </c>
      <c r="J347" t="s">
        <v>2093</v>
      </c>
      <c r="K347" t="s">
        <v>1419</v>
      </c>
      <c r="L347" t="s">
        <v>1420</v>
      </c>
      <c r="M347" t="s">
        <v>1430</v>
      </c>
      <c r="N347" t="s">
        <v>1532</v>
      </c>
    </row>
    <row r="348" spans="1:14" x14ac:dyDescent="0.25">
      <c r="A348" s="13">
        <v>2025</v>
      </c>
      <c r="B348" t="s">
        <v>2125</v>
      </c>
      <c r="C348" t="s">
        <v>1508</v>
      </c>
      <c r="D348" t="s">
        <v>41</v>
      </c>
      <c r="E348" s="40">
        <v>45775</v>
      </c>
      <c r="F348" s="20">
        <v>45807</v>
      </c>
      <c r="G348" t="s">
        <v>17</v>
      </c>
      <c r="H348" s="45">
        <v>768</v>
      </c>
      <c r="I348" t="s">
        <v>1035</v>
      </c>
      <c r="J348" t="s">
        <v>653</v>
      </c>
      <c r="K348" t="s">
        <v>1424</v>
      </c>
      <c r="L348">
        <v>0</v>
      </c>
      <c r="M348" t="s">
        <v>1432</v>
      </c>
      <c r="N348" t="s">
        <v>1532</v>
      </c>
    </row>
    <row r="349" spans="1:14" x14ac:dyDescent="0.25">
      <c r="A349" s="13">
        <v>2025</v>
      </c>
      <c r="B349" t="s">
        <v>2185</v>
      </c>
      <c r="C349" t="s">
        <v>1489</v>
      </c>
      <c r="D349" t="s">
        <v>1411</v>
      </c>
      <c r="E349" s="40">
        <v>45953</v>
      </c>
      <c r="F349" s="20">
        <v>45985</v>
      </c>
      <c r="G349" t="s">
        <v>1330</v>
      </c>
      <c r="H349" s="45">
        <v>768</v>
      </c>
      <c r="I349" t="s">
        <v>1331</v>
      </c>
      <c r="J349" t="s">
        <v>1332</v>
      </c>
      <c r="K349" t="s">
        <v>1419</v>
      </c>
      <c r="L349" t="s">
        <v>1427</v>
      </c>
      <c r="M349" t="s">
        <v>1430</v>
      </c>
      <c r="N349" t="s">
        <v>1532</v>
      </c>
    </row>
    <row r="350" spans="1:14" x14ac:dyDescent="0.25">
      <c r="A350" s="13">
        <v>2025</v>
      </c>
      <c r="B350" t="s">
        <v>2190</v>
      </c>
      <c r="C350" t="s">
        <v>1500</v>
      </c>
      <c r="D350" t="s">
        <v>1412</v>
      </c>
      <c r="E350" s="40">
        <v>45963</v>
      </c>
      <c r="F350" s="20">
        <v>45995</v>
      </c>
      <c r="G350" t="s">
        <v>1089</v>
      </c>
      <c r="H350" s="45">
        <v>768</v>
      </c>
      <c r="I350" t="s">
        <v>1343</v>
      </c>
      <c r="J350" t="s">
        <v>1344</v>
      </c>
      <c r="K350" t="s">
        <v>1424</v>
      </c>
      <c r="L350">
        <v>0</v>
      </c>
      <c r="M350" t="s">
        <v>1432</v>
      </c>
      <c r="N350" t="s">
        <v>1532</v>
      </c>
    </row>
    <row r="351" spans="1:14" x14ac:dyDescent="0.25">
      <c r="A351" s="13">
        <v>2025</v>
      </c>
      <c r="B351" t="s">
        <v>2205</v>
      </c>
      <c r="C351" t="s">
        <v>1513</v>
      </c>
      <c r="D351" t="s">
        <v>94</v>
      </c>
      <c r="E351" s="40">
        <v>45920</v>
      </c>
      <c r="F351" s="20">
        <v>45959</v>
      </c>
      <c r="G351" t="s">
        <v>1048</v>
      </c>
      <c r="H351" s="45">
        <v>780</v>
      </c>
      <c r="I351" t="s">
        <v>1282</v>
      </c>
      <c r="J351" t="s">
        <v>1281</v>
      </c>
      <c r="K351" t="s">
        <v>1424</v>
      </c>
      <c r="L351">
        <v>0</v>
      </c>
      <c r="M351" t="s">
        <v>1432</v>
      </c>
      <c r="N351" t="s">
        <v>1530</v>
      </c>
    </row>
    <row r="352" spans="1:14" x14ac:dyDescent="0.25">
      <c r="A352" s="13">
        <v>2025</v>
      </c>
      <c r="B352" t="s">
        <v>2173</v>
      </c>
      <c r="C352" t="s">
        <v>1499</v>
      </c>
      <c r="D352" t="s">
        <v>94</v>
      </c>
      <c r="E352" s="40">
        <v>45898</v>
      </c>
      <c r="F352" s="20">
        <v>45933</v>
      </c>
      <c r="G352" t="s">
        <v>106</v>
      </c>
      <c r="H352" s="45">
        <v>840</v>
      </c>
      <c r="I352" t="s">
        <v>1246</v>
      </c>
      <c r="J352" t="s">
        <v>57</v>
      </c>
      <c r="K352" t="s">
        <v>1424</v>
      </c>
      <c r="L352">
        <v>0</v>
      </c>
      <c r="M352" t="s">
        <v>1432</v>
      </c>
      <c r="N352" t="s">
        <v>1532</v>
      </c>
    </row>
    <row r="353" spans="1:14" x14ac:dyDescent="0.25">
      <c r="A353" s="13">
        <v>2025</v>
      </c>
      <c r="B353" t="s">
        <v>2175</v>
      </c>
      <c r="C353" t="s">
        <v>1492</v>
      </c>
      <c r="D353" t="s">
        <v>94</v>
      </c>
      <c r="E353" s="40">
        <v>45901</v>
      </c>
      <c r="F353" s="20">
        <v>45936</v>
      </c>
      <c r="G353" t="s">
        <v>1089</v>
      </c>
      <c r="H353" s="45">
        <v>840</v>
      </c>
      <c r="I353" t="s">
        <v>1249</v>
      </c>
      <c r="J353" t="s">
        <v>1250</v>
      </c>
      <c r="K353" t="s">
        <v>1419</v>
      </c>
      <c r="L353" t="s">
        <v>1426</v>
      </c>
      <c r="M353" t="s">
        <v>1430</v>
      </c>
      <c r="N353" t="s">
        <v>1532</v>
      </c>
    </row>
    <row r="354" spans="1:14" x14ac:dyDescent="0.25">
      <c r="A354" s="13">
        <v>2025</v>
      </c>
      <c r="B354" t="s">
        <v>2176</v>
      </c>
      <c r="C354" t="s">
        <v>1496</v>
      </c>
      <c r="D354" t="s">
        <v>94</v>
      </c>
      <c r="E354" s="40">
        <v>45907</v>
      </c>
      <c r="F354" s="20">
        <v>45943</v>
      </c>
      <c r="G354" t="s">
        <v>10</v>
      </c>
      <c r="H354" s="45">
        <v>864</v>
      </c>
      <c r="I354" t="s">
        <v>1259</v>
      </c>
      <c r="J354" t="s">
        <v>1260</v>
      </c>
      <c r="K354" t="s">
        <v>1425</v>
      </c>
      <c r="L354">
        <v>0</v>
      </c>
      <c r="M354" t="s">
        <v>1432</v>
      </c>
      <c r="N354" t="s">
        <v>1532</v>
      </c>
    </row>
    <row r="355" spans="1:14" x14ac:dyDescent="0.25">
      <c r="A355" s="13">
        <v>2025</v>
      </c>
      <c r="B355" t="s">
        <v>2133</v>
      </c>
      <c r="C355" t="s">
        <v>1511</v>
      </c>
      <c r="D355" t="s">
        <v>70</v>
      </c>
      <c r="E355" s="40">
        <v>45814</v>
      </c>
      <c r="F355" s="20">
        <v>45852</v>
      </c>
      <c r="G355" t="s">
        <v>108</v>
      </c>
      <c r="H355" s="45">
        <v>912</v>
      </c>
      <c r="I355" t="s">
        <v>1114</v>
      </c>
      <c r="J355" t="s">
        <v>1113</v>
      </c>
      <c r="K355" t="s">
        <v>1419</v>
      </c>
      <c r="L355" t="s">
        <v>1427</v>
      </c>
      <c r="M355" t="s">
        <v>1430</v>
      </c>
      <c r="N355" t="s">
        <v>1532</v>
      </c>
    </row>
    <row r="356" spans="1:14" x14ac:dyDescent="0.25">
      <c r="A356" s="13">
        <v>2025</v>
      </c>
      <c r="B356" t="s">
        <v>2176</v>
      </c>
      <c r="C356" t="s">
        <v>1496</v>
      </c>
      <c r="D356" t="s">
        <v>94</v>
      </c>
      <c r="E356" s="40">
        <v>45905</v>
      </c>
      <c r="F356" s="20">
        <v>45943</v>
      </c>
      <c r="G356" t="s">
        <v>42</v>
      </c>
      <c r="H356" s="45">
        <v>912</v>
      </c>
      <c r="I356" t="s">
        <v>1258</v>
      </c>
      <c r="J356" t="s">
        <v>1257</v>
      </c>
      <c r="K356" t="s">
        <v>1424</v>
      </c>
      <c r="L356">
        <v>0</v>
      </c>
      <c r="M356" t="s">
        <v>1430</v>
      </c>
      <c r="N356" t="s">
        <v>1532</v>
      </c>
    </row>
    <row r="357" spans="1:14" x14ac:dyDescent="0.25">
      <c r="A357" s="13">
        <v>2025</v>
      </c>
      <c r="B357" t="s">
        <v>2187</v>
      </c>
      <c r="C357" t="s">
        <v>1491</v>
      </c>
      <c r="D357" t="s">
        <v>1412</v>
      </c>
      <c r="E357" s="40">
        <v>45954</v>
      </c>
      <c r="F357" s="20">
        <v>45992</v>
      </c>
      <c r="G357" t="s">
        <v>895</v>
      </c>
      <c r="H357" s="45">
        <v>912</v>
      </c>
      <c r="I357" t="s">
        <v>1341</v>
      </c>
      <c r="J357" t="s">
        <v>667</v>
      </c>
      <c r="K357" t="s">
        <v>1418</v>
      </c>
      <c r="L357">
        <v>0</v>
      </c>
      <c r="M357" t="s">
        <v>1431</v>
      </c>
      <c r="N357" t="s">
        <v>1532</v>
      </c>
    </row>
    <row r="358" spans="1:14" x14ac:dyDescent="0.25">
      <c r="A358" s="13">
        <v>2025</v>
      </c>
      <c r="B358" t="s">
        <v>2152</v>
      </c>
      <c r="C358" t="s">
        <v>1507</v>
      </c>
      <c r="D358" t="s">
        <v>82</v>
      </c>
      <c r="E358" s="40">
        <v>45848</v>
      </c>
      <c r="F358" s="20">
        <v>45887</v>
      </c>
      <c r="G358" t="s">
        <v>1183</v>
      </c>
      <c r="H358" s="45">
        <v>936</v>
      </c>
      <c r="I358" t="s">
        <v>1182</v>
      </c>
      <c r="J358" t="s">
        <v>1181</v>
      </c>
      <c r="K358" t="s">
        <v>1419</v>
      </c>
      <c r="L358" t="s">
        <v>1420</v>
      </c>
      <c r="M358" t="s">
        <v>1430</v>
      </c>
      <c r="N358" t="s">
        <v>1532</v>
      </c>
    </row>
    <row r="359" spans="1:14" x14ac:dyDescent="0.25">
      <c r="A359" s="13">
        <v>2025</v>
      </c>
      <c r="B359" t="s">
        <v>2079</v>
      </c>
      <c r="C359" t="s">
        <v>1509</v>
      </c>
      <c r="D359" t="s">
        <v>25</v>
      </c>
      <c r="E359" s="40">
        <v>45638</v>
      </c>
      <c r="F359" s="20">
        <v>45678</v>
      </c>
      <c r="G359" t="s">
        <v>16</v>
      </c>
      <c r="H359" s="45">
        <v>960</v>
      </c>
      <c r="I359" t="s">
        <v>793</v>
      </c>
      <c r="J359" t="s">
        <v>171</v>
      </c>
      <c r="K359" t="s">
        <v>1418</v>
      </c>
      <c r="L359">
        <v>0</v>
      </c>
      <c r="M359" t="s">
        <v>1431</v>
      </c>
      <c r="N359" t="s">
        <v>1532</v>
      </c>
    </row>
    <row r="360" spans="1:14" x14ac:dyDescent="0.25">
      <c r="A360" s="13">
        <v>2025</v>
      </c>
      <c r="B360" t="s">
        <v>2161</v>
      </c>
      <c r="C360" t="s">
        <v>1487</v>
      </c>
      <c r="D360" t="s">
        <v>90</v>
      </c>
      <c r="E360" s="40">
        <v>45877</v>
      </c>
      <c r="F360" s="20">
        <v>45919</v>
      </c>
      <c r="G360" t="s">
        <v>1218</v>
      </c>
      <c r="H360" s="45">
        <v>1008</v>
      </c>
      <c r="I360" t="s">
        <v>1219</v>
      </c>
      <c r="J360" t="s">
        <v>103</v>
      </c>
      <c r="K360" t="s">
        <v>1419</v>
      </c>
      <c r="L360" t="s">
        <v>1427</v>
      </c>
      <c r="M360" t="s">
        <v>1430</v>
      </c>
      <c r="N360" t="s">
        <v>1532</v>
      </c>
    </row>
    <row r="361" spans="1:14" x14ac:dyDescent="0.25">
      <c r="A361" s="13">
        <v>2025</v>
      </c>
      <c r="B361" t="s">
        <v>2119</v>
      </c>
      <c r="C361" t="s">
        <v>1489</v>
      </c>
      <c r="D361" t="s">
        <v>41</v>
      </c>
      <c r="E361" s="40">
        <v>45758</v>
      </c>
      <c r="F361" s="20">
        <v>45801</v>
      </c>
      <c r="G361" t="s">
        <v>812</v>
      </c>
      <c r="H361" s="45">
        <v>1032</v>
      </c>
      <c r="I361" t="s">
        <v>1019</v>
      </c>
      <c r="J361" t="s">
        <v>1020</v>
      </c>
      <c r="K361" t="s">
        <v>1419</v>
      </c>
      <c r="L361" t="s">
        <v>1427</v>
      </c>
      <c r="M361" t="s">
        <v>1430</v>
      </c>
      <c r="N361" t="s">
        <v>1532</v>
      </c>
    </row>
    <row r="362" spans="1:14" x14ac:dyDescent="0.25">
      <c r="A362" s="13">
        <v>2025</v>
      </c>
      <c r="B362" t="s">
        <v>2089</v>
      </c>
      <c r="C362" t="s">
        <v>1512</v>
      </c>
      <c r="D362" t="s">
        <v>1410</v>
      </c>
      <c r="E362" s="40">
        <v>45669</v>
      </c>
      <c r="F362" s="20">
        <v>45713</v>
      </c>
      <c r="G362" t="s">
        <v>74</v>
      </c>
      <c r="H362" s="45">
        <v>1056</v>
      </c>
      <c r="I362" t="s">
        <v>911</v>
      </c>
      <c r="J362" t="s">
        <v>912</v>
      </c>
      <c r="K362" t="s">
        <v>1419</v>
      </c>
      <c r="L362" t="s">
        <v>1426</v>
      </c>
      <c r="M362" t="s">
        <v>1430</v>
      </c>
      <c r="N362" t="s">
        <v>1532</v>
      </c>
    </row>
    <row r="363" spans="1:14" x14ac:dyDescent="0.25">
      <c r="A363" s="13">
        <v>2025</v>
      </c>
      <c r="B363" t="s">
        <v>2164</v>
      </c>
      <c r="C363" t="s">
        <v>1489</v>
      </c>
      <c r="D363" t="s">
        <v>90</v>
      </c>
      <c r="E363" s="40">
        <v>45879</v>
      </c>
      <c r="F363" s="20">
        <v>45924</v>
      </c>
      <c r="G363" t="s">
        <v>30</v>
      </c>
      <c r="H363" s="45">
        <v>1080</v>
      </c>
      <c r="I363" t="s">
        <v>1223</v>
      </c>
      <c r="J363" t="s">
        <v>1224</v>
      </c>
      <c r="K363" t="s">
        <v>1418</v>
      </c>
      <c r="L363">
        <v>0</v>
      </c>
      <c r="M363" t="s">
        <v>1431</v>
      </c>
      <c r="N363" t="s">
        <v>1532</v>
      </c>
    </row>
    <row r="364" spans="1:14" x14ac:dyDescent="0.25">
      <c r="A364" s="13">
        <v>2025</v>
      </c>
      <c r="B364" t="s">
        <v>2202</v>
      </c>
      <c r="C364" t="s">
        <v>1491</v>
      </c>
      <c r="D364" t="s">
        <v>24</v>
      </c>
      <c r="E364" s="40">
        <v>45661</v>
      </c>
      <c r="F364" s="20">
        <v>45717</v>
      </c>
      <c r="G364" t="s">
        <v>99</v>
      </c>
      <c r="H364" s="45">
        <v>1120</v>
      </c>
      <c r="I364" t="s">
        <v>918</v>
      </c>
      <c r="J364" t="s">
        <v>917</v>
      </c>
      <c r="K364" t="s">
        <v>1419</v>
      </c>
      <c r="L364" t="s">
        <v>1420</v>
      </c>
      <c r="M364" t="s">
        <v>1430</v>
      </c>
      <c r="N364" t="s">
        <v>1530</v>
      </c>
    </row>
    <row r="365" spans="1:14" x14ac:dyDescent="0.25">
      <c r="A365" s="13">
        <v>2025</v>
      </c>
      <c r="B365" t="s">
        <v>2084</v>
      </c>
      <c r="C365" t="s">
        <v>1509</v>
      </c>
      <c r="D365" t="s">
        <v>1410</v>
      </c>
      <c r="E365" s="40">
        <v>45662</v>
      </c>
      <c r="F365" s="20">
        <v>45709</v>
      </c>
      <c r="G365" t="s">
        <v>812</v>
      </c>
      <c r="H365" s="45">
        <v>1128</v>
      </c>
      <c r="I365" t="s">
        <v>908</v>
      </c>
      <c r="J365" t="s">
        <v>2085</v>
      </c>
      <c r="K365" t="s">
        <v>1419</v>
      </c>
      <c r="L365" t="s">
        <v>1423</v>
      </c>
      <c r="M365" t="s">
        <v>1430</v>
      </c>
      <c r="N365" t="s">
        <v>1532</v>
      </c>
    </row>
    <row r="366" spans="1:14" x14ac:dyDescent="0.25">
      <c r="A366" s="13">
        <v>2025</v>
      </c>
      <c r="B366" t="s">
        <v>2135</v>
      </c>
      <c r="C366" t="s">
        <v>1495</v>
      </c>
      <c r="D366" t="s">
        <v>70</v>
      </c>
      <c r="E366" s="40">
        <v>45801</v>
      </c>
      <c r="F366" s="20">
        <v>45849</v>
      </c>
      <c r="G366" t="s">
        <v>111</v>
      </c>
      <c r="H366" s="45">
        <v>1152</v>
      </c>
      <c r="I366" t="s">
        <v>1106</v>
      </c>
      <c r="J366" t="s">
        <v>564</v>
      </c>
      <c r="K366" t="s">
        <v>1419</v>
      </c>
      <c r="L366" t="s">
        <v>1427</v>
      </c>
      <c r="M366" t="s">
        <v>1430</v>
      </c>
      <c r="N366" t="s">
        <v>1532</v>
      </c>
    </row>
    <row r="367" spans="1:14" x14ac:dyDescent="0.25">
      <c r="A367" s="13">
        <v>2025</v>
      </c>
      <c r="B367" t="s">
        <v>2123</v>
      </c>
      <c r="C367" t="s">
        <v>1493</v>
      </c>
      <c r="D367" t="s">
        <v>65</v>
      </c>
      <c r="E367" s="40">
        <v>45767</v>
      </c>
      <c r="F367" s="20">
        <v>45816</v>
      </c>
      <c r="G367" t="s">
        <v>1048</v>
      </c>
      <c r="H367" s="45">
        <v>1176</v>
      </c>
      <c r="I367" t="s">
        <v>1047</v>
      </c>
      <c r="J367" t="s">
        <v>1050</v>
      </c>
      <c r="K367" t="s">
        <v>1419</v>
      </c>
      <c r="L367" t="s">
        <v>1421</v>
      </c>
      <c r="M367" t="s">
        <v>1430</v>
      </c>
      <c r="N367" t="s">
        <v>1532</v>
      </c>
    </row>
    <row r="368" spans="1:14" x14ac:dyDescent="0.25">
      <c r="A368" s="13">
        <v>2025</v>
      </c>
      <c r="B368" t="s">
        <v>2148</v>
      </c>
      <c r="C368" t="s">
        <v>1511</v>
      </c>
      <c r="D368" t="s">
        <v>82</v>
      </c>
      <c r="E368" s="40">
        <v>45834</v>
      </c>
      <c r="F368" s="20">
        <v>45883</v>
      </c>
      <c r="G368" t="s">
        <v>28</v>
      </c>
      <c r="H368" s="45">
        <v>1176</v>
      </c>
      <c r="I368" t="s">
        <v>1174</v>
      </c>
      <c r="J368" t="s">
        <v>1173</v>
      </c>
      <c r="K368" t="s">
        <v>1418</v>
      </c>
      <c r="L368">
        <v>0</v>
      </c>
      <c r="M368" t="s">
        <v>1431</v>
      </c>
      <c r="N368" t="s">
        <v>1532</v>
      </c>
    </row>
    <row r="369" spans="1:14" x14ac:dyDescent="0.25">
      <c r="A369" s="13">
        <v>2025</v>
      </c>
      <c r="B369" t="s">
        <v>2159</v>
      </c>
      <c r="C369" t="s">
        <v>1483</v>
      </c>
      <c r="D369" t="s">
        <v>90</v>
      </c>
      <c r="E369" s="40">
        <v>45876</v>
      </c>
      <c r="F369" s="20">
        <v>45926</v>
      </c>
      <c r="G369" t="s">
        <v>106</v>
      </c>
      <c r="H369" s="45">
        <v>1200</v>
      </c>
      <c r="I369" t="s">
        <v>1230</v>
      </c>
      <c r="J369" t="s">
        <v>1232</v>
      </c>
      <c r="K369" t="s">
        <v>1425</v>
      </c>
      <c r="L369">
        <v>0</v>
      </c>
      <c r="M369" t="s">
        <v>1431</v>
      </c>
      <c r="N369" t="s">
        <v>1532</v>
      </c>
    </row>
    <row r="370" spans="1:14" x14ac:dyDescent="0.25">
      <c r="A370" s="13">
        <v>2025</v>
      </c>
      <c r="B370" t="s">
        <v>2133</v>
      </c>
      <c r="C370" t="s">
        <v>1511</v>
      </c>
      <c r="D370" t="s">
        <v>70</v>
      </c>
      <c r="E370" s="40">
        <v>45800</v>
      </c>
      <c r="F370" s="20">
        <v>45852</v>
      </c>
      <c r="G370" t="s">
        <v>1110</v>
      </c>
      <c r="H370" s="45">
        <v>1248</v>
      </c>
      <c r="I370" t="s">
        <v>1111</v>
      </c>
      <c r="J370" t="s">
        <v>2134</v>
      </c>
      <c r="K370" t="s">
        <v>1419</v>
      </c>
      <c r="L370" t="s">
        <v>1423</v>
      </c>
      <c r="M370" t="s">
        <v>1430</v>
      </c>
      <c r="N370" t="s">
        <v>1532</v>
      </c>
    </row>
    <row r="371" spans="1:14" x14ac:dyDescent="0.25">
      <c r="A371" s="13">
        <v>2025</v>
      </c>
      <c r="B371" t="s">
        <v>2178</v>
      </c>
      <c r="C371" t="s">
        <v>1499</v>
      </c>
      <c r="D371" t="s">
        <v>1411</v>
      </c>
      <c r="E371" s="40">
        <v>45911</v>
      </c>
      <c r="F371" s="20">
        <v>45964</v>
      </c>
      <c r="G371" t="s">
        <v>1304</v>
      </c>
      <c r="H371" s="45">
        <v>1272</v>
      </c>
      <c r="I371" t="s">
        <v>1305</v>
      </c>
      <c r="J371" t="s">
        <v>255</v>
      </c>
      <c r="K371" t="s">
        <v>1419</v>
      </c>
      <c r="L371" t="s">
        <v>1420</v>
      </c>
      <c r="M371" t="s">
        <v>1430</v>
      </c>
      <c r="N371" t="s">
        <v>1532</v>
      </c>
    </row>
    <row r="372" spans="1:14" x14ac:dyDescent="0.25">
      <c r="A372" s="13">
        <v>2025</v>
      </c>
      <c r="B372" t="s">
        <v>2186</v>
      </c>
      <c r="C372" t="s">
        <v>1478</v>
      </c>
      <c r="D372" t="s">
        <v>1412</v>
      </c>
      <c r="E372" s="40">
        <v>45953</v>
      </c>
      <c r="F372" s="20">
        <v>46007</v>
      </c>
      <c r="G372" t="s">
        <v>102</v>
      </c>
      <c r="H372" s="45">
        <v>1296</v>
      </c>
      <c r="I372" t="s">
        <v>1359</v>
      </c>
      <c r="J372" t="s">
        <v>653</v>
      </c>
      <c r="K372" t="s">
        <v>1424</v>
      </c>
      <c r="L372">
        <v>0</v>
      </c>
      <c r="M372" t="s">
        <v>1432</v>
      </c>
      <c r="N372" t="s">
        <v>1532</v>
      </c>
    </row>
    <row r="373" spans="1:14" x14ac:dyDescent="0.25">
      <c r="A373" s="13">
        <v>2025</v>
      </c>
      <c r="B373" t="s">
        <v>2188</v>
      </c>
      <c r="C373" t="s">
        <v>1489</v>
      </c>
      <c r="D373" t="s">
        <v>1412</v>
      </c>
      <c r="E373" s="40">
        <v>45961</v>
      </c>
      <c r="F373" s="20">
        <v>46015</v>
      </c>
      <c r="G373" t="s">
        <v>11</v>
      </c>
      <c r="H373" s="45">
        <v>1296</v>
      </c>
      <c r="I373" t="s">
        <v>1369</v>
      </c>
      <c r="J373" t="s">
        <v>1370</v>
      </c>
      <c r="K373" t="s">
        <v>1424</v>
      </c>
      <c r="L373">
        <v>0</v>
      </c>
      <c r="M373" t="s">
        <v>1432</v>
      </c>
      <c r="N373" t="s">
        <v>1532</v>
      </c>
    </row>
    <row r="374" spans="1:14" x14ac:dyDescent="0.25">
      <c r="A374" s="13">
        <v>2025</v>
      </c>
      <c r="B374" t="s">
        <v>2192</v>
      </c>
      <c r="C374" t="s">
        <v>1505</v>
      </c>
      <c r="D374" t="s">
        <v>1412</v>
      </c>
      <c r="E374" s="40">
        <v>45968</v>
      </c>
      <c r="F374" s="20">
        <v>46022</v>
      </c>
      <c r="G374" t="s">
        <v>10</v>
      </c>
      <c r="H374" s="45">
        <v>1296</v>
      </c>
      <c r="I374" t="s">
        <v>1392</v>
      </c>
      <c r="J374" t="s">
        <v>1393</v>
      </c>
      <c r="K374" t="s">
        <v>1424</v>
      </c>
      <c r="L374">
        <v>0</v>
      </c>
      <c r="M374" t="s">
        <v>1431</v>
      </c>
      <c r="N374" t="s">
        <v>1532</v>
      </c>
    </row>
    <row r="375" spans="1:14" x14ac:dyDescent="0.25">
      <c r="A375" s="13">
        <v>2025</v>
      </c>
      <c r="B375" t="s">
        <v>2158</v>
      </c>
      <c r="C375" t="s">
        <v>1491</v>
      </c>
      <c r="D375" t="s">
        <v>94</v>
      </c>
      <c r="E375" s="40">
        <v>45872</v>
      </c>
      <c r="F375" s="20">
        <v>45931</v>
      </c>
      <c r="G375" t="s">
        <v>12</v>
      </c>
      <c r="H375" s="45">
        <v>1416</v>
      </c>
      <c r="I375" t="s">
        <v>1287</v>
      </c>
      <c r="J375" t="s">
        <v>1295</v>
      </c>
      <c r="K375" t="s">
        <v>1418</v>
      </c>
      <c r="L375">
        <v>0</v>
      </c>
      <c r="M375" t="s">
        <v>1431</v>
      </c>
      <c r="N375" t="s">
        <v>1532</v>
      </c>
    </row>
    <row r="376" spans="1:14" x14ac:dyDescent="0.25">
      <c r="A376" s="13">
        <v>2025</v>
      </c>
      <c r="B376" t="s">
        <v>2168</v>
      </c>
      <c r="C376" t="s">
        <v>1497</v>
      </c>
      <c r="D376" t="s">
        <v>94</v>
      </c>
      <c r="E376" s="40">
        <v>45884</v>
      </c>
      <c r="F376" s="20">
        <v>45945</v>
      </c>
      <c r="G376" t="s">
        <v>895</v>
      </c>
      <c r="H376" s="45">
        <v>1464</v>
      </c>
      <c r="I376" t="s">
        <v>1265</v>
      </c>
      <c r="J376" t="s">
        <v>255</v>
      </c>
      <c r="K376" t="s">
        <v>1419</v>
      </c>
      <c r="L376" t="s">
        <v>1420</v>
      </c>
      <c r="M376" t="s">
        <v>1430</v>
      </c>
      <c r="N376" t="s">
        <v>1532</v>
      </c>
    </row>
    <row r="377" spans="1:14" x14ac:dyDescent="0.25">
      <c r="A377" s="13">
        <v>2025</v>
      </c>
      <c r="B377" t="s">
        <v>2080</v>
      </c>
      <c r="C377" t="s">
        <v>1496</v>
      </c>
      <c r="D377" t="s">
        <v>1410</v>
      </c>
      <c r="E377" s="40">
        <v>45639</v>
      </c>
      <c r="F377" s="20">
        <v>45701</v>
      </c>
      <c r="G377" t="s">
        <v>11</v>
      </c>
      <c r="H377" s="45">
        <v>1488</v>
      </c>
      <c r="I377" t="s">
        <v>884</v>
      </c>
      <c r="J377" t="s">
        <v>885</v>
      </c>
      <c r="K377" t="s">
        <v>1424</v>
      </c>
      <c r="L377">
        <v>0</v>
      </c>
      <c r="M377" t="s">
        <v>1432</v>
      </c>
      <c r="N377" t="s">
        <v>1532</v>
      </c>
    </row>
    <row r="378" spans="1:14" x14ac:dyDescent="0.25">
      <c r="A378" s="13">
        <v>2025</v>
      </c>
      <c r="B378" t="s">
        <v>2138</v>
      </c>
      <c r="C378" t="s">
        <v>1491</v>
      </c>
      <c r="D378" t="s">
        <v>82</v>
      </c>
      <c r="E378" s="40">
        <v>45807</v>
      </c>
      <c r="F378" s="20">
        <v>45870</v>
      </c>
      <c r="G378" t="s">
        <v>665</v>
      </c>
      <c r="H378" s="45">
        <v>1512</v>
      </c>
      <c r="I378" t="s">
        <v>1150</v>
      </c>
      <c r="J378" t="s">
        <v>1151</v>
      </c>
      <c r="K378" t="s">
        <v>1418</v>
      </c>
      <c r="L378">
        <v>0</v>
      </c>
      <c r="M378" t="s">
        <v>1430</v>
      </c>
      <c r="N378" t="s">
        <v>1532</v>
      </c>
    </row>
    <row r="379" spans="1:14" x14ac:dyDescent="0.25">
      <c r="A379" s="13">
        <v>2025</v>
      </c>
      <c r="B379" t="s">
        <v>2126</v>
      </c>
      <c r="C379" t="s">
        <v>1499</v>
      </c>
      <c r="D379" t="s">
        <v>70</v>
      </c>
      <c r="E379" s="40">
        <v>45775</v>
      </c>
      <c r="F379" s="20">
        <v>45841</v>
      </c>
      <c r="G379" t="s">
        <v>1096</v>
      </c>
      <c r="H379" s="45">
        <v>1584</v>
      </c>
      <c r="I379" t="s">
        <v>1097</v>
      </c>
      <c r="J379" t="s">
        <v>1098</v>
      </c>
      <c r="K379" t="s">
        <v>1419</v>
      </c>
      <c r="L379" t="s">
        <v>1427</v>
      </c>
      <c r="M379" t="s">
        <v>1430</v>
      </c>
      <c r="N379" t="s">
        <v>1532</v>
      </c>
    </row>
    <row r="380" spans="1:14" x14ac:dyDescent="0.25">
      <c r="A380" s="13">
        <v>2025</v>
      </c>
      <c r="B380" t="s">
        <v>2083</v>
      </c>
      <c r="C380" t="s">
        <v>1502</v>
      </c>
      <c r="D380" t="s">
        <v>24</v>
      </c>
      <c r="E380" s="40">
        <v>45658</v>
      </c>
      <c r="F380" s="20">
        <v>45726</v>
      </c>
      <c r="G380" t="s">
        <v>294</v>
      </c>
      <c r="H380" s="45">
        <v>1632</v>
      </c>
      <c r="I380" t="s">
        <v>935</v>
      </c>
      <c r="J380" t="s">
        <v>936</v>
      </c>
      <c r="K380" t="s">
        <v>1418</v>
      </c>
      <c r="L380">
        <v>0</v>
      </c>
      <c r="M380" t="s">
        <v>1431</v>
      </c>
      <c r="N380" t="s">
        <v>1532</v>
      </c>
    </row>
    <row r="381" spans="1:14" x14ac:dyDescent="0.25">
      <c r="A381" s="13">
        <v>2025</v>
      </c>
      <c r="B381" t="s">
        <v>2165</v>
      </c>
      <c r="C381" t="s">
        <v>1509</v>
      </c>
      <c r="D381" t="s">
        <v>94</v>
      </c>
      <c r="E381" s="40">
        <v>45883</v>
      </c>
      <c r="F381" s="20">
        <v>45951</v>
      </c>
      <c r="G381" t="s">
        <v>1125</v>
      </c>
      <c r="H381" s="45">
        <v>1632</v>
      </c>
      <c r="I381" t="s">
        <v>1270</v>
      </c>
      <c r="J381" t="s">
        <v>2166</v>
      </c>
      <c r="K381" t="s">
        <v>1419</v>
      </c>
      <c r="L381" t="s">
        <v>1423</v>
      </c>
      <c r="M381" t="s">
        <v>1430</v>
      </c>
      <c r="N381" t="s">
        <v>1532</v>
      </c>
    </row>
    <row r="382" spans="1:14" x14ac:dyDescent="0.25">
      <c r="A382" s="13">
        <v>2025</v>
      </c>
      <c r="B382" t="s">
        <v>2169</v>
      </c>
      <c r="C382" t="s">
        <v>1489</v>
      </c>
      <c r="D382" t="s">
        <v>94</v>
      </c>
      <c r="E382" s="40">
        <v>45886</v>
      </c>
      <c r="F382" s="20">
        <v>45954</v>
      </c>
      <c r="G382" t="s">
        <v>1277</v>
      </c>
      <c r="H382" s="45">
        <v>1632</v>
      </c>
      <c r="I382" t="s">
        <v>1276</v>
      </c>
      <c r="J382" t="s">
        <v>1275</v>
      </c>
      <c r="K382" t="s">
        <v>1419</v>
      </c>
      <c r="L382" t="s">
        <v>1420</v>
      </c>
      <c r="M382" t="s">
        <v>1430</v>
      </c>
      <c r="N382" t="s">
        <v>1532</v>
      </c>
    </row>
    <row r="383" spans="1:14" x14ac:dyDescent="0.25">
      <c r="A383" s="13">
        <v>2025</v>
      </c>
      <c r="B383" t="s">
        <v>2120</v>
      </c>
      <c r="C383" t="s">
        <v>1490</v>
      </c>
      <c r="D383" t="s">
        <v>65</v>
      </c>
      <c r="E383" s="40">
        <v>45766</v>
      </c>
      <c r="F383" s="20">
        <v>45835</v>
      </c>
      <c r="G383" t="s">
        <v>1072</v>
      </c>
      <c r="H383" s="45">
        <v>1656</v>
      </c>
      <c r="I383" t="s">
        <v>1118</v>
      </c>
      <c r="J383" t="s">
        <v>1073</v>
      </c>
      <c r="K383" t="s">
        <v>1424</v>
      </c>
      <c r="L383">
        <v>0</v>
      </c>
      <c r="M383" t="s">
        <v>1431</v>
      </c>
      <c r="N383" t="s">
        <v>1532</v>
      </c>
    </row>
    <row r="384" spans="1:14" x14ac:dyDescent="0.25">
      <c r="A384" s="13">
        <v>2025</v>
      </c>
      <c r="B384" t="s">
        <v>2149</v>
      </c>
      <c r="C384" t="s">
        <v>1499</v>
      </c>
      <c r="D384" t="s">
        <v>90</v>
      </c>
      <c r="E384" s="40">
        <v>45834</v>
      </c>
      <c r="F384" s="20">
        <v>45903</v>
      </c>
      <c r="G384" t="s">
        <v>97</v>
      </c>
      <c r="H384" s="45">
        <v>1656</v>
      </c>
      <c r="I384" t="s">
        <v>1192</v>
      </c>
      <c r="J384" t="s">
        <v>1191</v>
      </c>
      <c r="K384" t="s">
        <v>1424</v>
      </c>
      <c r="L384">
        <v>0</v>
      </c>
      <c r="M384" t="s">
        <v>1432</v>
      </c>
      <c r="N384" t="s">
        <v>1532</v>
      </c>
    </row>
    <row r="385" spans="1:14" x14ac:dyDescent="0.25">
      <c r="A385" s="13">
        <v>2025</v>
      </c>
      <c r="B385" t="s">
        <v>2124</v>
      </c>
      <c r="C385" t="s">
        <v>1491</v>
      </c>
      <c r="D385" t="s">
        <v>70</v>
      </c>
      <c r="E385" s="40">
        <v>45768</v>
      </c>
      <c r="F385" s="20">
        <v>45839</v>
      </c>
      <c r="G385" t="s">
        <v>113</v>
      </c>
      <c r="H385" s="45">
        <v>1704</v>
      </c>
      <c r="I385" t="s">
        <v>1091</v>
      </c>
      <c r="J385" t="s">
        <v>1092</v>
      </c>
      <c r="K385" t="s">
        <v>1419</v>
      </c>
      <c r="L385" t="s">
        <v>1428</v>
      </c>
      <c r="M385" t="s">
        <v>1430</v>
      </c>
      <c r="N385" t="s">
        <v>1532</v>
      </c>
    </row>
    <row r="386" spans="1:14" x14ac:dyDescent="0.25">
      <c r="A386" s="13">
        <v>2025</v>
      </c>
      <c r="B386" t="s">
        <v>2204</v>
      </c>
      <c r="C386" t="s">
        <v>1503</v>
      </c>
      <c r="D386" t="s">
        <v>90</v>
      </c>
      <c r="E386" s="40">
        <v>45830</v>
      </c>
      <c r="F386" s="20">
        <v>45922</v>
      </c>
      <c r="G386" t="s">
        <v>1289</v>
      </c>
      <c r="H386" s="45">
        <v>1840</v>
      </c>
      <c r="I386" t="s">
        <v>1290</v>
      </c>
      <c r="J386" t="s">
        <v>1291</v>
      </c>
      <c r="K386" t="s">
        <v>1418</v>
      </c>
      <c r="L386">
        <v>0</v>
      </c>
      <c r="M386" t="s">
        <v>1431</v>
      </c>
      <c r="N386" t="s">
        <v>1530</v>
      </c>
    </row>
    <row r="387" spans="1:14" x14ac:dyDescent="0.25">
      <c r="A387" s="13">
        <v>2025</v>
      </c>
      <c r="B387" t="s">
        <v>2182</v>
      </c>
      <c r="C387" t="s">
        <v>1488</v>
      </c>
      <c r="D387" t="s">
        <v>1412</v>
      </c>
      <c r="E387" s="40">
        <v>45935</v>
      </c>
      <c r="F387" s="20">
        <v>46014</v>
      </c>
      <c r="G387" t="s">
        <v>1373</v>
      </c>
      <c r="H387" s="45">
        <v>1896</v>
      </c>
      <c r="I387" t="s">
        <v>1372</v>
      </c>
      <c r="J387" t="s">
        <v>1374</v>
      </c>
      <c r="K387" t="s">
        <v>1424</v>
      </c>
      <c r="L387">
        <v>0</v>
      </c>
      <c r="M387" t="s">
        <v>1430</v>
      </c>
      <c r="N387" t="s">
        <v>1532</v>
      </c>
    </row>
    <row r="388" spans="1:14" x14ac:dyDescent="0.25">
      <c r="A388" s="13">
        <v>2025</v>
      </c>
      <c r="B388" t="s">
        <v>2177</v>
      </c>
      <c r="C388" t="s">
        <v>1483</v>
      </c>
      <c r="D388" t="s">
        <v>1411</v>
      </c>
      <c r="E388" s="40">
        <v>45905</v>
      </c>
      <c r="F388" s="20">
        <v>45987</v>
      </c>
      <c r="G388" t="s">
        <v>1234</v>
      </c>
      <c r="H388" s="45">
        <v>1968</v>
      </c>
      <c r="I388" t="s">
        <v>1334</v>
      </c>
      <c r="J388" t="s">
        <v>1335</v>
      </c>
      <c r="K388" t="s">
        <v>1419</v>
      </c>
      <c r="L388" t="s">
        <v>1427</v>
      </c>
      <c r="M388" t="s">
        <v>1430</v>
      </c>
      <c r="N388" t="s">
        <v>1532</v>
      </c>
    </row>
    <row r="389" spans="1:14" x14ac:dyDescent="0.25">
      <c r="A389" s="13">
        <v>2025</v>
      </c>
      <c r="B389" t="s">
        <v>2103</v>
      </c>
      <c r="C389" t="s">
        <v>1508</v>
      </c>
      <c r="D389" t="s">
        <v>65</v>
      </c>
      <c r="E389" s="40">
        <v>45752</v>
      </c>
      <c r="F389" s="20">
        <v>45838</v>
      </c>
      <c r="G389" t="s">
        <v>73</v>
      </c>
      <c r="H389" s="45">
        <v>2064</v>
      </c>
      <c r="I389" t="s">
        <v>1080</v>
      </c>
      <c r="J389" t="s">
        <v>1081</v>
      </c>
      <c r="K389" t="s">
        <v>1419</v>
      </c>
      <c r="L389" t="s">
        <v>1427</v>
      </c>
      <c r="M389" t="s">
        <v>1430</v>
      </c>
      <c r="N389" t="s">
        <v>1532</v>
      </c>
    </row>
    <row r="390" spans="1:14" x14ac:dyDescent="0.25">
      <c r="A390" s="13">
        <v>2025</v>
      </c>
      <c r="B390" t="s">
        <v>2181</v>
      </c>
      <c r="C390" t="s">
        <v>1508</v>
      </c>
      <c r="D390" t="s">
        <v>1412</v>
      </c>
      <c r="E390" s="40">
        <v>45928</v>
      </c>
      <c r="F390" s="20">
        <v>46021</v>
      </c>
      <c r="G390" t="s">
        <v>1391</v>
      </c>
      <c r="H390" s="45">
        <v>2232</v>
      </c>
      <c r="I390" t="s">
        <v>1390</v>
      </c>
      <c r="J390" t="s">
        <v>1389</v>
      </c>
      <c r="K390" t="s">
        <v>1418</v>
      </c>
      <c r="L390">
        <v>0</v>
      </c>
      <c r="M390" t="s">
        <v>1431</v>
      </c>
      <c r="N390" t="s">
        <v>1532</v>
      </c>
    </row>
    <row r="391" spans="1:14" x14ac:dyDescent="0.25">
      <c r="A391" s="13">
        <v>2025</v>
      </c>
      <c r="B391" t="s">
        <v>2068</v>
      </c>
      <c r="C391" t="s">
        <v>1497</v>
      </c>
      <c r="D391" t="s">
        <v>90</v>
      </c>
      <c r="E391" s="40">
        <v>45821</v>
      </c>
      <c r="F391" s="20">
        <v>45915</v>
      </c>
      <c r="G391" t="s">
        <v>1197</v>
      </c>
      <c r="H391" s="45">
        <v>2256</v>
      </c>
      <c r="I391" t="s">
        <v>1198</v>
      </c>
      <c r="J391" t="s">
        <v>255</v>
      </c>
      <c r="K391" t="s">
        <v>1419</v>
      </c>
      <c r="L391" t="s">
        <v>1420</v>
      </c>
      <c r="M391" t="s">
        <v>1430</v>
      </c>
      <c r="N391" t="s">
        <v>1532</v>
      </c>
    </row>
    <row r="392" spans="1:14" x14ac:dyDescent="0.25">
      <c r="A392" s="13">
        <v>2025</v>
      </c>
      <c r="B392" t="s">
        <v>2099</v>
      </c>
      <c r="C392" t="s">
        <v>1496</v>
      </c>
      <c r="D392" t="s">
        <v>41</v>
      </c>
      <c r="E392" s="40">
        <v>45690</v>
      </c>
      <c r="F392" s="20">
        <v>45790</v>
      </c>
      <c r="G392" t="s">
        <v>21</v>
      </c>
      <c r="H392" s="45">
        <v>2400</v>
      </c>
      <c r="I392" t="s">
        <v>1000</v>
      </c>
      <c r="J392" t="s">
        <v>999</v>
      </c>
      <c r="K392" t="s">
        <v>1424</v>
      </c>
      <c r="L392">
        <v>0</v>
      </c>
      <c r="M392" t="s">
        <v>1430</v>
      </c>
      <c r="N392" t="s">
        <v>1532</v>
      </c>
    </row>
    <row r="393" spans="1:14" x14ac:dyDescent="0.25">
      <c r="A393" s="13">
        <v>2025</v>
      </c>
      <c r="B393" t="s">
        <v>2172</v>
      </c>
      <c r="C393" t="s">
        <v>1494</v>
      </c>
      <c r="D393" t="s">
        <v>1412</v>
      </c>
      <c r="E393" s="40">
        <v>45897</v>
      </c>
      <c r="F393" s="20">
        <v>46000</v>
      </c>
      <c r="G393" t="s">
        <v>1277</v>
      </c>
      <c r="H393" s="45">
        <v>2472</v>
      </c>
      <c r="I393" t="s">
        <v>1348</v>
      </c>
      <c r="J393" t="s">
        <v>1349</v>
      </c>
      <c r="K393" t="s">
        <v>1419</v>
      </c>
      <c r="L393" t="s">
        <v>1420</v>
      </c>
      <c r="M393" t="s">
        <v>1430</v>
      </c>
      <c r="N393" t="s">
        <v>1532</v>
      </c>
    </row>
    <row r="394" spans="1:14" x14ac:dyDescent="0.25">
      <c r="A394" s="13">
        <v>2025</v>
      </c>
      <c r="B394" t="s">
        <v>2116</v>
      </c>
      <c r="C394" t="s">
        <v>1501</v>
      </c>
      <c r="D394" t="s">
        <v>70</v>
      </c>
      <c r="E394" s="40">
        <v>45750</v>
      </c>
      <c r="F394" s="20">
        <v>45855</v>
      </c>
      <c r="G394" t="s">
        <v>1125</v>
      </c>
      <c r="H394" s="45">
        <v>2520</v>
      </c>
      <c r="I394" t="s">
        <v>1124</v>
      </c>
      <c r="J394" t="s">
        <v>1123</v>
      </c>
      <c r="K394" t="s">
        <v>1419</v>
      </c>
      <c r="L394" t="s">
        <v>1420</v>
      </c>
      <c r="M394" t="s">
        <v>1430</v>
      </c>
      <c r="N394" t="s">
        <v>1532</v>
      </c>
    </row>
    <row r="395" spans="1:14" x14ac:dyDescent="0.25">
      <c r="A395" s="13">
        <v>2025</v>
      </c>
      <c r="B395" t="s">
        <v>2121</v>
      </c>
      <c r="C395" t="s">
        <v>1500</v>
      </c>
      <c r="D395" t="s">
        <v>82</v>
      </c>
      <c r="E395" s="40">
        <v>45766</v>
      </c>
      <c r="F395" s="20">
        <v>45873</v>
      </c>
      <c r="G395" t="s">
        <v>73</v>
      </c>
      <c r="H395" s="45">
        <v>2568</v>
      </c>
      <c r="I395" t="s">
        <v>1160</v>
      </c>
      <c r="J395" t="s">
        <v>1024</v>
      </c>
      <c r="K395" t="s">
        <v>1419</v>
      </c>
      <c r="L395" t="s">
        <v>1423</v>
      </c>
      <c r="M395" t="s">
        <v>1430</v>
      </c>
      <c r="N395" t="s">
        <v>1532</v>
      </c>
    </row>
    <row r="396" spans="1:14" x14ac:dyDescent="0.25">
      <c r="A396" s="13">
        <v>2025</v>
      </c>
      <c r="B396" t="s">
        <v>2075</v>
      </c>
      <c r="C396" t="s">
        <v>1504</v>
      </c>
      <c r="D396" t="s">
        <v>25</v>
      </c>
      <c r="E396" s="40">
        <v>45577</v>
      </c>
      <c r="F396" s="20">
        <v>45685</v>
      </c>
      <c r="G396" t="s">
        <v>861</v>
      </c>
      <c r="H396" s="45">
        <v>2592</v>
      </c>
      <c r="I396" t="s">
        <v>862</v>
      </c>
      <c r="J396" t="s">
        <v>863</v>
      </c>
      <c r="K396" t="s">
        <v>1419</v>
      </c>
      <c r="L396" t="s">
        <v>1420</v>
      </c>
      <c r="M396" t="s">
        <v>1430</v>
      </c>
      <c r="N396" t="s">
        <v>1532</v>
      </c>
    </row>
    <row r="397" spans="1:14" x14ac:dyDescent="0.25">
      <c r="A397" s="13">
        <v>2025</v>
      </c>
      <c r="B397" t="s">
        <v>2086</v>
      </c>
      <c r="C397" t="s">
        <v>1508</v>
      </c>
      <c r="D397" t="s">
        <v>33</v>
      </c>
      <c r="E397" s="40">
        <v>45668</v>
      </c>
      <c r="F397" s="20">
        <v>45777</v>
      </c>
      <c r="G397" t="s">
        <v>987</v>
      </c>
      <c r="H397" s="45">
        <v>2616</v>
      </c>
      <c r="I397" t="s">
        <v>988</v>
      </c>
      <c r="J397" t="s">
        <v>989</v>
      </c>
      <c r="K397" t="s">
        <v>1424</v>
      </c>
      <c r="L397">
        <v>0</v>
      </c>
      <c r="M397" t="s">
        <v>1432</v>
      </c>
      <c r="N397" t="s">
        <v>1532</v>
      </c>
    </row>
    <row r="398" spans="1:14" x14ac:dyDescent="0.25">
      <c r="A398" s="13">
        <v>2025</v>
      </c>
      <c r="B398" t="s">
        <v>2086</v>
      </c>
      <c r="C398" t="s">
        <v>1508</v>
      </c>
      <c r="D398" t="s">
        <v>33</v>
      </c>
      <c r="E398" s="40">
        <v>45667</v>
      </c>
      <c r="F398" s="20">
        <v>45777</v>
      </c>
      <c r="G398" t="s">
        <v>67</v>
      </c>
      <c r="H398" s="45">
        <v>2640</v>
      </c>
      <c r="I398" t="s">
        <v>985</v>
      </c>
      <c r="J398" t="s">
        <v>986</v>
      </c>
      <c r="K398" t="s">
        <v>1424</v>
      </c>
      <c r="L398">
        <v>0</v>
      </c>
      <c r="M398" t="s">
        <v>1432</v>
      </c>
      <c r="N398" t="s">
        <v>1532</v>
      </c>
    </row>
    <row r="399" spans="1:14" x14ac:dyDescent="0.25">
      <c r="A399" s="13">
        <v>2025</v>
      </c>
      <c r="B399" t="s">
        <v>2105</v>
      </c>
      <c r="C399" t="s">
        <v>1496</v>
      </c>
      <c r="D399" t="s">
        <v>65</v>
      </c>
      <c r="E399" s="40">
        <v>45711</v>
      </c>
      <c r="F399" s="20">
        <v>45821</v>
      </c>
      <c r="G399" t="s">
        <v>815</v>
      </c>
      <c r="H399" s="45">
        <v>2640</v>
      </c>
      <c r="I399" t="s">
        <v>1055</v>
      </c>
      <c r="J399" t="s">
        <v>1054</v>
      </c>
      <c r="K399" t="s">
        <v>1418</v>
      </c>
      <c r="L399">
        <v>0</v>
      </c>
      <c r="M399" t="s">
        <v>1430</v>
      </c>
      <c r="N399" t="s">
        <v>1532</v>
      </c>
    </row>
    <row r="400" spans="1:14" x14ac:dyDescent="0.25">
      <c r="A400" s="13">
        <v>2025</v>
      </c>
      <c r="B400" t="s">
        <v>2142</v>
      </c>
      <c r="C400" t="s">
        <v>1490</v>
      </c>
      <c r="D400" t="s">
        <v>90</v>
      </c>
      <c r="E400" s="40">
        <v>45816</v>
      </c>
      <c r="F400" s="20">
        <v>45927</v>
      </c>
      <c r="G400" t="s">
        <v>106</v>
      </c>
      <c r="H400" s="45">
        <v>2664</v>
      </c>
      <c r="I400" t="s">
        <v>1240</v>
      </c>
      <c r="J400" t="s">
        <v>171</v>
      </c>
      <c r="K400" t="s">
        <v>1418</v>
      </c>
      <c r="L400">
        <v>0</v>
      </c>
      <c r="M400" t="s">
        <v>1431</v>
      </c>
      <c r="N400" t="s">
        <v>1532</v>
      </c>
    </row>
    <row r="401" spans="1:14" x14ac:dyDescent="0.25">
      <c r="A401" s="13">
        <v>2025</v>
      </c>
      <c r="B401" t="s">
        <v>2207</v>
      </c>
      <c r="C401" t="s">
        <v>1509</v>
      </c>
      <c r="D401" t="s">
        <v>1411</v>
      </c>
      <c r="E401" s="40">
        <v>45848</v>
      </c>
      <c r="F401" s="20">
        <v>45982</v>
      </c>
      <c r="G401" t="s">
        <v>1321</v>
      </c>
      <c r="H401" s="45">
        <v>2680</v>
      </c>
      <c r="I401" t="s">
        <v>1322</v>
      </c>
      <c r="J401" t="s">
        <v>1323</v>
      </c>
      <c r="K401" t="s">
        <v>1419</v>
      </c>
      <c r="L401" t="s">
        <v>1426</v>
      </c>
      <c r="M401" t="s">
        <v>1430</v>
      </c>
      <c r="N401" t="s">
        <v>1530</v>
      </c>
    </row>
    <row r="402" spans="1:14" x14ac:dyDescent="0.25">
      <c r="A402" s="13">
        <v>2025</v>
      </c>
      <c r="B402" t="s">
        <v>2208</v>
      </c>
      <c r="C402" t="s">
        <v>1513</v>
      </c>
      <c r="D402" t="s">
        <v>1412</v>
      </c>
      <c r="E402" s="40">
        <v>45872</v>
      </c>
      <c r="F402" s="20">
        <v>46020</v>
      </c>
      <c r="G402" t="s">
        <v>887</v>
      </c>
      <c r="H402" s="45">
        <v>2960</v>
      </c>
      <c r="I402" t="s">
        <v>1381</v>
      </c>
      <c r="J402" t="s">
        <v>2166</v>
      </c>
      <c r="K402" t="s">
        <v>1419</v>
      </c>
      <c r="L402" t="s">
        <v>1423</v>
      </c>
      <c r="M402" t="s">
        <v>1430</v>
      </c>
      <c r="N402" t="s">
        <v>1530</v>
      </c>
    </row>
    <row r="403" spans="1:14" x14ac:dyDescent="0.25">
      <c r="A403" s="13">
        <v>2025</v>
      </c>
      <c r="B403" t="s">
        <v>2136</v>
      </c>
      <c r="C403" t="s">
        <v>1512</v>
      </c>
      <c r="D403" t="s">
        <v>90</v>
      </c>
      <c r="E403" s="40">
        <v>45801</v>
      </c>
      <c r="F403" s="20">
        <v>45925</v>
      </c>
      <c r="G403" t="s">
        <v>106</v>
      </c>
      <c r="H403" s="45">
        <v>2976</v>
      </c>
      <c r="I403" t="s">
        <v>1227</v>
      </c>
      <c r="J403" t="s">
        <v>1228</v>
      </c>
      <c r="K403" t="s">
        <v>1419</v>
      </c>
      <c r="L403" t="s">
        <v>1426</v>
      </c>
      <c r="M403" t="s">
        <v>1430</v>
      </c>
      <c r="N403" t="s">
        <v>1532</v>
      </c>
    </row>
    <row r="404" spans="1:14" x14ac:dyDescent="0.25">
      <c r="A404" s="13">
        <v>2025</v>
      </c>
      <c r="B404" t="s">
        <v>2103</v>
      </c>
      <c r="C404" t="s">
        <v>1508</v>
      </c>
      <c r="D404" t="s">
        <v>65</v>
      </c>
      <c r="E404" s="40">
        <v>45709</v>
      </c>
      <c r="F404" s="20">
        <v>45838</v>
      </c>
      <c r="G404" t="s">
        <v>28</v>
      </c>
      <c r="H404" s="45">
        <v>3096</v>
      </c>
      <c r="I404" t="s">
        <v>1078</v>
      </c>
      <c r="J404" t="s">
        <v>1077</v>
      </c>
      <c r="K404" t="s">
        <v>1419</v>
      </c>
      <c r="L404" t="s">
        <v>1427</v>
      </c>
      <c r="M404" t="s">
        <v>1430</v>
      </c>
      <c r="N404" t="s">
        <v>1532</v>
      </c>
    </row>
    <row r="405" spans="1:14" x14ac:dyDescent="0.25">
      <c r="A405" s="13">
        <v>2025</v>
      </c>
      <c r="B405" t="s">
        <v>2103</v>
      </c>
      <c r="C405" t="s">
        <v>1508</v>
      </c>
      <c r="D405" t="s">
        <v>65</v>
      </c>
      <c r="E405" s="40">
        <v>45704</v>
      </c>
      <c r="F405" s="20">
        <v>45838</v>
      </c>
      <c r="G405" t="s">
        <v>1084</v>
      </c>
      <c r="H405" s="45">
        <v>3216</v>
      </c>
      <c r="I405" t="s">
        <v>1085</v>
      </c>
      <c r="J405" t="s">
        <v>1086</v>
      </c>
      <c r="K405" t="s">
        <v>1418</v>
      </c>
      <c r="L405">
        <v>0</v>
      </c>
      <c r="M405" t="s">
        <v>1431</v>
      </c>
      <c r="N405" t="s">
        <v>1532</v>
      </c>
    </row>
    <row r="406" spans="1:14" x14ac:dyDescent="0.25">
      <c r="A406" s="13">
        <v>2025</v>
      </c>
      <c r="B406" t="s">
        <v>2110</v>
      </c>
      <c r="C406" t="s">
        <v>1483</v>
      </c>
      <c r="D406" t="s">
        <v>70</v>
      </c>
      <c r="E406" s="40">
        <v>45729</v>
      </c>
      <c r="F406" s="20">
        <v>45864</v>
      </c>
      <c r="G406" t="s">
        <v>1141</v>
      </c>
      <c r="H406" s="45">
        <v>3240</v>
      </c>
      <c r="I406" t="s">
        <v>1140</v>
      </c>
      <c r="J406" t="s">
        <v>100</v>
      </c>
      <c r="K406" t="s">
        <v>1419</v>
      </c>
      <c r="L406" t="s">
        <v>1420</v>
      </c>
      <c r="M406" t="s">
        <v>1430</v>
      </c>
      <c r="N406" t="s">
        <v>1532</v>
      </c>
    </row>
    <row r="407" spans="1:14" x14ac:dyDescent="0.25">
      <c r="A407" s="13">
        <v>2025</v>
      </c>
      <c r="B407" t="s">
        <v>2143</v>
      </c>
      <c r="C407" t="s">
        <v>1508</v>
      </c>
      <c r="D407" t="s">
        <v>94</v>
      </c>
      <c r="E407" s="40">
        <v>45821</v>
      </c>
      <c r="F407" s="20">
        <v>45960</v>
      </c>
      <c r="G407" t="s">
        <v>74</v>
      </c>
      <c r="H407" s="45">
        <v>3336</v>
      </c>
      <c r="I407" t="s">
        <v>1284</v>
      </c>
      <c r="J407" t="s">
        <v>1285</v>
      </c>
      <c r="K407" t="s">
        <v>1424</v>
      </c>
      <c r="L407">
        <v>0</v>
      </c>
      <c r="M407" t="s">
        <v>1430</v>
      </c>
      <c r="N407" t="s">
        <v>1532</v>
      </c>
    </row>
    <row r="408" spans="1:14" x14ac:dyDescent="0.25">
      <c r="A408" s="13">
        <v>2025</v>
      </c>
      <c r="B408" t="s">
        <v>2081</v>
      </c>
      <c r="C408" t="s">
        <v>1487</v>
      </c>
      <c r="D408" t="s">
        <v>41</v>
      </c>
      <c r="E408" s="40">
        <v>45645</v>
      </c>
      <c r="F408" s="20">
        <v>45796</v>
      </c>
      <c r="G408" t="s">
        <v>645</v>
      </c>
      <c r="H408" s="45">
        <v>3624</v>
      </c>
      <c r="I408" t="s">
        <v>1013</v>
      </c>
      <c r="J408" t="s">
        <v>1014</v>
      </c>
      <c r="K408" t="s">
        <v>1424</v>
      </c>
      <c r="L408">
        <v>0</v>
      </c>
      <c r="M408" t="s">
        <v>1432</v>
      </c>
      <c r="N408" t="s">
        <v>1532</v>
      </c>
    </row>
    <row r="409" spans="1:14" x14ac:dyDescent="0.25">
      <c r="A409" s="13">
        <v>2025</v>
      </c>
      <c r="B409" t="s">
        <v>2191</v>
      </c>
      <c r="C409" t="s">
        <v>1480</v>
      </c>
      <c r="D409" t="s">
        <v>1411</v>
      </c>
      <c r="E409" s="40">
        <v>45792</v>
      </c>
      <c r="F409" s="20">
        <v>45981</v>
      </c>
      <c r="G409" t="s">
        <v>35</v>
      </c>
      <c r="H409" s="45">
        <v>3780</v>
      </c>
      <c r="I409" t="s">
        <v>1318</v>
      </c>
      <c r="J409" t="s">
        <v>1319</v>
      </c>
      <c r="K409" t="s">
        <v>1424</v>
      </c>
      <c r="L409">
        <v>0</v>
      </c>
      <c r="M409" t="s">
        <v>1432</v>
      </c>
      <c r="N409" t="s">
        <v>1530</v>
      </c>
    </row>
    <row r="410" spans="1:14" x14ac:dyDescent="0.25">
      <c r="A410" s="13">
        <v>2025</v>
      </c>
      <c r="B410" t="s">
        <v>2073</v>
      </c>
      <c r="C410" t="s">
        <v>1480</v>
      </c>
      <c r="D410" t="s">
        <v>1410</v>
      </c>
      <c r="E410" s="40">
        <v>45550</v>
      </c>
      <c r="F410" s="20">
        <v>45708</v>
      </c>
      <c r="G410" t="s">
        <v>904</v>
      </c>
      <c r="H410" s="45">
        <v>3792</v>
      </c>
      <c r="I410" t="s">
        <v>905</v>
      </c>
      <c r="J410" t="s">
        <v>906</v>
      </c>
      <c r="K410" t="s">
        <v>1418</v>
      </c>
      <c r="L410">
        <v>0</v>
      </c>
      <c r="M410" t="s">
        <v>1430</v>
      </c>
      <c r="N410" t="s">
        <v>1532</v>
      </c>
    </row>
    <row r="411" spans="1:14" x14ac:dyDescent="0.25">
      <c r="A411" s="13">
        <v>2025</v>
      </c>
      <c r="B411" t="s">
        <v>2067</v>
      </c>
      <c r="C411" t="s">
        <v>1496</v>
      </c>
      <c r="D411" t="s">
        <v>82</v>
      </c>
      <c r="E411" s="40">
        <v>45723</v>
      </c>
      <c r="F411" s="20">
        <v>45882</v>
      </c>
      <c r="G411" t="s">
        <v>61</v>
      </c>
      <c r="H411" s="45">
        <v>3816</v>
      </c>
      <c r="I411" t="s">
        <v>1169</v>
      </c>
      <c r="J411" t="s">
        <v>255</v>
      </c>
      <c r="K411" t="s">
        <v>1419</v>
      </c>
      <c r="L411" t="s">
        <v>1420</v>
      </c>
      <c r="M411" t="s">
        <v>1430</v>
      </c>
      <c r="N411" t="s">
        <v>1532</v>
      </c>
    </row>
    <row r="412" spans="1:14" x14ac:dyDescent="0.25">
      <c r="A412" s="13">
        <v>2025</v>
      </c>
      <c r="B412" t="s">
        <v>2074</v>
      </c>
      <c r="C412" t="s">
        <v>1492</v>
      </c>
      <c r="D412" t="s">
        <v>24</v>
      </c>
      <c r="E412" s="40">
        <v>45555</v>
      </c>
      <c r="F412" s="20">
        <v>45722</v>
      </c>
      <c r="G412" t="s">
        <v>973</v>
      </c>
      <c r="H412" s="45">
        <v>4008</v>
      </c>
      <c r="I412" t="s">
        <v>930</v>
      </c>
      <c r="J412" t="s">
        <v>931</v>
      </c>
      <c r="K412" t="s">
        <v>1424</v>
      </c>
      <c r="L412">
        <v>0</v>
      </c>
      <c r="M412" t="s">
        <v>1432</v>
      </c>
      <c r="N412" t="s">
        <v>1532</v>
      </c>
    </row>
    <row r="413" spans="1:14" x14ac:dyDescent="0.25">
      <c r="A413" s="13">
        <v>2025</v>
      </c>
      <c r="B413" t="s">
        <v>2202</v>
      </c>
      <c r="C413" t="s">
        <v>1491</v>
      </c>
      <c r="D413" t="s">
        <v>24</v>
      </c>
      <c r="E413" s="40">
        <v>45512</v>
      </c>
      <c r="F413" s="20">
        <v>45717</v>
      </c>
      <c r="G413" t="s">
        <v>11</v>
      </c>
      <c r="H413" s="45">
        <v>4100</v>
      </c>
      <c r="I413" t="s">
        <v>915</v>
      </c>
      <c r="J413" t="s">
        <v>916</v>
      </c>
      <c r="K413" t="s">
        <v>1419</v>
      </c>
      <c r="L413" t="s">
        <v>1427</v>
      </c>
      <c r="M413" t="s">
        <v>1430</v>
      </c>
      <c r="N413" t="s">
        <v>1530</v>
      </c>
    </row>
    <row r="414" spans="1:14" x14ac:dyDescent="0.25">
      <c r="A414" s="13">
        <v>2025</v>
      </c>
      <c r="B414" t="s">
        <v>2078</v>
      </c>
      <c r="C414" t="s">
        <v>1488</v>
      </c>
      <c r="D414" t="s">
        <v>41</v>
      </c>
      <c r="E414" s="40">
        <v>45627</v>
      </c>
      <c r="F414" s="20">
        <v>45800</v>
      </c>
      <c r="G414" t="s">
        <v>85</v>
      </c>
      <c r="H414" s="45">
        <v>4152</v>
      </c>
      <c r="I414" t="s">
        <v>1016</v>
      </c>
      <c r="J414" t="s">
        <v>1015</v>
      </c>
      <c r="K414" t="s">
        <v>1425</v>
      </c>
      <c r="L414">
        <v>0</v>
      </c>
      <c r="M414" t="s">
        <v>1432</v>
      </c>
      <c r="N414" t="s">
        <v>1532</v>
      </c>
    </row>
    <row r="415" spans="1:14" x14ac:dyDescent="0.25">
      <c r="A415" s="13">
        <v>2025</v>
      </c>
      <c r="B415" t="s">
        <v>2071</v>
      </c>
      <c r="C415" t="s">
        <v>1507</v>
      </c>
      <c r="D415" t="s">
        <v>1410</v>
      </c>
      <c r="E415" s="40">
        <v>45507</v>
      </c>
      <c r="F415" s="20">
        <v>45706</v>
      </c>
      <c r="G415" t="s">
        <v>55</v>
      </c>
      <c r="H415" s="45">
        <v>4776</v>
      </c>
      <c r="I415" t="s">
        <v>900</v>
      </c>
      <c r="J415" t="s">
        <v>899</v>
      </c>
      <c r="K415" t="s">
        <v>1424</v>
      </c>
      <c r="L415">
        <v>0</v>
      </c>
      <c r="M415" t="s">
        <v>1430</v>
      </c>
      <c r="N415" t="s">
        <v>1532</v>
      </c>
    </row>
    <row r="416" spans="1:14" x14ac:dyDescent="0.25">
      <c r="A416" s="13">
        <v>2025</v>
      </c>
      <c r="B416" t="s">
        <v>2124</v>
      </c>
      <c r="C416" t="s">
        <v>1491</v>
      </c>
      <c r="D416" t="s">
        <v>70</v>
      </c>
      <c r="E416" s="40">
        <v>45499</v>
      </c>
      <c r="F416" s="20">
        <v>45839</v>
      </c>
      <c r="G416" t="s">
        <v>1089</v>
      </c>
      <c r="H416" s="45">
        <v>6800</v>
      </c>
      <c r="I416" t="s">
        <v>1088</v>
      </c>
      <c r="J416" t="s">
        <v>1087</v>
      </c>
      <c r="K416" t="s">
        <v>1419</v>
      </c>
      <c r="L416" t="s">
        <v>1429</v>
      </c>
      <c r="M416" t="s">
        <v>1430</v>
      </c>
      <c r="N416" t="s">
        <v>1530</v>
      </c>
    </row>
    <row r="417" spans="1:14" x14ac:dyDescent="0.25">
      <c r="A417" s="13">
        <v>2025</v>
      </c>
      <c r="B417" t="s">
        <v>2192</v>
      </c>
      <c r="C417" t="s">
        <v>1505</v>
      </c>
      <c r="D417" t="s">
        <v>1412</v>
      </c>
      <c r="E417" s="40">
        <v>45663</v>
      </c>
      <c r="F417" s="20">
        <v>46022</v>
      </c>
      <c r="G417" t="s">
        <v>991</v>
      </c>
      <c r="H417" s="45">
        <v>7180</v>
      </c>
      <c r="I417" t="s">
        <v>1383</v>
      </c>
      <c r="J417" t="s">
        <v>1384</v>
      </c>
      <c r="K417" t="s">
        <v>1419</v>
      </c>
      <c r="L417" t="s">
        <v>1422</v>
      </c>
      <c r="M417" t="s">
        <v>1430</v>
      </c>
      <c r="N417" t="s">
        <v>1530</v>
      </c>
    </row>
    <row r="418" spans="1:14" x14ac:dyDescent="0.25">
      <c r="A418" s="13">
        <v>2025</v>
      </c>
      <c r="B418" t="s">
        <v>2072</v>
      </c>
      <c r="C418" t="s">
        <v>1489</v>
      </c>
      <c r="D418" t="s">
        <v>65</v>
      </c>
      <c r="E418" s="40">
        <v>45521</v>
      </c>
      <c r="F418" s="20">
        <v>45832</v>
      </c>
      <c r="G418" t="s">
        <v>97</v>
      </c>
      <c r="H418" s="45">
        <v>7464</v>
      </c>
      <c r="I418" t="s">
        <v>1067</v>
      </c>
      <c r="J418" t="s">
        <v>1068</v>
      </c>
      <c r="K418" t="s">
        <v>1419</v>
      </c>
      <c r="L418" t="s">
        <v>1427</v>
      </c>
      <c r="M418" t="s">
        <v>1430</v>
      </c>
      <c r="N418" t="s">
        <v>1532</v>
      </c>
    </row>
    <row r="419" spans="1:14" x14ac:dyDescent="0.25">
      <c r="A419" s="13">
        <v>2025</v>
      </c>
      <c r="B419" t="s">
        <v>2076</v>
      </c>
      <c r="C419" t="s">
        <v>1510</v>
      </c>
      <c r="D419" t="s">
        <v>1411</v>
      </c>
      <c r="E419" s="40">
        <v>45618</v>
      </c>
      <c r="F419" s="20">
        <v>45966</v>
      </c>
      <c r="G419" t="s">
        <v>37</v>
      </c>
      <c r="H419" s="45">
        <v>8352</v>
      </c>
      <c r="I419" t="s">
        <v>1308</v>
      </c>
      <c r="J419" t="s">
        <v>2077</v>
      </c>
      <c r="K419" t="s">
        <v>1418</v>
      </c>
      <c r="L419">
        <v>0</v>
      </c>
      <c r="M419" t="s">
        <v>1430</v>
      </c>
      <c r="N419" t="s">
        <v>1532</v>
      </c>
    </row>
    <row r="420" spans="1:14" x14ac:dyDescent="0.25">
      <c r="A420" s="13">
        <v>2025</v>
      </c>
      <c r="B420" t="s">
        <v>2203</v>
      </c>
      <c r="C420" t="s">
        <v>1508</v>
      </c>
      <c r="D420" t="s">
        <v>70</v>
      </c>
      <c r="E420" s="40">
        <v>45366</v>
      </c>
      <c r="F420" s="20">
        <v>45868</v>
      </c>
      <c r="G420" t="s">
        <v>1147</v>
      </c>
      <c r="H420" s="45">
        <v>10040</v>
      </c>
      <c r="I420" t="s">
        <v>1146</v>
      </c>
      <c r="J420" t="s">
        <v>1145</v>
      </c>
      <c r="K420" t="s">
        <v>1419</v>
      </c>
      <c r="L420" t="s">
        <v>1422</v>
      </c>
      <c r="M420" t="s">
        <v>1430</v>
      </c>
      <c r="N420" t="s">
        <v>1530</v>
      </c>
    </row>
    <row r="421" spans="1:14" x14ac:dyDescent="0.25">
      <c r="A421" s="13">
        <v>2025</v>
      </c>
      <c r="B421" t="s">
        <v>2206</v>
      </c>
      <c r="C421" t="s">
        <v>1491</v>
      </c>
      <c r="D421" t="s">
        <v>1411</v>
      </c>
      <c r="E421" s="40">
        <v>45429</v>
      </c>
      <c r="F421" s="20">
        <v>45962</v>
      </c>
      <c r="G421" t="s">
        <v>38</v>
      </c>
      <c r="H421" s="45">
        <v>10660</v>
      </c>
      <c r="I421" t="s">
        <v>1301</v>
      </c>
      <c r="J421" t="s">
        <v>1302</v>
      </c>
      <c r="K421" t="s">
        <v>1419</v>
      </c>
      <c r="L421" t="s">
        <v>1426</v>
      </c>
      <c r="M421" t="s">
        <v>1430</v>
      </c>
      <c r="N421" t="s">
        <v>1530</v>
      </c>
    </row>
    <row r="422" spans="1:14" x14ac:dyDescent="0.25">
      <c r="A422" s="13">
        <v>2025</v>
      </c>
      <c r="B422" t="s">
        <v>2070</v>
      </c>
      <c r="C422" t="s">
        <v>1497</v>
      </c>
      <c r="D422" t="s">
        <v>70</v>
      </c>
      <c r="E422" s="40">
        <v>45402</v>
      </c>
      <c r="F422" s="20">
        <v>45853</v>
      </c>
      <c r="G422" t="s">
        <v>812</v>
      </c>
      <c r="H422" s="45">
        <v>10824</v>
      </c>
      <c r="I422" t="s">
        <v>1117</v>
      </c>
      <c r="J422" t="s">
        <v>1116</v>
      </c>
      <c r="K422" t="s">
        <v>1424</v>
      </c>
      <c r="L422">
        <v>0</v>
      </c>
      <c r="M422" t="s">
        <v>1432</v>
      </c>
      <c r="N422" t="s">
        <v>1532</v>
      </c>
    </row>
    <row r="423" spans="1:14" x14ac:dyDescent="0.25">
      <c r="A423" s="13">
        <v>2025</v>
      </c>
      <c r="B423" t="s">
        <v>2067</v>
      </c>
      <c r="C423" t="s">
        <v>1496</v>
      </c>
      <c r="D423" t="s">
        <v>82</v>
      </c>
      <c r="E423" s="40">
        <v>45416</v>
      </c>
      <c r="F423" s="20">
        <v>45882</v>
      </c>
      <c r="G423" t="s">
        <v>61</v>
      </c>
      <c r="H423" s="45">
        <v>11184</v>
      </c>
      <c r="I423" t="s">
        <v>1172</v>
      </c>
      <c r="J423" t="s">
        <v>101</v>
      </c>
      <c r="K423" t="s">
        <v>1419</v>
      </c>
      <c r="L423" t="s">
        <v>1420</v>
      </c>
      <c r="M423" t="s">
        <v>1430</v>
      </c>
      <c r="N423" t="s">
        <v>1532</v>
      </c>
    </row>
    <row r="424" spans="1:14" x14ac:dyDescent="0.25">
      <c r="A424" s="13">
        <v>2025</v>
      </c>
      <c r="B424" t="s">
        <v>2069</v>
      </c>
      <c r="C424" t="s">
        <v>1504</v>
      </c>
      <c r="D424" t="s">
        <v>70</v>
      </c>
      <c r="E424" s="40">
        <v>45345</v>
      </c>
      <c r="F424" s="20">
        <v>45866</v>
      </c>
      <c r="G424" t="s">
        <v>688</v>
      </c>
      <c r="H424" s="45">
        <v>12504</v>
      </c>
      <c r="I424" t="s">
        <v>1144</v>
      </c>
      <c r="J424" t="s">
        <v>981</v>
      </c>
      <c r="K424" t="s">
        <v>1424</v>
      </c>
      <c r="L424">
        <v>0</v>
      </c>
      <c r="M424" t="s">
        <v>1432</v>
      </c>
      <c r="N424" t="s">
        <v>1532</v>
      </c>
    </row>
    <row r="425" spans="1:14" x14ac:dyDescent="0.25">
      <c r="A425" s="13">
        <v>2025</v>
      </c>
      <c r="B425" t="s">
        <v>2068</v>
      </c>
      <c r="C425" t="s">
        <v>1497</v>
      </c>
      <c r="D425" t="s">
        <v>90</v>
      </c>
      <c r="E425" s="40">
        <v>45326</v>
      </c>
      <c r="F425" s="20">
        <v>45915</v>
      </c>
      <c r="G425" t="s">
        <v>815</v>
      </c>
      <c r="H425" s="45">
        <v>14136</v>
      </c>
      <c r="I425" t="s">
        <v>1210</v>
      </c>
      <c r="J425" t="s">
        <v>1209</v>
      </c>
      <c r="K425" t="s">
        <v>1424</v>
      </c>
      <c r="L425">
        <v>0</v>
      </c>
      <c r="M425" t="s">
        <v>1430</v>
      </c>
      <c r="N425" t="s">
        <v>1532</v>
      </c>
    </row>
    <row r="426" spans="1:14" x14ac:dyDescent="0.25">
      <c r="A426" s="13">
        <v>2025</v>
      </c>
      <c r="B426" t="s">
        <v>2067</v>
      </c>
      <c r="C426" t="s">
        <v>1496</v>
      </c>
      <c r="D426" t="s">
        <v>82</v>
      </c>
      <c r="E426" s="40">
        <v>45227</v>
      </c>
      <c r="F426" s="20">
        <v>45882</v>
      </c>
      <c r="G426" t="s">
        <v>61</v>
      </c>
      <c r="H426" s="45">
        <v>15720</v>
      </c>
      <c r="I426" t="s">
        <v>1171</v>
      </c>
      <c r="J426" t="s">
        <v>1170</v>
      </c>
      <c r="K426" t="s">
        <v>1419</v>
      </c>
      <c r="L426" t="s">
        <v>1420</v>
      </c>
      <c r="M426" t="s">
        <v>1430</v>
      </c>
      <c r="N426" t="s">
        <v>1532</v>
      </c>
    </row>
    <row r="427" spans="1:14" x14ac:dyDescent="0.25">
      <c r="A427" s="13">
        <v>2025</v>
      </c>
      <c r="B427" t="s">
        <v>2066</v>
      </c>
      <c r="C427" t="s">
        <v>1505</v>
      </c>
      <c r="D427" t="s">
        <v>94</v>
      </c>
      <c r="E427" s="40">
        <v>45169</v>
      </c>
      <c r="F427" s="20">
        <v>45961</v>
      </c>
      <c r="G427" t="s">
        <v>11</v>
      </c>
      <c r="H427" s="45">
        <v>19008</v>
      </c>
      <c r="I427" t="s">
        <v>1298</v>
      </c>
      <c r="J427" t="s">
        <v>1299</v>
      </c>
      <c r="K427" t="s">
        <v>1424</v>
      </c>
      <c r="L427">
        <v>0</v>
      </c>
      <c r="M427" t="s">
        <v>1432</v>
      </c>
      <c r="N427" t="s">
        <v>1532</v>
      </c>
    </row>
    <row r="428" spans="1:14" x14ac:dyDescent="0.25">
      <c r="A428" s="13">
        <v>2025</v>
      </c>
      <c r="B428" t="s">
        <v>2065</v>
      </c>
      <c r="C428" t="s">
        <v>1477</v>
      </c>
      <c r="D428" t="s">
        <v>24</v>
      </c>
      <c r="E428" s="40">
        <v>42910</v>
      </c>
      <c r="F428" s="20">
        <v>45728</v>
      </c>
      <c r="G428" t="s">
        <v>69</v>
      </c>
      <c r="H428" s="45">
        <v>67632</v>
      </c>
      <c r="I428" t="s">
        <v>942</v>
      </c>
      <c r="J428" t="s">
        <v>944</v>
      </c>
      <c r="K428" t="s">
        <v>1424</v>
      </c>
      <c r="L428">
        <v>0</v>
      </c>
      <c r="M428" t="s">
        <v>1432</v>
      </c>
      <c r="N428" t="s">
        <v>1532</v>
      </c>
    </row>
    <row r="429" spans="1:14" x14ac:dyDescent="0.25">
      <c r="A429" s="13">
        <v>2026</v>
      </c>
      <c r="B429" t="s">
        <v>2237</v>
      </c>
      <c r="C429" t="s">
        <v>1504</v>
      </c>
      <c r="D429" t="s">
        <v>1410</v>
      </c>
      <c r="E429" s="40">
        <v>46081</v>
      </c>
      <c r="F429" s="20">
        <v>46081</v>
      </c>
      <c r="G429" t="s">
        <v>1609</v>
      </c>
      <c r="H429" s="45">
        <v>0</v>
      </c>
      <c r="I429" t="s">
        <v>1797</v>
      </c>
      <c r="J429" t="s">
        <v>1629</v>
      </c>
      <c r="K429" t="s">
        <v>1424</v>
      </c>
      <c r="L429">
        <v>0</v>
      </c>
      <c r="M429" t="s">
        <v>1430</v>
      </c>
      <c r="N429" t="s">
        <v>1532</v>
      </c>
    </row>
    <row r="430" spans="1:14" x14ac:dyDescent="0.25">
      <c r="A430" s="13">
        <v>2026</v>
      </c>
      <c r="B430" t="s">
        <v>2250</v>
      </c>
      <c r="C430" t="s">
        <v>1509</v>
      </c>
      <c r="D430" t="s">
        <v>24</v>
      </c>
      <c r="E430" s="40">
        <v>46102</v>
      </c>
      <c r="F430" s="20">
        <v>46102</v>
      </c>
      <c r="G430" t="s">
        <v>106</v>
      </c>
      <c r="H430" s="45">
        <v>0</v>
      </c>
      <c r="I430" t="s">
        <v>1681</v>
      </c>
      <c r="J430" t="s">
        <v>1682</v>
      </c>
      <c r="K430" t="s">
        <v>1425</v>
      </c>
      <c r="L430">
        <v>0</v>
      </c>
      <c r="M430" t="s">
        <v>1430</v>
      </c>
      <c r="N430" t="s">
        <v>1532</v>
      </c>
    </row>
    <row r="431" spans="1:14" x14ac:dyDescent="0.25">
      <c r="A431" s="13">
        <v>2026</v>
      </c>
      <c r="B431" t="s">
        <v>2262</v>
      </c>
      <c r="C431" t="s">
        <v>1501</v>
      </c>
      <c r="D431" t="s">
        <v>33</v>
      </c>
      <c r="E431" s="40">
        <v>46129</v>
      </c>
      <c r="F431" s="20">
        <v>46129</v>
      </c>
      <c r="G431" t="s">
        <v>44</v>
      </c>
      <c r="H431" s="45">
        <v>0</v>
      </c>
      <c r="I431" t="s">
        <v>1725</v>
      </c>
      <c r="J431" t="s">
        <v>2263</v>
      </c>
      <c r="K431" t="s">
        <v>1419</v>
      </c>
      <c r="L431" t="s">
        <v>1420</v>
      </c>
      <c r="M431" t="s">
        <v>1430</v>
      </c>
      <c r="N431" t="s">
        <v>1532</v>
      </c>
    </row>
    <row r="432" spans="1:14" x14ac:dyDescent="0.25">
      <c r="A432" s="13">
        <v>2026</v>
      </c>
      <c r="B432" t="s">
        <v>2215</v>
      </c>
      <c r="C432" t="s">
        <v>1483</v>
      </c>
      <c r="D432" t="s">
        <v>25</v>
      </c>
      <c r="E432" s="40">
        <v>46047</v>
      </c>
      <c r="F432" s="20">
        <v>46048</v>
      </c>
      <c r="G432" t="s">
        <v>854</v>
      </c>
      <c r="H432" s="45">
        <v>24</v>
      </c>
      <c r="I432" t="s">
        <v>1543</v>
      </c>
      <c r="J432" t="s">
        <v>1544</v>
      </c>
      <c r="K432" t="s">
        <v>1425</v>
      </c>
      <c r="L432">
        <v>0</v>
      </c>
      <c r="M432" t="s">
        <v>1432</v>
      </c>
      <c r="N432" t="s">
        <v>1532</v>
      </c>
    </row>
    <row r="433" spans="1:14" x14ac:dyDescent="0.25">
      <c r="A433" s="13">
        <v>2026</v>
      </c>
      <c r="B433" t="s">
        <v>2215</v>
      </c>
      <c r="C433" t="s">
        <v>1483</v>
      </c>
      <c r="D433" t="s">
        <v>25</v>
      </c>
      <c r="E433" s="40">
        <v>46047</v>
      </c>
      <c r="F433" s="20">
        <v>46048</v>
      </c>
      <c r="G433" t="s">
        <v>854</v>
      </c>
      <c r="H433" s="45">
        <v>24</v>
      </c>
      <c r="I433" t="s">
        <v>1545</v>
      </c>
      <c r="J433" t="s">
        <v>255</v>
      </c>
      <c r="K433" t="s">
        <v>1419</v>
      </c>
      <c r="L433" t="s">
        <v>1420</v>
      </c>
      <c r="M433" t="s">
        <v>1430</v>
      </c>
      <c r="N433" t="s">
        <v>1532</v>
      </c>
    </row>
    <row r="434" spans="1:14" x14ac:dyDescent="0.25">
      <c r="A434" s="13">
        <v>2026</v>
      </c>
      <c r="B434" t="s">
        <v>2215</v>
      </c>
      <c r="C434" t="s">
        <v>1483</v>
      </c>
      <c r="D434" t="s">
        <v>25</v>
      </c>
      <c r="E434" s="40">
        <v>46047</v>
      </c>
      <c r="F434" s="20">
        <v>46048</v>
      </c>
      <c r="G434" t="s">
        <v>42</v>
      </c>
      <c r="H434" s="45">
        <v>24</v>
      </c>
      <c r="I434" t="s">
        <v>1546</v>
      </c>
      <c r="J434" t="s">
        <v>1547</v>
      </c>
      <c r="K434" t="s">
        <v>1419</v>
      </c>
      <c r="L434" t="s">
        <v>1420</v>
      </c>
      <c r="M434" t="s">
        <v>1431</v>
      </c>
      <c r="N434" t="s">
        <v>1532</v>
      </c>
    </row>
    <row r="435" spans="1:14" x14ac:dyDescent="0.25">
      <c r="A435" s="13">
        <v>2026</v>
      </c>
      <c r="B435" t="s">
        <v>2232</v>
      </c>
      <c r="C435" t="s">
        <v>1509</v>
      </c>
      <c r="D435" t="s">
        <v>1410</v>
      </c>
      <c r="E435" s="40">
        <v>46073</v>
      </c>
      <c r="F435" s="20">
        <v>46074</v>
      </c>
      <c r="G435" t="s">
        <v>1089</v>
      </c>
      <c r="H435" s="45">
        <v>24</v>
      </c>
      <c r="I435" t="s">
        <v>1608</v>
      </c>
      <c r="J435" t="s">
        <v>1760</v>
      </c>
      <c r="K435" t="s">
        <v>1419</v>
      </c>
      <c r="L435" t="s">
        <v>1423</v>
      </c>
      <c r="M435" t="s">
        <v>1430</v>
      </c>
      <c r="N435" t="s">
        <v>1532</v>
      </c>
    </row>
    <row r="436" spans="1:14" x14ac:dyDescent="0.25">
      <c r="A436" s="13">
        <v>2026</v>
      </c>
      <c r="B436" t="s">
        <v>2279</v>
      </c>
      <c r="C436" t="s">
        <v>1503</v>
      </c>
      <c r="D436" t="s">
        <v>41</v>
      </c>
      <c r="E436" s="40">
        <v>46163</v>
      </c>
      <c r="F436" s="20">
        <v>46164</v>
      </c>
      <c r="G436" t="s">
        <v>1825</v>
      </c>
      <c r="H436" s="45">
        <v>24</v>
      </c>
      <c r="I436" t="s">
        <v>1826</v>
      </c>
      <c r="J436" t="s">
        <v>2280</v>
      </c>
      <c r="K436" t="s">
        <v>1419</v>
      </c>
      <c r="L436" t="s">
        <v>1423</v>
      </c>
      <c r="M436" t="s">
        <v>1430</v>
      </c>
      <c r="N436" t="s">
        <v>1532</v>
      </c>
    </row>
    <row r="437" spans="1:14" x14ac:dyDescent="0.25">
      <c r="A437" s="13">
        <v>2026</v>
      </c>
      <c r="B437" t="s">
        <v>2278</v>
      </c>
      <c r="C437" t="s">
        <v>1507</v>
      </c>
      <c r="D437" t="s">
        <v>41</v>
      </c>
      <c r="E437" s="40">
        <v>46159</v>
      </c>
      <c r="F437" s="20">
        <v>46160</v>
      </c>
      <c r="G437" t="s">
        <v>31</v>
      </c>
      <c r="H437" s="45">
        <v>24</v>
      </c>
      <c r="I437" t="s">
        <v>1822</v>
      </c>
      <c r="J437" t="s">
        <v>1823</v>
      </c>
      <c r="K437" t="s">
        <v>1419</v>
      </c>
      <c r="L437" t="s">
        <v>1427</v>
      </c>
      <c r="M437" t="s">
        <v>1430</v>
      </c>
      <c r="N437" t="s">
        <v>1532</v>
      </c>
    </row>
    <row r="438" spans="1:14" x14ac:dyDescent="0.25">
      <c r="A438" s="13">
        <v>2026</v>
      </c>
      <c r="B438" t="s">
        <v>2288</v>
      </c>
      <c r="C438" t="s">
        <v>1494</v>
      </c>
      <c r="D438" t="s">
        <v>65</v>
      </c>
      <c r="E438" s="40">
        <v>46179</v>
      </c>
      <c r="F438" s="20">
        <v>46182</v>
      </c>
      <c r="G438" t="s">
        <v>887</v>
      </c>
      <c r="H438" s="45">
        <v>24</v>
      </c>
      <c r="I438" t="s">
        <v>1857</v>
      </c>
      <c r="J438" t="s">
        <v>1858</v>
      </c>
      <c r="K438" t="s">
        <v>1419</v>
      </c>
      <c r="L438" t="s">
        <v>1427</v>
      </c>
      <c r="M438" t="s">
        <v>1431</v>
      </c>
      <c r="N438" t="s">
        <v>1532</v>
      </c>
    </row>
    <row r="439" spans="1:14" x14ac:dyDescent="0.25">
      <c r="A439" s="13">
        <v>2026</v>
      </c>
      <c r="B439" t="s">
        <v>2289</v>
      </c>
      <c r="C439" t="s">
        <v>1495</v>
      </c>
      <c r="D439" t="s">
        <v>65</v>
      </c>
      <c r="E439" s="40">
        <v>46178</v>
      </c>
      <c r="F439" s="20">
        <v>46184</v>
      </c>
      <c r="G439" t="s">
        <v>1860</v>
      </c>
      <c r="H439" s="45">
        <v>24</v>
      </c>
      <c r="I439" t="s">
        <v>1861</v>
      </c>
      <c r="J439" t="s">
        <v>2018</v>
      </c>
      <c r="K439" t="s">
        <v>1419</v>
      </c>
      <c r="L439" t="s">
        <v>1423</v>
      </c>
      <c r="M439" t="s">
        <v>1430</v>
      </c>
      <c r="N439" t="s">
        <v>1532</v>
      </c>
    </row>
    <row r="440" spans="1:14" x14ac:dyDescent="0.25">
      <c r="A440" s="13">
        <v>2026</v>
      </c>
      <c r="B440" t="s">
        <v>2283</v>
      </c>
      <c r="C440" t="s">
        <v>1508</v>
      </c>
      <c r="D440" t="s">
        <v>41</v>
      </c>
      <c r="E440" s="40">
        <v>46165</v>
      </c>
      <c r="F440" s="20">
        <v>46172</v>
      </c>
      <c r="G440" t="s">
        <v>1839</v>
      </c>
      <c r="H440" s="45">
        <v>24</v>
      </c>
      <c r="I440" t="s">
        <v>1840</v>
      </c>
      <c r="J440" t="s">
        <v>1879</v>
      </c>
      <c r="K440" t="s">
        <v>1418</v>
      </c>
      <c r="L440">
        <v>0</v>
      </c>
      <c r="M440" t="s">
        <v>1431</v>
      </c>
      <c r="N440" t="s">
        <v>1532</v>
      </c>
    </row>
    <row r="441" spans="1:14" x14ac:dyDescent="0.25">
      <c r="A441" s="13">
        <v>2026</v>
      </c>
      <c r="B441" t="s">
        <v>2279</v>
      </c>
      <c r="C441" t="s">
        <v>1503</v>
      </c>
      <c r="D441" t="s">
        <v>41</v>
      </c>
      <c r="E441" s="40">
        <v>46157</v>
      </c>
      <c r="F441" s="20">
        <v>46164</v>
      </c>
      <c r="G441" t="s">
        <v>626</v>
      </c>
      <c r="H441" s="45">
        <v>24</v>
      </c>
      <c r="I441" t="s">
        <v>1828</v>
      </c>
      <c r="J441" t="s">
        <v>1875</v>
      </c>
      <c r="K441" t="s">
        <v>1418</v>
      </c>
      <c r="L441">
        <v>0</v>
      </c>
      <c r="M441" t="s">
        <v>1431</v>
      </c>
      <c r="N441" t="s">
        <v>1532</v>
      </c>
    </row>
    <row r="442" spans="1:14" x14ac:dyDescent="0.25">
      <c r="A442" s="13">
        <v>2026</v>
      </c>
      <c r="B442" t="s">
        <v>2285</v>
      </c>
      <c r="C442" t="s">
        <v>1500</v>
      </c>
      <c r="D442" t="s">
        <v>65</v>
      </c>
      <c r="E442" s="40">
        <v>46167</v>
      </c>
      <c r="F442" s="20">
        <v>46177</v>
      </c>
      <c r="G442" t="s">
        <v>1848</v>
      </c>
      <c r="H442" s="45">
        <v>24</v>
      </c>
      <c r="I442" t="s">
        <v>1882</v>
      </c>
      <c r="J442" t="s">
        <v>1850</v>
      </c>
      <c r="K442" t="s">
        <v>1419</v>
      </c>
      <c r="L442" t="s">
        <v>1420</v>
      </c>
      <c r="M442" t="s">
        <v>1431</v>
      </c>
      <c r="N442" t="s">
        <v>1532</v>
      </c>
    </row>
    <row r="443" spans="1:14" x14ac:dyDescent="0.25">
      <c r="A443" s="13">
        <v>2026</v>
      </c>
      <c r="B443" t="s">
        <v>2284</v>
      </c>
      <c r="C443" t="s">
        <v>1499</v>
      </c>
      <c r="D443" t="s">
        <v>65</v>
      </c>
      <c r="E443" s="40">
        <v>46166</v>
      </c>
      <c r="F443" s="20">
        <v>46176</v>
      </c>
      <c r="G443" t="s">
        <v>1584</v>
      </c>
      <c r="H443" s="45">
        <v>24</v>
      </c>
      <c r="I443" t="s">
        <v>1844</v>
      </c>
      <c r="J443" t="s">
        <v>1845</v>
      </c>
      <c r="K443" t="s">
        <v>1425</v>
      </c>
      <c r="L443">
        <v>0</v>
      </c>
      <c r="M443" t="s">
        <v>1432</v>
      </c>
      <c r="N443" t="s">
        <v>1532</v>
      </c>
    </row>
    <row r="444" spans="1:14" x14ac:dyDescent="0.25">
      <c r="A444" s="13">
        <v>2026</v>
      </c>
      <c r="B444" t="s">
        <v>2272</v>
      </c>
      <c r="C444" t="s">
        <v>1510</v>
      </c>
      <c r="D444" t="s">
        <v>41</v>
      </c>
      <c r="E444" s="40">
        <v>46137</v>
      </c>
      <c r="F444" s="20">
        <v>46147</v>
      </c>
      <c r="G444" t="s">
        <v>66</v>
      </c>
      <c r="H444" s="45">
        <v>24</v>
      </c>
      <c r="I444" t="s">
        <v>1807</v>
      </c>
      <c r="J444" t="s">
        <v>1869</v>
      </c>
      <c r="K444" t="s">
        <v>1419</v>
      </c>
      <c r="L444" t="s">
        <v>1420</v>
      </c>
      <c r="M444" t="s">
        <v>1431</v>
      </c>
      <c r="N444" t="s">
        <v>1532</v>
      </c>
    </row>
    <row r="445" spans="1:14" x14ac:dyDescent="0.25">
      <c r="A445" s="13">
        <v>2026</v>
      </c>
      <c r="B445" t="s">
        <v>2271</v>
      </c>
      <c r="C445" t="s">
        <v>1500</v>
      </c>
      <c r="D445" t="s">
        <v>41</v>
      </c>
      <c r="E445" s="40">
        <v>46135</v>
      </c>
      <c r="F445" s="20">
        <v>46146</v>
      </c>
      <c r="G445" t="s">
        <v>52</v>
      </c>
      <c r="H445" s="45">
        <v>24</v>
      </c>
      <c r="I445" t="s">
        <v>1804</v>
      </c>
      <c r="J445" t="s">
        <v>639</v>
      </c>
      <c r="K445" t="s">
        <v>1418</v>
      </c>
      <c r="L445">
        <v>0</v>
      </c>
      <c r="M445" t="s">
        <v>1431</v>
      </c>
      <c r="N445" t="s">
        <v>1532</v>
      </c>
    </row>
    <row r="446" spans="1:14" x14ac:dyDescent="0.25">
      <c r="A446" s="13">
        <v>2026</v>
      </c>
      <c r="B446" t="s">
        <v>2270</v>
      </c>
      <c r="C446" t="s">
        <v>1498</v>
      </c>
      <c r="D446" t="s">
        <v>41</v>
      </c>
      <c r="E446" s="40">
        <v>46129</v>
      </c>
      <c r="F446" s="20">
        <v>46144</v>
      </c>
      <c r="G446" t="s">
        <v>812</v>
      </c>
      <c r="H446" s="45">
        <v>24</v>
      </c>
      <c r="I446" t="s">
        <v>1883</v>
      </c>
      <c r="J446" t="s">
        <v>1866</v>
      </c>
      <c r="K446" t="s">
        <v>1418</v>
      </c>
      <c r="L446">
        <v>0</v>
      </c>
      <c r="M446" t="s">
        <v>1431</v>
      </c>
      <c r="N446" t="s">
        <v>1532</v>
      </c>
    </row>
    <row r="447" spans="1:14" x14ac:dyDescent="0.25">
      <c r="A447" s="13">
        <v>2026</v>
      </c>
      <c r="B447" t="s">
        <v>2274</v>
      </c>
      <c r="C447" t="s">
        <v>1495</v>
      </c>
      <c r="D447" t="s">
        <v>41</v>
      </c>
      <c r="E447" s="40">
        <v>46125</v>
      </c>
      <c r="F447" s="20">
        <v>46153</v>
      </c>
      <c r="G447" t="s">
        <v>1811</v>
      </c>
      <c r="H447" s="45">
        <v>24</v>
      </c>
      <c r="I447" t="s">
        <v>1812</v>
      </c>
      <c r="J447" t="s">
        <v>1870</v>
      </c>
      <c r="K447" t="s">
        <v>1418</v>
      </c>
      <c r="L447">
        <v>0</v>
      </c>
      <c r="M447" t="s">
        <v>1431</v>
      </c>
      <c r="N447" t="s">
        <v>1532</v>
      </c>
    </row>
    <row r="448" spans="1:14" x14ac:dyDescent="0.25">
      <c r="A448" s="13">
        <v>2026</v>
      </c>
      <c r="B448" t="s">
        <v>2282</v>
      </c>
      <c r="C448" t="s">
        <v>1490</v>
      </c>
      <c r="D448" t="s">
        <v>41</v>
      </c>
      <c r="E448" s="40">
        <v>46121</v>
      </c>
      <c r="F448" s="20">
        <v>46169</v>
      </c>
      <c r="G448" t="s">
        <v>2239</v>
      </c>
      <c r="H448" s="45">
        <v>24</v>
      </c>
      <c r="I448" t="s">
        <v>1836</v>
      </c>
      <c r="J448" t="s">
        <v>1877</v>
      </c>
      <c r="K448" t="s">
        <v>1424</v>
      </c>
      <c r="L448">
        <v>0</v>
      </c>
      <c r="M448" t="s">
        <v>1432</v>
      </c>
      <c r="N448" t="s">
        <v>1532</v>
      </c>
    </row>
    <row r="449" spans="1:14" x14ac:dyDescent="0.25">
      <c r="A449" s="13">
        <v>2026</v>
      </c>
      <c r="B449" t="s">
        <v>2277</v>
      </c>
      <c r="C449" t="s">
        <v>1478</v>
      </c>
      <c r="D449" t="s">
        <v>41</v>
      </c>
      <c r="E449" s="40">
        <v>46108</v>
      </c>
      <c r="F449" s="20">
        <v>46158</v>
      </c>
      <c r="G449" t="s">
        <v>44</v>
      </c>
      <c r="H449" s="45">
        <v>24</v>
      </c>
      <c r="I449" t="s">
        <v>1818</v>
      </c>
      <c r="J449" t="s">
        <v>1873</v>
      </c>
      <c r="K449" t="s">
        <v>1418</v>
      </c>
      <c r="L449">
        <v>0</v>
      </c>
      <c r="M449" t="s">
        <v>1431</v>
      </c>
      <c r="N449" t="s">
        <v>1532</v>
      </c>
    </row>
    <row r="450" spans="1:14" x14ac:dyDescent="0.25">
      <c r="A450" s="13">
        <v>2026</v>
      </c>
      <c r="B450" t="s">
        <v>2281</v>
      </c>
      <c r="C450" t="s">
        <v>1488</v>
      </c>
      <c r="D450" t="s">
        <v>41</v>
      </c>
      <c r="E450" s="40">
        <v>46101</v>
      </c>
      <c r="F450" s="20">
        <v>46165</v>
      </c>
      <c r="G450" t="s">
        <v>111</v>
      </c>
      <c r="H450" s="45">
        <v>24</v>
      </c>
      <c r="I450" t="s">
        <v>1834</v>
      </c>
      <c r="J450" t="s">
        <v>1780</v>
      </c>
      <c r="K450" t="s">
        <v>1424</v>
      </c>
      <c r="L450">
        <v>0</v>
      </c>
      <c r="M450" t="s">
        <v>1432</v>
      </c>
      <c r="N450" t="s">
        <v>1532</v>
      </c>
    </row>
    <row r="451" spans="1:14" x14ac:dyDescent="0.25">
      <c r="A451" s="13">
        <v>2026</v>
      </c>
      <c r="B451" t="s">
        <v>2276</v>
      </c>
      <c r="C451" t="s">
        <v>1497</v>
      </c>
      <c r="D451" t="s">
        <v>41</v>
      </c>
      <c r="E451" s="40">
        <v>46080</v>
      </c>
      <c r="F451" s="20">
        <v>46157</v>
      </c>
      <c r="G451" t="s">
        <v>191</v>
      </c>
      <c r="H451" s="45">
        <v>24</v>
      </c>
      <c r="I451" t="s">
        <v>1816</v>
      </c>
      <c r="J451" t="s">
        <v>1872</v>
      </c>
      <c r="K451" t="s">
        <v>1418</v>
      </c>
      <c r="L451">
        <v>0</v>
      </c>
      <c r="M451" t="s">
        <v>1431</v>
      </c>
      <c r="N451" t="s">
        <v>1532</v>
      </c>
    </row>
    <row r="452" spans="1:14" x14ac:dyDescent="0.25">
      <c r="A452" s="13">
        <v>2026</v>
      </c>
      <c r="B452" t="s">
        <v>2273</v>
      </c>
      <c r="C452" t="s">
        <v>1493</v>
      </c>
      <c r="D452" t="s">
        <v>41</v>
      </c>
      <c r="E452" s="40">
        <v>46069</v>
      </c>
      <c r="F452" s="20">
        <v>46150</v>
      </c>
      <c r="G452" t="s">
        <v>79</v>
      </c>
      <c r="H452" s="45">
        <v>24</v>
      </c>
      <c r="I452" t="s">
        <v>1884</v>
      </c>
      <c r="J452" t="s">
        <v>1780</v>
      </c>
      <c r="K452" t="s">
        <v>1424</v>
      </c>
      <c r="L452">
        <v>0</v>
      </c>
      <c r="M452" t="s">
        <v>1432</v>
      </c>
      <c r="N452" t="s">
        <v>1532</v>
      </c>
    </row>
    <row r="453" spans="1:14" x14ac:dyDescent="0.25">
      <c r="A453" s="13">
        <v>2026</v>
      </c>
      <c r="B453" t="s">
        <v>2275</v>
      </c>
      <c r="C453" t="s">
        <v>1477</v>
      </c>
      <c r="D453" t="s">
        <v>41</v>
      </c>
      <c r="E453" s="40">
        <v>46069</v>
      </c>
      <c r="F453" s="20">
        <v>46154</v>
      </c>
      <c r="G453" t="s">
        <v>1207</v>
      </c>
      <c r="H453" s="45">
        <v>24</v>
      </c>
      <c r="I453" t="s">
        <v>1814</v>
      </c>
      <c r="J453" t="s">
        <v>1871</v>
      </c>
      <c r="K453" t="s">
        <v>1419</v>
      </c>
      <c r="L453" t="s">
        <v>1420</v>
      </c>
      <c r="M453" t="s">
        <v>1431</v>
      </c>
      <c r="N453" t="s">
        <v>1532</v>
      </c>
    </row>
    <row r="454" spans="1:14" x14ac:dyDescent="0.25">
      <c r="A454" s="13">
        <v>2026</v>
      </c>
      <c r="B454" t="s">
        <v>2286</v>
      </c>
      <c r="C454" t="s">
        <v>1510</v>
      </c>
      <c r="D454" t="s">
        <v>65</v>
      </c>
      <c r="E454" s="40">
        <v>46081</v>
      </c>
      <c r="F454" s="20">
        <v>46178</v>
      </c>
      <c r="G454" t="s">
        <v>81</v>
      </c>
      <c r="H454" s="45">
        <v>24</v>
      </c>
      <c r="I454" t="s">
        <v>1852</v>
      </c>
      <c r="J454" t="s">
        <v>1853</v>
      </c>
      <c r="K454" t="s">
        <v>1419</v>
      </c>
      <c r="L454" t="s">
        <v>1427</v>
      </c>
      <c r="M454" t="s">
        <v>1431</v>
      </c>
      <c r="N454" t="s">
        <v>1532</v>
      </c>
    </row>
    <row r="455" spans="1:14" x14ac:dyDescent="0.25">
      <c r="A455" s="13">
        <v>2026</v>
      </c>
      <c r="B455" t="s">
        <v>2277</v>
      </c>
      <c r="C455" t="s">
        <v>1478</v>
      </c>
      <c r="D455" t="s">
        <v>41</v>
      </c>
      <c r="E455" s="40">
        <v>46052</v>
      </c>
      <c r="F455" s="20">
        <v>46158</v>
      </c>
      <c r="G455" t="s">
        <v>1819</v>
      </c>
      <c r="H455" s="45">
        <v>24</v>
      </c>
      <c r="I455" t="s">
        <v>1820</v>
      </c>
      <c r="J455" t="s">
        <v>1874</v>
      </c>
      <c r="K455" t="s">
        <v>1419</v>
      </c>
      <c r="L455" t="s">
        <v>1427</v>
      </c>
      <c r="M455" t="s">
        <v>1430</v>
      </c>
      <c r="N455" t="s">
        <v>1532</v>
      </c>
    </row>
    <row r="456" spans="1:14" x14ac:dyDescent="0.25">
      <c r="A456" s="13">
        <v>2026</v>
      </c>
      <c r="B456" t="s">
        <v>2290</v>
      </c>
      <c r="C456" t="s">
        <v>1497</v>
      </c>
      <c r="D456" t="s">
        <v>65</v>
      </c>
      <c r="E456" s="40">
        <v>46080</v>
      </c>
      <c r="F456" s="20">
        <v>46188</v>
      </c>
      <c r="G456" t="s">
        <v>1863</v>
      </c>
      <c r="H456" s="45">
        <v>24</v>
      </c>
      <c r="I456" t="s">
        <v>1864</v>
      </c>
      <c r="J456" t="s">
        <v>1865</v>
      </c>
      <c r="K456" t="s">
        <v>1425</v>
      </c>
      <c r="L456">
        <v>0</v>
      </c>
      <c r="M456" t="s">
        <v>1432</v>
      </c>
      <c r="N456" t="s">
        <v>1532</v>
      </c>
    </row>
    <row r="457" spans="1:14" x14ac:dyDescent="0.25">
      <c r="A457" s="13">
        <v>2026</v>
      </c>
      <c r="B457" t="s">
        <v>2287</v>
      </c>
      <c r="C457" t="s">
        <v>1492</v>
      </c>
      <c r="D457" t="s">
        <v>65</v>
      </c>
      <c r="E457" s="40">
        <v>46053</v>
      </c>
      <c r="F457" s="20">
        <v>46179</v>
      </c>
      <c r="G457" t="s">
        <v>39</v>
      </c>
      <c r="H457" s="45">
        <v>24</v>
      </c>
      <c r="I457" t="s">
        <v>1855</v>
      </c>
      <c r="J457" t="s">
        <v>1881</v>
      </c>
      <c r="K457" t="s">
        <v>1419</v>
      </c>
      <c r="L457" t="s">
        <v>1427</v>
      </c>
      <c r="M457" t="s">
        <v>1431</v>
      </c>
      <c r="N457" t="s">
        <v>1532</v>
      </c>
    </row>
    <row r="458" spans="1:14" x14ac:dyDescent="0.25">
      <c r="A458" s="13">
        <v>2026</v>
      </c>
      <c r="B458" t="s">
        <v>2272</v>
      </c>
      <c r="C458" t="s">
        <v>1510</v>
      </c>
      <c r="D458" t="s">
        <v>41</v>
      </c>
      <c r="E458" s="40">
        <v>46017</v>
      </c>
      <c r="F458" s="20">
        <v>46147</v>
      </c>
      <c r="G458" t="s">
        <v>11</v>
      </c>
      <c r="H458" s="45">
        <v>24</v>
      </c>
      <c r="I458" t="s">
        <v>1806</v>
      </c>
      <c r="J458" t="s">
        <v>1868</v>
      </c>
      <c r="K458" t="s">
        <v>1418</v>
      </c>
      <c r="L458">
        <v>0</v>
      </c>
      <c r="M458" t="s">
        <v>1431</v>
      </c>
      <c r="N458" t="s">
        <v>1532</v>
      </c>
    </row>
    <row r="459" spans="1:14" x14ac:dyDescent="0.25">
      <c r="A459" s="13">
        <v>2026</v>
      </c>
      <c r="B459" t="s">
        <v>2271</v>
      </c>
      <c r="C459" t="s">
        <v>1500</v>
      </c>
      <c r="D459" t="s">
        <v>41</v>
      </c>
      <c r="E459" s="40">
        <v>46004</v>
      </c>
      <c r="F459" s="20">
        <v>46146</v>
      </c>
      <c r="G459" t="s">
        <v>1802</v>
      </c>
      <c r="H459" s="45">
        <v>24</v>
      </c>
      <c r="I459" t="s">
        <v>1885</v>
      </c>
      <c r="J459" t="s">
        <v>1867</v>
      </c>
      <c r="K459" t="s">
        <v>1418</v>
      </c>
      <c r="L459">
        <v>0</v>
      </c>
      <c r="M459" t="s">
        <v>1431</v>
      </c>
      <c r="N459" t="s">
        <v>1532</v>
      </c>
    </row>
    <row r="460" spans="1:14" x14ac:dyDescent="0.25">
      <c r="A460" s="13">
        <v>2026</v>
      </c>
      <c r="B460" t="s">
        <v>2285</v>
      </c>
      <c r="C460" t="s">
        <v>1500</v>
      </c>
      <c r="D460" t="s">
        <v>65</v>
      </c>
      <c r="E460" s="40">
        <v>46010</v>
      </c>
      <c r="F460" s="20">
        <v>46177</v>
      </c>
      <c r="G460" t="s">
        <v>11</v>
      </c>
      <c r="H460" s="45">
        <v>24</v>
      </c>
      <c r="I460" t="s">
        <v>1847</v>
      </c>
      <c r="J460" t="s">
        <v>1880</v>
      </c>
      <c r="K460" t="s">
        <v>1418</v>
      </c>
      <c r="L460">
        <v>0</v>
      </c>
      <c r="M460" t="s">
        <v>1431</v>
      </c>
      <c r="N460" t="s">
        <v>1532</v>
      </c>
    </row>
    <row r="461" spans="1:14" x14ac:dyDescent="0.25">
      <c r="A461" s="13">
        <v>2026</v>
      </c>
      <c r="B461" t="s">
        <v>2282</v>
      </c>
      <c r="C461" t="s">
        <v>1490</v>
      </c>
      <c r="D461" t="s">
        <v>41</v>
      </c>
      <c r="E461" s="40">
        <v>45730</v>
      </c>
      <c r="F461" s="20">
        <v>46169</v>
      </c>
      <c r="G461" t="s">
        <v>11</v>
      </c>
      <c r="H461" s="45">
        <v>24</v>
      </c>
      <c r="I461" t="s">
        <v>1837</v>
      </c>
      <c r="J461" t="s">
        <v>1878</v>
      </c>
      <c r="K461" t="s">
        <v>1424</v>
      </c>
      <c r="L461">
        <v>0</v>
      </c>
      <c r="M461" t="s">
        <v>1432</v>
      </c>
      <c r="N461" t="s">
        <v>1532</v>
      </c>
    </row>
    <row r="462" spans="1:14" x14ac:dyDescent="0.25">
      <c r="A462" s="13">
        <v>2026</v>
      </c>
      <c r="B462" t="s">
        <v>2279</v>
      </c>
      <c r="C462" t="s">
        <v>1503</v>
      </c>
      <c r="D462" t="s">
        <v>41</v>
      </c>
      <c r="E462" s="40">
        <v>45479</v>
      </c>
      <c r="F462" s="20">
        <v>46164</v>
      </c>
      <c r="G462" t="s">
        <v>1207</v>
      </c>
      <c r="H462" s="45">
        <v>24</v>
      </c>
      <c r="I462" t="s">
        <v>1832</v>
      </c>
      <c r="J462" t="s">
        <v>1876</v>
      </c>
      <c r="K462" t="s">
        <v>1424</v>
      </c>
      <c r="L462">
        <v>0</v>
      </c>
      <c r="M462" t="s">
        <v>1432</v>
      </c>
      <c r="N462" t="s">
        <v>1532</v>
      </c>
    </row>
    <row r="463" spans="1:14" x14ac:dyDescent="0.25">
      <c r="A463" s="13">
        <v>2026</v>
      </c>
      <c r="B463" t="s">
        <v>2233</v>
      </c>
      <c r="C463" t="s">
        <v>1489</v>
      </c>
      <c r="D463" t="s">
        <v>1410</v>
      </c>
      <c r="E463" s="40">
        <v>46074</v>
      </c>
      <c r="F463" s="20">
        <v>46077</v>
      </c>
      <c r="G463" t="s">
        <v>6</v>
      </c>
      <c r="H463" s="45">
        <v>72</v>
      </c>
      <c r="I463" t="s">
        <v>1612</v>
      </c>
      <c r="J463" t="s">
        <v>2234</v>
      </c>
      <c r="K463" t="s">
        <v>1419</v>
      </c>
      <c r="L463" t="s">
        <v>1423</v>
      </c>
      <c r="M463" t="s">
        <v>1430</v>
      </c>
      <c r="N463" t="s">
        <v>1532</v>
      </c>
    </row>
    <row r="464" spans="1:14" x14ac:dyDescent="0.25">
      <c r="A464" s="13">
        <v>2026</v>
      </c>
      <c r="B464" t="s">
        <v>2209</v>
      </c>
      <c r="C464" t="s">
        <v>1498</v>
      </c>
      <c r="D464" t="s">
        <v>25</v>
      </c>
      <c r="E464" s="40">
        <v>46019</v>
      </c>
      <c r="F464" s="20">
        <v>46024</v>
      </c>
      <c r="G464" t="s">
        <v>423</v>
      </c>
      <c r="H464" s="45">
        <v>100</v>
      </c>
      <c r="I464" t="s">
        <v>1534</v>
      </c>
      <c r="J464" t="s">
        <v>1398</v>
      </c>
      <c r="K464" t="s">
        <v>1419</v>
      </c>
      <c r="L464" t="s">
        <v>1422</v>
      </c>
      <c r="M464" t="s">
        <v>1430</v>
      </c>
      <c r="N464" t="s">
        <v>1532</v>
      </c>
    </row>
    <row r="465" spans="1:14" x14ac:dyDescent="0.25">
      <c r="A465" s="13">
        <v>2026</v>
      </c>
      <c r="B465" t="s">
        <v>2229</v>
      </c>
      <c r="C465" t="s">
        <v>1507</v>
      </c>
      <c r="D465" t="s">
        <v>1410</v>
      </c>
      <c r="E465" s="40">
        <v>46066</v>
      </c>
      <c r="F465" s="20">
        <v>46071</v>
      </c>
      <c r="G465" t="s">
        <v>1594</v>
      </c>
      <c r="H465" s="45">
        <v>120</v>
      </c>
      <c r="I465" t="s">
        <v>1595</v>
      </c>
      <c r="J465" t="s">
        <v>1760</v>
      </c>
      <c r="K465" t="s">
        <v>1419</v>
      </c>
      <c r="L465" t="s">
        <v>1423</v>
      </c>
      <c r="M465" t="s">
        <v>1430</v>
      </c>
      <c r="N465" t="s">
        <v>1532</v>
      </c>
    </row>
    <row r="466" spans="1:14" x14ac:dyDescent="0.25">
      <c r="A466" s="13">
        <v>2026</v>
      </c>
      <c r="B466" t="s">
        <v>2235</v>
      </c>
      <c r="C466" t="s">
        <v>1512</v>
      </c>
      <c r="D466" t="s">
        <v>1410</v>
      </c>
      <c r="E466" s="40">
        <v>46073</v>
      </c>
      <c r="F466" s="20">
        <v>46078</v>
      </c>
      <c r="G466" t="s">
        <v>812</v>
      </c>
      <c r="H466" s="45">
        <v>120</v>
      </c>
      <c r="I466" t="s">
        <v>1618</v>
      </c>
      <c r="J466" t="s">
        <v>1767</v>
      </c>
      <c r="K466" t="s">
        <v>1419</v>
      </c>
      <c r="L466" t="s">
        <v>1423</v>
      </c>
      <c r="M466" t="s">
        <v>1431</v>
      </c>
      <c r="N466" t="s">
        <v>1532</v>
      </c>
    </row>
    <row r="467" spans="1:14" x14ac:dyDescent="0.25">
      <c r="A467" s="13">
        <v>2026</v>
      </c>
      <c r="B467" t="s">
        <v>2249</v>
      </c>
      <c r="C467" t="s">
        <v>1507</v>
      </c>
      <c r="D467" t="s">
        <v>24</v>
      </c>
      <c r="E467" s="40">
        <v>46094</v>
      </c>
      <c r="F467" s="20">
        <v>46099</v>
      </c>
      <c r="G467" t="s">
        <v>28</v>
      </c>
      <c r="H467" s="45">
        <v>120</v>
      </c>
      <c r="I467" t="s">
        <v>1676</v>
      </c>
      <c r="J467" t="s">
        <v>661</v>
      </c>
      <c r="K467" t="s">
        <v>1419</v>
      </c>
      <c r="L467" t="s">
        <v>1420</v>
      </c>
      <c r="M467" t="s">
        <v>1430</v>
      </c>
      <c r="N467" t="s">
        <v>1532</v>
      </c>
    </row>
    <row r="468" spans="1:14" x14ac:dyDescent="0.25">
      <c r="A468" s="13">
        <v>2026</v>
      </c>
      <c r="B468" t="s">
        <v>2249</v>
      </c>
      <c r="C468" t="s">
        <v>1507</v>
      </c>
      <c r="D468" t="s">
        <v>24</v>
      </c>
      <c r="E468" s="40">
        <v>46093</v>
      </c>
      <c r="F468" s="20">
        <v>46099</v>
      </c>
      <c r="G468" t="s">
        <v>47</v>
      </c>
      <c r="H468" s="45">
        <v>144</v>
      </c>
      <c r="I468" t="s">
        <v>1677</v>
      </c>
      <c r="J468" t="s">
        <v>1678</v>
      </c>
      <c r="K468" t="s">
        <v>1419</v>
      </c>
      <c r="L468" t="s">
        <v>1422</v>
      </c>
      <c r="M468" t="s">
        <v>1431</v>
      </c>
      <c r="N468" t="s">
        <v>1532</v>
      </c>
    </row>
    <row r="469" spans="1:14" x14ac:dyDescent="0.25">
      <c r="A469" s="13">
        <v>2026</v>
      </c>
      <c r="B469" t="s">
        <v>2237</v>
      </c>
      <c r="C469" t="s">
        <v>1504</v>
      </c>
      <c r="D469" t="s">
        <v>1410</v>
      </c>
      <c r="E469" s="40">
        <v>46074</v>
      </c>
      <c r="F469" s="20">
        <v>46081</v>
      </c>
      <c r="G469" t="s">
        <v>1630</v>
      </c>
      <c r="H469" s="45">
        <v>168</v>
      </c>
      <c r="I469" t="s">
        <v>1798</v>
      </c>
      <c r="J469" t="s">
        <v>1632</v>
      </c>
      <c r="K469" t="s">
        <v>1419</v>
      </c>
      <c r="L469" t="s">
        <v>1420</v>
      </c>
      <c r="M469" t="s">
        <v>1430</v>
      </c>
      <c r="N469" t="s">
        <v>1532</v>
      </c>
    </row>
    <row r="470" spans="1:14" x14ac:dyDescent="0.25">
      <c r="A470" s="13">
        <v>2026</v>
      </c>
      <c r="B470" t="s">
        <v>2250</v>
      </c>
      <c r="C470" t="s">
        <v>1509</v>
      </c>
      <c r="D470" t="s">
        <v>24</v>
      </c>
      <c r="E470" s="40">
        <v>46095</v>
      </c>
      <c r="F470" s="20">
        <v>46102</v>
      </c>
      <c r="G470" t="s">
        <v>991</v>
      </c>
      <c r="H470" s="45">
        <v>168</v>
      </c>
      <c r="I470" t="s">
        <v>1680</v>
      </c>
      <c r="J470" t="s">
        <v>1777</v>
      </c>
      <c r="K470" t="s">
        <v>1419</v>
      </c>
      <c r="L470" t="s">
        <v>1423</v>
      </c>
      <c r="M470" t="s">
        <v>1430</v>
      </c>
      <c r="N470" t="s">
        <v>1532</v>
      </c>
    </row>
    <row r="471" spans="1:14" x14ac:dyDescent="0.25">
      <c r="A471" s="13">
        <v>2026</v>
      </c>
      <c r="B471" t="s">
        <v>2228</v>
      </c>
      <c r="C471" t="s">
        <v>1496</v>
      </c>
      <c r="D471" t="s">
        <v>1410</v>
      </c>
      <c r="E471" s="40">
        <v>46058</v>
      </c>
      <c r="F471" s="20">
        <v>46066</v>
      </c>
      <c r="G471" t="s">
        <v>1183</v>
      </c>
      <c r="H471" s="45">
        <v>192</v>
      </c>
      <c r="I471" t="s">
        <v>1591</v>
      </c>
      <c r="J471" t="s">
        <v>1758</v>
      </c>
      <c r="K471" t="s">
        <v>1419</v>
      </c>
      <c r="L471" t="s">
        <v>1423</v>
      </c>
      <c r="M471" t="s">
        <v>1430</v>
      </c>
      <c r="N471" t="s">
        <v>1532</v>
      </c>
    </row>
    <row r="472" spans="1:14" x14ac:dyDescent="0.25">
      <c r="A472" s="13">
        <v>2026</v>
      </c>
      <c r="B472" t="s">
        <v>2238</v>
      </c>
      <c r="C472" t="s">
        <v>1498</v>
      </c>
      <c r="D472" t="s">
        <v>24</v>
      </c>
      <c r="E472" s="40">
        <v>46075</v>
      </c>
      <c r="F472" s="20">
        <v>46083</v>
      </c>
      <c r="G472" t="s">
        <v>1638</v>
      </c>
      <c r="H472" s="45">
        <v>192</v>
      </c>
      <c r="I472" t="s">
        <v>2298</v>
      </c>
      <c r="J472" t="s">
        <v>1640</v>
      </c>
      <c r="K472" t="s">
        <v>1418</v>
      </c>
      <c r="L472">
        <v>0</v>
      </c>
      <c r="M472" t="s">
        <v>1431</v>
      </c>
      <c r="N472" t="s">
        <v>1532</v>
      </c>
    </row>
    <row r="473" spans="1:14" x14ac:dyDescent="0.25">
      <c r="A473" s="13">
        <v>2026</v>
      </c>
      <c r="B473" t="s">
        <v>2264</v>
      </c>
      <c r="C473" t="s">
        <v>1507</v>
      </c>
      <c r="D473" t="s">
        <v>33</v>
      </c>
      <c r="E473" s="40">
        <v>46122</v>
      </c>
      <c r="F473" s="20">
        <v>46130</v>
      </c>
      <c r="G473" t="s">
        <v>1643</v>
      </c>
      <c r="H473" s="45">
        <v>192</v>
      </c>
      <c r="I473" t="s">
        <v>1728</v>
      </c>
      <c r="J473" t="s">
        <v>1790</v>
      </c>
      <c r="K473" t="s">
        <v>1424</v>
      </c>
      <c r="L473">
        <v>0</v>
      </c>
      <c r="M473" t="s">
        <v>1432</v>
      </c>
      <c r="N473" t="s">
        <v>1532</v>
      </c>
    </row>
    <row r="474" spans="1:14" x14ac:dyDescent="0.25">
      <c r="A474" s="13">
        <v>2026</v>
      </c>
      <c r="B474" t="s">
        <v>2215</v>
      </c>
      <c r="C474" t="s">
        <v>1483</v>
      </c>
      <c r="D474" t="s">
        <v>25</v>
      </c>
      <c r="E474" s="40">
        <v>46039</v>
      </c>
      <c r="F474" s="20">
        <v>46048</v>
      </c>
      <c r="G474" t="s">
        <v>1548</v>
      </c>
      <c r="H474" s="45">
        <v>216</v>
      </c>
      <c r="I474" t="s">
        <v>1549</v>
      </c>
      <c r="J474" t="s">
        <v>1746</v>
      </c>
      <c r="K474" t="s">
        <v>1424</v>
      </c>
      <c r="L474">
        <v>0</v>
      </c>
      <c r="M474" t="s">
        <v>1432</v>
      </c>
      <c r="N474" t="s">
        <v>1532</v>
      </c>
    </row>
    <row r="475" spans="1:14" x14ac:dyDescent="0.25">
      <c r="A475" s="13">
        <v>2026</v>
      </c>
      <c r="B475" t="s">
        <v>2225</v>
      </c>
      <c r="C475" t="s">
        <v>1502</v>
      </c>
      <c r="D475" t="s">
        <v>1410</v>
      </c>
      <c r="E475" s="40">
        <v>46053</v>
      </c>
      <c r="F475" s="20">
        <v>46063</v>
      </c>
      <c r="G475" t="s">
        <v>632</v>
      </c>
      <c r="H475" s="45">
        <v>240</v>
      </c>
      <c r="I475" t="s">
        <v>1583</v>
      </c>
      <c r="J475" t="s">
        <v>1754</v>
      </c>
      <c r="K475" t="s">
        <v>1418</v>
      </c>
      <c r="L475">
        <v>0</v>
      </c>
      <c r="M475" t="s">
        <v>1431</v>
      </c>
      <c r="N475" t="s">
        <v>1532</v>
      </c>
    </row>
    <row r="476" spans="1:14" x14ac:dyDescent="0.25">
      <c r="A476" s="13">
        <v>2026</v>
      </c>
      <c r="B476" t="s">
        <v>2225</v>
      </c>
      <c r="C476" t="s">
        <v>1502</v>
      </c>
      <c r="D476" t="s">
        <v>1410</v>
      </c>
      <c r="E476" s="40">
        <v>46053</v>
      </c>
      <c r="F476" s="20">
        <v>46063</v>
      </c>
      <c r="G476" t="s">
        <v>1584</v>
      </c>
      <c r="H476" s="45">
        <v>240</v>
      </c>
      <c r="I476" t="s">
        <v>1585</v>
      </c>
      <c r="J476" t="s">
        <v>1755</v>
      </c>
      <c r="K476" t="s">
        <v>1419</v>
      </c>
      <c r="L476" t="s">
        <v>1423</v>
      </c>
      <c r="M476" t="s">
        <v>1431</v>
      </c>
      <c r="N476" t="s">
        <v>1532</v>
      </c>
    </row>
    <row r="477" spans="1:14" x14ac:dyDescent="0.25">
      <c r="A477" s="13">
        <v>2026</v>
      </c>
      <c r="B477" t="s">
        <v>2209</v>
      </c>
      <c r="C477" t="s">
        <v>1498</v>
      </c>
      <c r="D477" t="s">
        <v>25</v>
      </c>
      <c r="E477" s="40">
        <v>46012</v>
      </c>
      <c r="F477" s="20">
        <v>46024</v>
      </c>
      <c r="G477" t="s">
        <v>34</v>
      </c>
      <c r="H477" s="45">
        <v>288</v>
      </c>
      <c r="I477" t="s">
        <v>1400</v>
      </c>
      <c r="J477" t="s">
        <v>1401</v>
      </c>
      <c r="K477" t="s">
        <v>1425</v>
      </c>
      <c r="L477">
        <v>0</v>
      </c>
      <c r="M477" t="s">
        <v>1432</v>
      </c>
      <c r="N477" t="s">
        <v>1532</v>
      </c>
    </row>
    <row r="478" spans="1:14" x14ac:dyDescent="0.25">
      <c r="A478" s="13">
        <v>2026</v>
      </c>
      <c r="B478" t="s">
        <v>2218</v>
      </c>
      <c r="C478" t="s">
        <v>1505</v>
      </c>
      <c r="D478" t="s">
        <v>25</v>
      </c>
      <c r="E478" s="40">
        <v>46041</v>
      </c>
      <c r="F478" s="20">
        <v>46053</v>
      </c>
      <c r="G478" t="s">
        <v>218</v>
      </c>
      <c r="H478" s="45">
        <v>288</v>
      </c>
      <c r="I478" t="s">
        <v>1555</v>
      </c>
      <c r="J478" t="s">
        <v>1556</v>
      </c>
      <c r="K478" t="s">
        <v>1424</v>
      </c>
      <c r="L478">
        <v>0</v>
      </c>
      <c r="M478" t="s">
        <v>1432</v>
      </c>
      <c r="N478" t="s">
        <v>1532</v>
      </c>
    </row>
    <row r="479" spans="1:14" x14ac:dyDescent="0.25">
      <c r="A479" s="13">
        <v>2026</v>
      </c>
      <c r="B479" t="s">
        <v>2223</v>
      </c>
      <c r="C479" t="s">
        <v>1492</v>
      </c>
      <c r="D479" t="s">
        <v>1410</v>
      </c>
      <c r="E479" s="40">
        <v>46047</v>
      </c>
      <c r="F479" s="20">
        <v>46059</v>
      </c>
      <c r="G479" t="s">
        <v>1572</v>
      </c>
      <c r="H479" s="45">
        <v>288</v>
      </c>
      <c r="I479" t="s">
        <v>1573</v>
      </c>
      <c r="J479" t="s">
        <v>1574</v>
      </c>
      <c r="K479" t="s">
        <v>1419</v>
      </c>
      <c r="L479" t="s">
        <v>1422</v>
      </c>
      <c r="M479" t="s">
        <v>1430</v>
      </c>
      <c r="N479" t="s">
        <v>1532</v>
      </c>
    </row>
    <row r="480" spans="1:14" x14ac:dyDescent="0.25">
      <c r="A480" s="13">
        <v>2026</v>
      </c>
      <c r="B480" t="s">
        <v>2256</v>
      </c>
      <c r="C480" t="s">
        <v>1500</v>
      </c>
      <c r="D480" t="s">
        <v>33</v>
      </c>
      <c r="E480" s="40">
        <v>46104</v>
      </c>
      <c r="F480" s="20">
        <v>46116</v>
      </c>
      <c r="G480" t="s">
        <v>17</v>
      </c>
      <c r="H480" s="45">
        <v>288</v>
      </c>
      <c r="I480" t="s">
        <v>1704</v>
      </c>
      <c r="J480" t="s">
        <v>1781</v>
      </c>
      <c r="K480" t="s">
        <v>1418</v>
      </c>
      <c r="L480">
        <v>0</v>
      </c>
      <c r="M480" t="s">
        <v>1431</v>
      </c>
      <c r="N480" t="s">
        <v>1532</v>
      </c>
    </row>
    <row r="481" spans="1:14" x14ac:dyDescent="0.25">
      <c r="A481" s="13">
        <v>2026</v>
      </c>
      <c r="B481" t="s">
        <v>2262</v>
      </c>
      <c r="C481" t="s">
        <v>1501</v>
      </c>
      <c r="D481" t="s">
        <v>33</v>
      </c>
      <c r="E481" s="40">
        <v>46117</v>
      </c>
      <c r="F481" s="20">
        <v>46129</v>
      </c>
      <c r="G481" t="s">
        <v>1643</v>
      </c>
      <c r="H481" s="45">
        <v>288</v>
      </c>
      <c r="I481" t="s">
        <v>1722</v>
      </c>
      <c r="J481" t="s">
        <v>1789</v>
      </c>
      <c r="K481" t="s">
        <v>1418</v>
      </c>
      <c r="L481">
        <v>0</v>
      </c>
      <c r="M481" t="s">
        <v>1431</v>
      </c>
      <c r="N481" t="s">
        <v>1532</v>
      </c>
    </row>
    <row r="482" spans="1:14" x14ac:dyDescent="0.25">
      <c r="A482" s="13">
        <v>2026</v>
      </c>
      <c r="B482" t="s">
        <v>2209</v>
      </c>
      <c r="C482" t="s">
        <v>1498</v>
      </c>
      <c r="D482" t="s">
        <v>25</v>
      </c>
      <c r="E482" s="40">
        <v>46011</v>
      </c>
      <c r="F482" s="20">
        <v>46024</v>
      </c>
      <c r="G482" t="s">
        <v>1207</v>
      </c>
      <c r="H482" s="45">
        <v>312</v>
      </c>
      <c r="I482" t="s">
        <v>1396</v>
      </c>
      <c r="J482" t="s">
        <v>1397</v>
      </c>
      <c r="K482" t="s">
        <v>1418</v>
      </c>
      <c r="L482">
        <v>0</v>
      </c>
      <c r="M482" t="s">
        <v>1431</v>
      </c>
      <c r="N482" t="s">
        <v>1532</v>
      </c>
    </row>
    <row r="483" spans="1:14" x14ac:dyDescent="0.25">
      <c r="A483" s="13">
        <v>2026</v>
      </c>
      <c r="B483" t="s">
        <v>2231</v>
      </c>
      <c r="C483" t="s">
        <v>1480</v>
      </c>
      <c r="D483" t="s">
        <v>1410</v>
      </c>
      <c r="E483" s="40">
        <v>46060</v>
      </c>
      <c r="F483" s="20">
        <v>46073</v>
      </c>
      <c r="G483" t="s">
        <v>1603</v>
      </c>
      <c r="H483" s="45">
        <v>312</v>
      </c>
      <c r="I483" t="s">
        <v>1604</v>
      </c>
      <c r="J483" t="s">
        <v>1605</v>
      </c>
      <c r="K483" t="s">
        <v>1418</v>
      </c>
      <c r="L483">
        <v>0</v>
      </c>
      <c r="M483" t="s">
        <v>1431</v>
      </c>
      <c r="N483" t="s">
        <v>1532</v>
      </c>
    </row>
    <row r="484" spans="1:14" x14ac:dyDescent="0.25">
      <c r="A484" s="13">
        <v>2026</v>
      </c>
      <c r="B484" t="s">
        <v>2265</v>
      </c>
      <c r="C484" t="s">
        <v>1488</v>
      </c>
      <c r="D484" t="s">
        <v>33</v>
      </c>
      <c r="E484" s="40">
        <v>46122</v>
      </c>
      <c r="F484" s="20">
        <v>46135</v>
      </c>
      <c r="G484" t="s">
        <v>423</v>
      </c>
      <c r="H484" s="45">
        <v>312</v>
      </c>
      <c r="I484" t="s">
        <v>1730</v>
      </c>
      <c r="J484" t="s">
        <v>1791</v>
      </c>
      <c r="K484" t="s">
        <v>1419</v>
      </c>
      <c r="L484" t="s">
        <v>1423</v>
      </c>
      <c r="M484" t="s">
        <v>1430</v>
      </c>
      <c r="N484" t="s">
        <v>1532</v>
      </c>
    </row>
    <row r="485" spans="1:14" x14ac:dyDescent="0.25">
      <c r="A485" s="13">
        <v>2026</v>
      </c>
      <c r="B485" t="s">
        <v>2267</v>
      </c>
      <c r="C485" t="s">
        <v>1512</v>
      </c>
      <c r="D485" t="s">
        <v>33</v>
      </c>
      <c r="E485" s="40">
        <v>46122</v>
      </c>
      <c r="F485" s="20">
        <v>46137</v>
      </c>
      <c r="G485" t="s">
        <v>2098</v>
      </c>
      <c r="H485" s="45">
        <v>360</v>
      </c>
      <c r="I485" t="s">
        <v>1738</v>
      </c>
      <c r="J485" t="s">
        <v>1739</v>
      </c>
      <c r="K485" t="s">
        <v>1419</v>
      </c>
      <c r="L485" t="s">
        <v>1420</v>
      </c>
      <c r="M485" t="s">
        <v>1430</v>
      </c>
      <c r="N485" t="s">
        <v>1532</v>
      </c>
    </row>
    <row r="486" spans="1:14" x14ac:dyDescent="0.25">
      <c r="A486" s="13">
        <v>2026</v>
      </c>
      <c r="B486" t="s">
        <v>2221</v>
      </c>
      <c r="C486" t="s">
        <v>1500</v>
      </c>
      <c r="D486" t="s">
        <v>1410</v>
      </c>
      <c r="E486" s="40">
        <v>46039</v>
      </c>
      <c r="F486" s="20">
        <v>46057</v>
      </c>
      <c r="G486" t="s">
        <v>1566</v>
      </c>
      <c r="H486" s="45">
        <v>432</v>
      </c>
      <c r="I486" t="s">
        <v>1567</v>
      </c>
      <c r="J486" t="s">
        <v>1568</v>
      </c>
      <c r="K486" t="s">
        <v>1419</v>
      </c>
      <c r="L486" t="s">
        <v>1420</v>
      </c>
      <c r="M486" t="s">
        <v>1431</v>
      </c>
      <c r="N486" t="s">
        <v>1532</v>
      </c>
    </row>
    <row r="487" spans="1:14" x14ac:dyDescent="0.25">
      <c r="A487" s="13">
        <v>2026</v>
      </c>
      <c r="B487" t="s">
        <v>2238</v>
      </c>
      <c r="C487" t="s">
        <v>1498</v>
      </c>
      <c r="D487" t="s">
        <v>24</v>
      </c>
      <c r="E487" s="40">
        <v>46065</v>
      </c>
      <c r="F487" s="20">
        <v>46083</v>
      </c>
      <c r="G487" t="s">
        <v>2239</v>
      </c>
      <c r="H487" s="45">
        <v>432</v>
      </c>
      <c r="I487" t="s">
        <v>2300</v>
      </c>
      <c r="J487" t="s">
        <v>1771</v>
      </c>
      <c r="K487" t="s">
        <v>1418</v>
      </c>
      <c r="L487">
        <v>0</v>
      </c>
      <c r="M487" t="s">
        <v>1431</v>
      </c>
      <c r="N487" t="s">
        <v>1532</v>
      </c>
    </row>
    <row r="488" spans="1:14" x14ac:dyDescent="0.25">
      <c r="A488" s="13">
        <v>2026</v>
      </c>
      <c r="B488" t="s">
        <v>2241</v>
      </c>
      <c r="C488" t="s">
        <v>1500</v>
      </c>
      <c r="D488" t="s">
        <v>24</v>
      </c>
      <c r="E488" s="40">
        <v>46066</v>
      </c>
      <c r="F488" s="20">
        <v>46085</v>
      </c>
      <c r="G488" t="s">
        <v>48</v>
      </c>
      <c r="H488" s="45">
        <v>456</v>
      </c>
      <c r="I488" t="s">
        <v>2295</v>
      </c>
      <c r="J488" t="s">
        <v>2242</v>
      </c>
      <c r="K488" t="s">
        <v>1419</v>
      </c>
      <c r="L488" t="s">
        <v>1420</v>
      </c>
      <c r="M488" t="s">
        <v>1430</v>
      </c>
      <c r="N488" t="s">
        <v>1532</v>
      </c>
    </row>
    <row r="489" spans="1:14" x14ac:dyDescent="0.25">
      <c r="A489" s="13">
        <v>2026</v>
      </c>
      <c r="B489" t="s">
        <v>2210</v>
      </c>
      <c r="C489" t="s">
        <v>1499</v>
      </c>
      <c r="D489" t="s">
        <v>25</v>
      </c>
      <c r="E489" s="40">
        <v>46005</v>
      </c>
      <c r="F489" s="20">
        <v>46025</v>
      </c>
      <c r="G489" t="s">
        <v>1403</v>
      </c>
      <c r="H489" s="45">
        <v>480</v>
      </c>
      <c r="I489" t="s">
        <v>1404</v>
      </c>
      <c r="J489" t="s">
        <v>2211</v>
      </c>
      <c r="K489" t="s">
        <v>1419</v>
      </c>
      <c r="L489" t="s">
        <v>1423</v>
      </c>
      <c r="M489" t="s">
        <v>1430</v>
      </c>
      <c r="N489" t="s">
        <v>1532</v>
      </c>
    </row>
    <row r="490" spans="1:14" x14ac:dyDescent="0.25">
      <c r="A490" s="13">
        <v>2026</v>
      </c>
      <c r="B490" t="s">
        <v>2251</v>
      </c>
      <c r="C490" t="s">
        <v>1503</v>
      </c>
      <c r="D490" t="s">
        <v>24</v>
      </c>
      <c r="E490" s="40">
        <v>46079</v>
      </c>
      <c r="F490" s="20">
        <v>46103</v>
      </c>
      <c r="G490" t="s">
        <v>11</v>
      </c>
      <c r="H490" s="45">
        <v>480</v>
      </c>
      <c r="I490" t="s">
        <v>1684</v>
      </c>
      <c r="J490" t="s">
        <v>1685</v>
      </c>
      <c r="K490" t="s">
        <v>1424</v>
      </c>
      <c r="L490">
        <v>0</v>
      </c>
      <c r="M490" t="s">
        <v>1432</v>
      </c>
      <c r="N490" t="s">
        <v>1532</v>
      </c>
    </row>
    <row r="491" spans="1:14" x14ac:dyDescent="0.25">
      <c r="A491" s="13">
        <v>2026</v>
      </c>
      <c r="B491" t="s">
        <v>2214</v>
      </c>
      <c r="C491" t="s">
        <v>1511</v>
      </c>
      <c r="D491" t="s">
        <v>25</v>
      </c>
      <c r="E491" s="40">
        <v>46010</v>
      </c>
      <c r="F491" s="20">
        <v>46036</v>
      </c>
      <c r="G491" t="s">
        <v>1539</v>
      </c>
      <c r="H491" s="45">
        <v>520</v>
      </c>
      <c r="I491" t="s">
        <v>1540</v>
      </c>
      <c r="J491" t="s">
        <v>1541</v>
      </c>
      <c r="K491" t="s">
        <v>1419</v>
      </c>
      <c r="L491" t="s">
        <v>1426</v>
      </c>
      <c r="M491" t="s">
        <v>1430</v>
      </c>
      <c r="N491" t="s">
        <v>1532</v>
      </c>
    </row>
    <row r="492" spans="1:14" x14ac:dyDescent="0.25">
      <c r="A492" s="13">
        <v>2026</v>
      </c>
      <c r="B492" t="s">
        <v>2259</v>
      </c>
      <c r="C492" t="s">
        <v>1494</v>
      </c>
      <c r="D492" t="s">
        <v>33</v>
      </c>
      <c r="E492" s="40">
        <v>46095</v>
      </c>
      <c r="F492" s="20">
        <v>46121</v>
      </c>
      <c r="G492" t="s">
        <v>98</v>
      </c>
      <c r="H492" s="45">
        <v>520</v>
      </c>
      <c r="I492" t="s">
        <v>1712</v>
      </c>
      <c r="J492" t="s">
        <v>1785</v>
      </c>
      <c r="K492" t="s">
        <v>1424</v>
      </c>
      <c r="L492">
        <v>0</v>
      </c>
      <c r="M492" t="s">
        <v>1432</v>
      </c>
      <c r="N492" t="s">
        <v>1532</v>
      </c>
    </row>
    <row r="493" spans="1:14" x14ac:dyDescent="0.25">
      <c r="A493" s="13">
        <v>2026</v>
      </c>
      <c r="B493" t="s">
        <v>2253</v>
      </c>
      <c r="C493" t="s">
        <v>1489</v>
      </c>
      <c r="D493" t="s">
        <v>24</v>
      </c>
      <c r="E493" s="40">
        <v>46082</v>
      </c>
      <c r="F493" s="20">
        <v>46105</v>
      </c>
      <c r="G493" t="s">
        <v>1141</v>
      </c>
      <c r="H493" s="45">
        <v>552</v>
      </c>
      <c r="I493" t="s">
        <v>1691</v>
      </c>
      <c r="J493" t="s">
        <v>1692</v>
      </c>
      <c r="K493" t="s">
        <v>1419</v>
      </c>
      <c r="L493" t="s">
        <v>1420</v>
      </c>
      <c r="M493" t="s">
        <v>1430</v>
      </c>
      <c r="N493" t="s">
        <v>1532</v>
      </c>
    </row>
    <row r="494" spans="1:14" x14ac:dyDescent="0.25">
      <c r="A494" s="13">
        <v>2026</v>
      </c>
      <c r="B494" t="s">
        <v>2253</v>
      </c>
      <c r="C494" t="s">
        <v>1489</v>
      </c>
      <c r="D494" t="s">
        <v>24</v>
      </c>
      <c r="E494" s="40">
        <v>46082</v>
      </c>
      <c r="F494" s="20">
        <v>46105</v>
      </c>
      <c r="G494" t="s">
        <v>1693</v>
      </c>
      <c r="H494" s="45">
        <v>552</v>
      </c>
      <c r="I494" t="s">
        <v>1694</v>
      </c>
      <c r="J494" t="s">
        <v>1779</v>
      </c>
      <c r="K494" t="s">
        <v>1419</v>
      </c>
      <c r="L494" t="s">
        <v>1423</v>
      </c>
      <c r="M494" t="s">
        <v>1430</v>
      </c>
      <c r="N494" t="s">
        <v>1532</v>
      </c>
    </row>
    <row r="495" spans="1:14" x14ac:dyDescent="0.25">
      <c r="A495" s="13">
        <v>2026</v>
      </c>
      <c r="B495" t="s">
        <v>2235</v>
      </c>
      <c r="C495" t="s">
        <v>1512</v>
      </c>
      <c r="D495" t="s">
        <v>1410</v>
      </c>
      <c r="E495" s="40">
        <v>46053</v>
      </c>
      <c r="F495" s="20">
        <v>46078</v>
      </c>
      <c r="G495" t="s">
        <v>1620</v>
      </c>
      <c r="H495" s="45">
        <v>600</v>
      </c>
      <c r="I495" t="s">
        <v>1621</v>
      </c>
      <c r="J495" t="s">
        <v>1769</v>
      </c>
      <c r="K495" t="s">
        <v>1419</v>
      </c>
      <c r="L495" t="s">
        <v>1426</v>
      </c>
      <c r="M495" t="s">
        <v>1431</v>
      </c>
      <c r="N495" t="s">
        <v>1532</v>
      </c>
    </row>
    <row r="496" spans="1:14" x14ac:dyDescent="0.25">
      <c r="A496" s="13">
        <v>2026</v>
      </c>
      <c r="B496" t="s">
        <v>2259</v>
      </c>
      <c r="C496" t="s">
        <v>1494</v>
      </c>
      <c r="D496" t="s">
        <v>33</v>
      </c>
      <c r="E496" s="40">
        <v>46096</v>
      </c>
      <c r="F496" s="20">
        <v>46121</v>
      </c>
      <c r="G496" t="s">
        <v>2239</v>
      </c>
      <c r="H496" s="45">
        <v>600</v>
      </c>
      <c r="I496" t="s">
        <v>1711</v>
      </c>
      <c r="J496" t="s">
        <v>1784</v>
      </c>
      <c r="K496" t="s">
        <v>1419</v>
      </c>
      <c r="L496" t="s">
        <v>1420</v>
      </c>
      <c r="M496" t="s">
        <v>1431</v>
      </c>
      <c r="N496" t="s">
        <v>1532</v>
      </c>
    </row>
    <row r="497" spans="1:14" x14ac:dyDescent="0.25">
      <c r="A497" s="13">
        <v>2026</v>
      </c>
      <c r="B497" t="s">
        <v>2223</v>
      </c>
      <c r="C497" t="s">
        <v>1492</v>
      </c>
      <c r="D497" t="s">
        <v>1410</v>
      </c>
      <c r="E497" s="40">
        <v>46033</v>
      </c>
      <c r="F497" s="20">
        <v>46059</v>
      </c>
      <c r="G497" t="s">
        <v>1575</v>
      </c>
      <c r="H497" s="45">
        <v>624</v>
      </c>
      <c r="I497" t="s">
        <v>1576</v>
      </c>
      <c r="J497" t="s">
        <v>1751</v>
      </c>
      <c r="K497" t="s">
        <v>1418</v>
      </c>
      <c r="L497">
        <v>0</v>
      </c>
      <c r="M497" t="s">
        <v>1431</v>
      </c>
      <c r="N497" t="s">
        <v>1532</v>
      </c>
    </row>
    <row r="498" spans="1:14" x14ac:dyDescent="0.25">
      <c r="A498" s="13">
        <v>2026</v>
      </c>
      <c r="B498" t="s">
        <v>2240</v>
      </c>
      <c r="C498" t="s">
        <v>1499</v>
      </c>
      <c r="D498" t="s">
        <v>24</v>
      </c>
      <c r="E498" s="40">
        <v>46058</v>
      </c>
      <c r="F498" s="20">
        <v>46084</v>
      </c>
      <c r="G498" t="s">
        <v>1643</v>
      </c>
      <c r="H498" s="45">
        <v>624</v>
      </c>
      <c r="I498" t="s">
        <v>1644</v>
      </c>
      <c r="J498" t="s">
        <v>1774</v>
      </c>
      <c r="K498" t="s">
        <v>1425</v>
      </c>
      <c r="L498">
        <v>0</v>
      </c>
      <c r="M498" t="s">
        <v>1432</v>
      </c>
      <c r="N498" t="s">
        <v>1532</v>
      </c>
    </row>
    <row r="499" spans="1:14" x14ac:dyDescent="0.25">
      <c r="A499" s="13">
        <v>2026</v>
      </c>
      <c r="B499" t="s">
        <v>2261</v>
      </c>
      <c r="C499" t="s">
        <v>1497</v>
      </c>
      <c r="D499" t="s">
        <v>33</v>
      </c>
      <c r="E499" s="40">
        <v>46100</v>
      </c>
      <c r="F499" s="20">
        <v>46127</v>
      </c>
      <c r="G499" t="s">
        <v>40</v>
      </c>
      <c r="H499" s="45">
        <v>648</v>
      </c>
      <c r="I499" t="s">
        <v>1717</v>
      </c>
      <c r="J499" t="s">
        <v>1718</v>
      </c>
      <c r="K499" t="s">
        <v>1424</v>
      </c>
      <c r="L499">
        <v>0</v>
      </c>
      <c r="M499" t="s">
        <v>1432</v>
      </c>
      <c r="N499" t="s">
        <v>1532</v>
      </c>
    </row>
    <row r="500" spans="1:14" x14ac:dyDescent="0.25">
      <c r="A500" s="13">
        <v>2026</v>
      </c>
      <c r="B500" t="s">
        <v>2244</v>
      </c>
      <c r="C500" t="s">
        <v>1486</v>
      </c>
      <c r="D500" t="s">
        <v>24</v>
      </c>
      <c r="E500" s="40">
        <v>46060</v>
      </c>
      <c r="F500" s="20">
        <v>46088</v>
      </c>
      <c r="G500" t="s">
        <v>1654</v>
      </c>
      <c r="H500" s="45">
        <v>672</v>
      </c>
      <c r="I500" t="s">
        <v>2302</v>
      </c>
      <c r="J500" t="s">
        <v>1656</v>
      </c>
      <c r="K500" t="s">
        <v>1424</v>
      </c>
      <c r="L500">
        <v>0</v>
      </c>
      <c r="M500" t="s">
        <v>1432</v>
      </c>
      <c r="N500" t="s">
        <v>1532</v>
      </c>
    </row>
    <row r="501" spans="1:14" x14ac:dyDescent="0.25">
      <c r="A501" s="13">
        <v>2026</v>
      </c>
      <c r="B501" t="s">
        <v>2266</v>
      </c>
      <c r="C501" t="s">
        <v>1489</v>
      </c>
      <c r="D501" t="s">
        <v>33</v>
      </c>
      <c r="E501" s="40">
        <v>46102</v>
      </c>
      <c r="F501" s="20">
        <v>46136</v>
      </c>
      <c r="G501" t="s">
        <v>1732</v>
      </c>
      <c r="H501" s="45">
        <v>680</v>
      </c>
      <c r="I501" t="s">
        <v>1733</v>
      </c>
      <c r="J501" t="s">
        <v>1734</v>
      </c>
      <c r="K501" t="s">
        <v>1424</v>
      </c>
      <c r="L501">
        <v>0</v>
      </c>
      <c r="M501" t="s">
        <v>1432</v>
      </c>
      <c r="N501" t="s">
        <v>1532</v>
      </c>
    </row>
    <row r="502" spans="1:14" x14ac:dyDescent="0.25">
      <c r="A502" s="13">
        <v>2026</v>
      </c>
      <c r="B502" t="s">
        <v>2238</v>
      </c>
      <c r="C502" t="s">
        <v>1498</v>
      </c>
      <c r="D502" t="s">
        <v>24</v>
      </c>
      <c r="E502" s="40">
        <v>46054</v>
      </c>
      <c r="F502" s="20">
        <v>46083</v>
      </c>
      <c r="G502" t="s">
        <v>2239</v>
      </c>
      <c r="H502" s="45">
        <v>696</v>
      </c>
      <c r="I502" t="s">
        <v>2301</v>
      </c>
      <c r="J502" t="s">
        <v>1770</v>
      </c>
      <c r="K502" t="s">
        <v>1418</v>
      </c>
      <c r="L502">
        <v>0</v>
      </c>
      <c r="M502" t="s">
        <v>1431</v>
      </c>
      <c r="N502" t="s">
        <v>1532</v>
      </c>
    </row>
    <row r="503" spans="1:14" x14ac:dyDescent="0.25">
      <c r="A503" s="13">
        <v>2026</v>
      </c>
      <c r="B503" t="s">
        <v>2255</v>
      </c>
      <c r="C503" t="s">
        <v>1508</v>
      </c>
      <c r="D503" t="s">
        <v>24</v>
      </c>
      <c r="E503" s="40">
        <v>46081</v>
      </c>
      <c r="F503" s="20">
        <v>46111</v>
      </c>
      <c r="G503" t="s">
        <v>854</v>
      </c>
      <c r="H503" s="45">
        <v>720</v>
      </c>
      <c r="I503" t="s">
        <v>1698</v>
      </c>
      <c r="J503" t="s">
        <v>981</v>
      </c>
      <c r="K503" t="s">
        <v>1424</v>
      </c>
      <c r="L503">
        <v>0</v>
      </c>
      <c r="M503" t="s">
        <v>1432</v>
      </c>
      <c r="N503" t="s">
        <v>1532</v>
      </c>
    </row>
    <row r="504" spans="1:14" x14ac:dyDescent="0.25">
      <c r="A504" s="13">
        <v>2026</v>
      </c>
      <c r="B504" t="s">
        <v>2224</v>
      </c>
      <c r="C504" t="s">
        <v>1494</v>
      </c>
      <c r="D504" t="s">
        <v>1410</v>
      </c>
      <c r="E504" s="40">
        <v>46031</v>
      </c>
      <c r="F504" s="20">
        <v>46062</v>
      </c>
      <c r="G504" t="s">
        <v>1578</v>
      </c>
      <c r="H504" s="45">
        <v>744</v>
      </c>
      <c r="I504" t="s">
        <v>1579</v>
      </c>
      <c r="J504" t="s">
        <v>1752</v>
      </c>
      <c r="K504" t="s">
        <v>1418</v>
      </c>
      <c r="L504">
        <v>0</v>
      </c>
      <c r="M504" t="s">
        <v>1431</v>
      </c>
      <c r="N504" t="s">
        <v>1532</v>
      </c>
    </row>
    <row r="505" spans="1:14" x14ac:dyDescent="0.25">
      <c r="A505" s="13">
        <v>2026</v>
      </c>
      <c r="B505" t="s">
        <v>2216</v>
      </c>
      <c r="C505" t="s">
        <v>1504</v>
      </c>
      <c r="D505" t="s">
        <v>25</v>
      </c>
      <c r="E505" s="40">
        <v>46016</v>
      </c>
      <c r="F505" s="20">
        <v>46050</v>
      </c>
      <c r="G505" t="s">
        <v>43</v>
      </c>
      <c r="H505" s="45">
        <v>816</v>
      </c>
      <c r="I505" t="s">
        <v>1551</v>
      </c>
      <c r="J505" t="s">
        <v>981</v>
      </c>
      <c r="K505" t="s">
        <v>1424</v>
      </c>
      <c r="L505">
        <v>0</v>
      </c>
      <c r="M505" t="s">
        <v>1432</v>
      </c>
      <c r="N505" t="s">
        <v>1532</v>
      </c>
    </row>
    <row r="506" spans="1:14" x14ac:dyDescent="0.25">
      <c r="A506" s="13">
        <v>2026</v>
      </c>
      <c r="B506" t="s">
        <v>2229</v>
      </c>
      <c r="C506" t="s">
        <v>1507</v>
      </c>
      <c r="D506" t="s">
        <v>1410</v>
      </c>
      <c r="E506" s="40">
        <v>46037</v>
      </c>
      <c r="F506" s="20">
        <v>46071</v>
      </c>
      <c r="G506" t="s">
        <v>991</v>
      </c>
      <c r="H506" s="45">
        <v>816</v>
      </c>
      <c r="I506" t="s">
        <v>1593</v>
      </c>
      <c r="J506" t="s">
        <v>1759</v>
      </c>
      <c r="K506" t="s">
        <v>1418</v>
      </c>
      <c r="L506">
        <v>0</v>
      </c>
      <c r="M506" t="s">
        <v>1431</v>
      </c>
      <c r="N506" t="s">
        <v>1532</v>
      </c>
    </row>
    <row r="507" spans="1:14" x14ac:dyDescent="0.25">
      <c r="A507" s="13">
        <v>2026</v>
      </c>
      <c r="B507" t="s">
        <v>2232</v>
      </c>
      <c r="C507" t="s">
        <v>1509</v>
      </c>
      <c r="D507" t="s">
        <v>1410</v>
      </c>
      <c r="E507" s="40">
        <v>46040</v>
      </c>
      <c r="F507" s="20">
        <v>46074</v>
      </c>
      <c r="G507" t="s">
        <v>1609</v>
      </c>
      <c r="H507" s="45">
        <v>816</v>
      </c>
      <c r="I507" t="s">
        <v>1610</v>
      </c>
      <c r="J507" t="s">
        <v>1763</v>
      </c>
      <c r="K507" t="s">
        <v>1418</v>
      </c>
      <c r="L507">
        <v>0</v>
      </c>
      <c r="M507" t="s">
        <v>1431</v>
      </c>
      <c r="N507" t="s">
        <v>1532</v>
      </c>
    </row>
    <row r="508" spans="1:14" x14ac:dyDescent="0.25">
      <c r="A508" s="13">
        <v>2026</v>
      </c>
      <c r="B508" t="s">
        <v>2212</v>
      </c>
      <c r="C508" t="s">
        <v>1510</v>
      </c>
      <c r="D508" t="s">
        <v>25</v>
      </c>
      <c r="E508" s="40">
        <v>45988</v>
      </c>
      <c r="F508" s="20">
        <v>46027</v>
      </c>
      <c r="G508" t="s">
        <v>1407</v>
      </c>
      <c r="H508" s="45">
        <v>936</v>
      </c>
      <c r="I508" t="s">
        <v>1408</v>
      </c>
      <c r="J508" t="s">
        <v>1409</v>
      </c>
      <c r="K508" t="s">
        <v>1418</v>
      </c>
      <c r="L508">
        <v>0</v>
      </c>
      <c r="M508" t="s">
        <v>1431</v>
      </c>
      <c r="N508" t="s">
        <v>1532</v>
      </c>
    </row>
    <row r="509" spans="1:14" x14ac:dyDescent="0.25">
      <c r="A509" s="13">
        <v>2026</v>
      </c>
      <c r="B509" t="s">
        <v>2230</v>
      </c>
      <c r="C509" t="s">
        <v>1487</v>
      </c>
      <c r="D509" t="s">
        <v>1410</v>
      </c>
      <c r="E509" s="40">
        <v>46033</v>
      </c>
      <c r="F509" s="20">
        <v>46072</v>
      </c>
      <c r="G509" t="s">
        <v>98</v>
      </c>
      <c r="H509" s="45">
        <v>936</v>
      </c>
      <c r="I509" t="s">
        <v>1599</v>
      </c>
      <c r="J509" t="s">
        <v>1761</v>
      </c>
      <c r="K509" t="s">
        <v>1418</v>
      </c>
      <c r="L509">
        <v>0</v>
      </c>
      <c r="M509" t="s">
        <v>1431</v>
      </c>
      <c r="N509" t="s">
        <v>1532</v>
      </c>
    </row>
    <row r="510" spans="1:14" x14ac:dyDescent="0.25">
      <c r="A510" s="13">
        <v>2026</v>
      </c>
      <c r="B510" t="s">
        <v>2258</v>
      </c>
      <c r="C510" t="s">
        <v>1493</v>
      </c>
      <c r="D510" t="s">
        <v>33</v>
      </c>
      <c r="E510" s="40">
        <v>46081</v>
      </c>
      <c r="F510" s="20">
        <v>46120</v>
      </c>
      <c r="G510" t="s">
        <v>17</v>
      </c>
      <c r="H510" s="45">
        <v>936</v>
      </c>
      <c r="I510" t="s">
        <v>1709</v>
      </c>
      <c r="J510" t="s">
        <v>1783</v>
      </c>
      <c r="K510" t="s">
        <v>1424</v>
      </c>
      <c r="L510">
        <v>0</v>
      </c>
      <c r="M510" t="s">
        <v>1432</v>
      </c>
      <c r="N510" t="s">
        <v>1532</v>
      </c>
    </row>
    <row r="511" spans="1:14" x14ac:dyDescent="0.25">
      <c r="A511" s="13">
        <v>2026</v>
      </c>
      <c r="B511" t="s">
        <v>2217</v>
      </c>
      <c r="C511" t="s">
        <v>1508</v>
      </c>
      <c r="D511" t="s">
        <v>25</v>
      </c>
      <c r="E511" s="40">
        <v>46011</v>
      </c>
      <c r="F511" s="20">
        <v>46052</v>
      </c>
      <c r="G511" t="s">
        <v>1234</v>
      </c>
      <c r="H511" s="45">
        <v>984</v>
      </c>
      <c r="I511" t="s">
        <v>1553</v>
      </c>
      <c r="J511" t="s">
        <v>1747</v>
      </c>
      <c r="K511" t="s">
        <v>1419</v>
      </c>
      <c r="L511" t="s">
        <v>1423</v>
      </c>
      <c r="M511" t="s">
        <v>1431</v>
      </c>
      <c r="N511" t="s">
        <v>1532</v>
      </c>
    </row>
    <row r="512" spans="1:14" x14ac:dyDescent="0.25">
      <c r="A512" s="13">
        <v>2026</v>
      </c>
      <c r="B512" t="s">
        <v>2219</v>
      </c>
      <c r="C512" t="s">
        <v>1498</v>
      </c>
      <c r="D512" t="s">
        <v>1410</v>
      </c>
      <c r="E512" s="40">
        <v>46012</v>
      </c>
      <c r="F512" s="20">
        <v>46055</v>
      </c>
      <c r="G512" t="s">
        <v>17</v>
      </c>
      <c r="H512" s="45">
        <v>1032</v>
      </c>
      <c r="I512" t="s">
        <v>1560</v>
      </c>
      <c r="J512" t="s">
        <v>1748</v>
      </c>
      <c r="K512" t="s">
        <v>1419</v>
      </c>
      <c r="L512" t="s">
        <v>1420</v>
      </c>
      <c r="M512" t="s">
        <v>1430</v>
      </c>
      <c r="N512" t="s">
        <v>1532</v>
      </c>
    </row>
    <row r="513" spans="1:14" x14ac:dyDescent="0.25">
      <c r="A513" s="13">
        <v>2026</v>
      </c>
      <c r="B513" t="s">
        <v>2247</v>
      </c>
      <c r="C513" t="s">
        <v>1477</v>
      </c>
      <c r="D513" t="s">
        <v>24</v>
      </c>
      <c r="E513" s="40">
        <v>46045</v>
      </c>
      <c r="F513" s="20">
        <v>46093</v>
      </c>
      <c r="G513" t="s">
        <v>106</v>
      </c>
      <c r="H513" s="45">
        <v>1152</v>
      </c>
      <c r="I513" t="s">
        <v>2291</v>
      </c>
      <c r="J513" t="s">
        <v>1670</v>
      </c>
      <c r="K513" t="s">
        <v>1418</v>
      </c>
      <c r="L513">
        <v>0</v>
      </c>
      <c r="M513" t="s">
        <v>1431</v>
      </c>
      <c r="N513" t="s">
        <v>1532</v>
      </c>
    </row>
    <row r="514" spans="1:14" x14ac:dyDescent="0.25">
      <c r="A514" s="13">
        <v>2026</v>
      </c>
      <c r="B514" t="s">
        <v>2236</v>
      </c>
      <c r="C514" t="s">
        <v>1490</v>
      </c>
      <c r="D514" t="s">
        <v>1410</v>
      </c>
      <c r="E514" s="40">
        <v>46031</v>
      </c>
      <c r="F514" s="20">
        <v>46080</v>
      </c>
      <c r="G514" t="s">
        <v>1234</v>
      </c>
      <c r="H514" s="45">
        <v>1176</v>
      </c>
      <c r="I514" t="s">
        <v>1625</v>
      </c>
      <c r="J514" t="s">
        <v>1626</v>
      </c>
      <c r="K514" t="s">
        <v>1418</v>
      </c>
      <c r="L514">
        <v>0</v>
      </c>
      <c r="M514" t="s">
        <v>1431</v>
      </c>
      <c r="N514" t="s">
        <v>1532</v>
      </c>
    </row>
    <row r="515" spans="1:14" x14ac:dyDescent="0.25">
      <c r="A515" s="13">
        <v>2026</v>
      </c>
      <c r="B515" t="s">
        <v>2243</v>
      </c>
      <c r="C515" t="s">
        <v>1510</v>
      </c>
      <c r="D515" t="s">
        <v>24</v>
      </c>
      <c r="E515" s="40">
        <v>46037</v>
      </c>
      <c r="F515" s="20">
        <v>46086</v>
      </c>
      <c r="G515" t="s">
        <v>1651</v>
      </c>
      <c r="H515" s="45">
        <v>1176</v>
      </c>
      <c r="I515" t="s">
        <v>2294</v>
      </c>
      <c r="J515" t="s">
        <v>1775</v>
      </c>
      <c r="K515" t="s">
        <v>1418</v>
      </c>
      <c r="L515">
        <v>0</v>
      </c>
      <c r="M515" t="s">
        <v>1431</v>
      </c>
      <c r="N515" t="s">
        <v>1532</v>
      </c>
    </row>
    <row r="516" spans="1:14" x14ac:dyDescent="0.25">
      <c r="A516" s="13">
        <v>2026</v>
      </c>
      <c r="B516" t="s">
        <v>2245</v>
      </c>
      <c r="C516" t="s">
        <v>1494</v>
      </c>
      <c r="D516" t="s">
        <v>24</v>
      </c>
      <c r="E516" s="40">
        <v>46039</v>
      </c>
      <c r="F516" s="20">
        <v>46090</v>
      </c>
      <c r="G516" t="s">
        <v>1660</v>
      </c>
      <c r="H516" s="45">
        <v>1224</v>
      </c>
      <c r="I516" t="s">
        <v>2293</v>
      </c>
      <c r="J516" t="s">
        <v>1776</v>
      </c>
      <c r="K516" t="s">
        <v>1424</v>
      </c>
      <c r="L516">
        <v>0</v>
      </c>
      <c r="M516" t="s">
        <v>1432</v>
      </c>
      <c r="N516" t="s">
        <v>1532</v>
      </c>
    </row>
    <row r="517" spans="1:14" x14ac:dyDescent="0.25">
      <c r="A517" s="13">
        <v>2026</v>
      </c>
      <c r="B517" t="s">
        <v>2235</v>
      </c>
      <c r="C517" t="s">
        <v>1512</v>
      </c>
      <c r="D517" t="s">
        <v>1410</v>
      </c>
      <c r="E517" s="40">
        <v>46025</v>
      </c>
      <c r="F517" s="20">
        <v>46078</v>
      </c>
      <c r="G517" t="s">
        <v>98</v>
      </c>
      <c r="H517" s="45">
        <v>1272</v>
      </c>
      <c r="I517" t="s">
        <v>1615</v>
      </c>
      <c r="J517" t="s">
        <v>1764</v>
      </c>
      <c r="K517" t="s">
        <v>1424</v>
      </c>
      <c r="L517">
        <v>0</v>
      </c>
      <c r="M517" t="s">
        <v>1432</v>
      </c>
      <c r="N517" t="s">
        <v>1532</v>
      </c>
    </row>
    <row r="518" spans="1:14" x14ac:dyDescent="0.25">
      <c r="A518" s="13">
        <v>2026</v>
      </c>
      <c r="B518" t="s">
        <v>2235</v>
      </c>
      <c r="C518" t="s">
        <v>1512</v>
      </c>
      <c r="D518" t="s">
        <v>1410</v>
      </c>
      <c r="E518" s="40">
        <v>46025</v>
      </c>
      <c r="F518" s="20">
        <v>46078</v>
      </c>
      <c r="G518" t="s">
        <v>812</v>
      </c>
      <c r="H518" s="45">
        <v>1272</v>
      </c>
      <c r="I518" t="s">
        <v>1616</v>
      </c>
      <c r="J518" t="s">
        <v>1765</v>
      </c>
      <c r="K518" t="s">
        <v>1418</v>
      </c>
      <c r="L518">
        <v>0</v>
      </c>
      <c r="M518" t="s">
        <v>1431</v>
      </c>
      <c r="N518" t="s">
        <v>1532</v>
      </c>
    </row>
    <row r="519" spans="1:14" x14ac:dyDescent="0.25">
      <c r="A519" s="13">
        <v>2026</v>
      </c>
      <c r="B519" t="s">
        <v>2262</v>
      </c>
      <c r="C519" t="s">
        <v>1501</v>
      </c>
      <c r="D519" t="s">
        <v>33</v>
      </c>
      <c r="E519" s="40">
        <v>46065</v>
      </c>
      <c r="F519" s="20">
        <v>46129</v>
      </c>
      <c r="G519" t="s">
        <v>1720</v>
      </c>
      <c r="H519" s="45">
        <v>1280</v>
      </c>
      <c r="I519" t="s">
        <v>1721</v>
      </c>
      <c r="J519" t="s">
        <v>1788</v>
      </c>
      <c r="K519" t="s">
        <v>1424</v>
      </c>
      <c r="L519">
        <v>0</v>
      </c>
      <c r="M519" t="s">
        <v>1432</v>
      </c>
      <c r="N519" t="s">
        <v>1532</v>
      </c>
    </row>
    <row r="520" spans="1:14" x14ac:dyDescent="0.25">
      <c r="A520" s="13">
        <v>2026</v>
      </c>
      <c r="B520" t="s">
        <v>2262</v>
      </c>
      <c r="C520" t="s">
        <v>1501</v>
      </c>
      <c r="D520" t="s">
        <v>33</v>
      </c>
      <c r="E520" s="40">
        <v>46074</v>
      </c>
      <c r="F520" s="20">
        <v>46129</v>
      </c>
      <c r="G520" t="s">
        <v>51</v>
      </c>
      <c r="H520" s="45">
        <v>1320</v>
      </c>
      <c r="I520" t="s">
        <v>1723</v>
      </c>
      <c r="J520" t="s">
        <v>1724</v>
      </c>
      <c r="K520" t="s">
        <v>1419</v>
      </c>
      <c r="L520" t="s">
        <v>1420</v>
      </c>
      <c r="M520" t="s">
        <v>1430</v>
      </c>
      <c r="N520" t="s">
        <v>1532</v>
      </c>
    </row>
    <row r="521" spans="1:14" x14ac:dyDescent="0.25">
      <c r="A521" s="13">
        <v>2026</v>
      </c>
      <c r="B521" t="s">
        <v>2246</v>
      </c>
      <c r="C521" t="s">
        <v>1502</v>
      </c>
      <c r="D521" t="s">
        <v>24</v>
      </c>
      <c r="E521" s="40">
        <v>46031</v>
      </c>
      <c r="F521" s="20">
        <v>46091</v>
      </c>
      <c r="G521" t="s">
        <v>349</v>
      </c>
      <c r="H521" s="45">
        <v>1440</v>
      </c>
      <c r="I521" t="s">
        <v>1666</v>
      </c>
      <c r="J521" t="s">
        <v>1667</v>
      </c>
      <c r="K521" t="s">
        <v>1424</v>
      </c>
      <c r="L521">
        <v>0</v>
      </c>
      <c r="M521" t="s">
        <v>1432</v>
      </c>
      <c r="N521" t="s">
        <v>1532</v>
      </c>
    </row>
    <row r="522" spans="1:14" x14ac:dyDescent="0.25">
      <c r="A522" s="13">
        <v>2026</v>
      </c>
      <c r="B522" t="s">
        <v>2240</v>
      </c>
      <c r="C522" t="s">
        <v>1499</v>
      </c>
      <c r="D522" t="s">
        <v>24</v>
      </c>
      <c r="E522" s="40">
        <v>46023</v>
      </c>
      <c r="F522" s="20">
        <v>46084</v>
      </c>
      <c r="G522" t="s">
        <v>2239</v>
      </c>
      <c r="H522" s="45">
        <v>1464</v>
      </c>
      <c r="I522" t="s">
        <v>2297</v>
      </c>
      <c r="J522" t="s">
        <v>1773</v>
      </c>
      <c r="K522" t="s">
        <v>1418</v>
      </c>
      <c r="L522">
        <v>0</v>
      </c>
      <c r="M522" t="s">
        <v>1431</v>
      </c>
      <c r="N522" t="s">
        <v>1532</v>
      </c>
    </row>
    <row r="523" spans="1:14" x14ac:dyDescent="0.25">
      <c r="A523" s="13">
        <v>2026</v>
      </c>
      <c r="B523" t="s">
        <v>2257</v>
      </c>
      <c r="C523" t="s">
        <v>1486</v>
      </c>
      <c r="D523" t="s">
        <v>33</v>
      </c>
      <c r="E523" s="40">
        <v>46053</v>
      </c>
      <c r="F523" s="20">
        <v>46119</v>
      </c>
      <c r="G523" t="s">
        <v>294</v>
      </c>
      <c r="H523" s="45">
        <v>1584</v>
      </c>
      <c r="I523" t="s">
        <v>1706</v>
      </c>
      <c r="J523" t="s">
        <v>1780</v>
      </c>
      <c r="K523" t="s">
        <v>1424</v>
      </c>
      <c r="L523">
        <v>0</v>
      </c>
      <c r="M523" t="s">
        <v>1432</v>
      </c>
      <c r="N523" t="s">
        <v>1532</v>
      </c>
    </row>
    <row r="524" spans="1:14" x14ac:dyDescent="0.25">
      <c r="A524" s="13">
        <v>2026</v>
      </c>
      <c r="B524" t="s">
        <v>2227</v>
      </c>
      <c r="C524" t="s">
        <v>1477</v>
      </c>
      <c r="D524" t="s">
        <v>1410</v>
      </c>
      <c r="E524" s="40">
        <v>45996</v>
      </c>
      <c r="F524" s="20">
        <v>46065</v>
      </c>
      <c r="G524" t="s">
        <v>11</v>
      </c>
      <c r="H524" s="45">
        <v>1656</v>
      </c>
      <c r="I524" t="s">
        <v>1589</v>
      </c>
      <c r="J524" t="s">
        <v>1757</v>
      </c>
      <c r="K524" t="s">
        <v>1418</v>
      </c>
      <c r="L524">
        <v>0</v>
      </c>
      <c r="M524" t="s">
        <v>1431</v>
      </c>
      <c r="N524" t="s">
        <v>1532</v>
      </c>
    </row>
    <row r="525" spans="1:14" x14ac:dyDescent="0.25">
      <c r="A525" s="13">
        <v>2026</v>
      </c>
      <c r="B525" t="s">
        <v>2213</v>
      </c>
      <c r="C525" t="s">
        <v>1477</v>
      </c>
      <c r="D525" t="s">
        <v>25</v>
      </c>
      <c r="E525" s="40">
        <v>45963</v>
      </c>
      <c r="F525" s="20">
        <v>46034</v>
      </c>
      <c r="G525" t="s">
        <v>51</v>
      </c>
      <c r="H525" s="45">
        <v>1704</v>
      </c>
      <c r="I525" t="s">
        <v>1536</v>
      </c>
      <c r="J525" t="s">
        <v>1537</v>
      </c>
      <c r="K525" t="s">
        <v>1418</v>
      </c>
      <c r="L525">
        <v>0</v>
      </c>
      <c r="M525" t="s">
        <v>1431</v>
      </c>
      <c r="N525" t="s">
        <v>1532</v>
      </c>
    </row>
    <row r="526" spans="1:14" x14ac:dyDescent="0.25">
      <c r="A526" s="13">
        <v>2026</v>
      </c>
      <c r="B526" t="s">
        <v>2235</v>
      </c>
      <c r="C526" t="s">
        <v>1512</v>
      </c>
      <c r="D526" t="s">
        <v>1410</v>
      </c>
      <c r="E526" s="40">
        <v>46005</v>
      </c>
      <c r="F526" s="20">
        <v>46078</v>
      </c>
      <c r="G526" t="s">
        <v>1373</v>
      </c>
      <c r="H526" s="45">
        <v>1752</v>
      </c>
      <c r="I526" t="s">
        <v>1619</v>
      </c>
      <c r="J526" t="s">
        <v>1768</v>
      </c>
      <c r="K526" t="s">
        <v>1419</v>
      </c>
      <c r="L526" t="s">
        <v>1426</v>
      </c>
      <c r="M526" t="s">
        <v>1430</v>
      </c>
      <c r="N526" t="s">
        <v>1532</v>
      </c>
    </row>
    <row r="527" spans="1:14" x14ac:dyDescent="0.25">
      <c r="A527" s="13">
        <v>2026</v>
      </c>
      <c r="B527" t="s">
        <v>2241</v>
      </c>
      <c r="C527" t="s">
        <v>1500</v>
      </c>
      <c r="D527" t="s">
        <v>24</v>
      </c>
      <c r="E527" s="40">
        <v>46012</v>
      </c>
      <c r="F527" s="20">
        <v>46085</v>
      </c>
      <c r="G527" t="s">
        <v>789</v>
      </c>
      <c r="H527" s="45">
        <v>1752</v>
      </c>
      <c r="I527" t="s">
        <v>2296</v>
      </c>
      <c r="J527" t="s">
        <v>1647</v>
      </c>
      <c r="K527" t="s">
        <v>1418</v>
      </c>
      <c r="L527">
        <v>0</v>
      </c>
      <c r="M527" t="s">
        <v>1431</v>
      </c>
      <c r="N527" t="s">
        <v>1532</v>
      </c>
    </row>
    <row r="528" spans="1:14" x14ac:dyDescent="0.25">
      <c r="A528" s="13">
        <v>2026</v>
      </c>
      <c r="B528" t="s">
        <v>2230</v>
      </c>
      <c r="C528" t="s">
        <v>1487</v>
      </c>
      <c r="D528" t="s">
        <v>1410</v>
      </c>
      <c r="E528" s="40">
        <v>45998</v>
      </c>
      <c r="F528" s="20">
        <v>46072</v>
      </c>
      <c r="G528" t="s">
        <v>88</v>
      </c>
      <c r="H528" s="45">
        <v>1776</v>
      </c>
      <c r="I528" t="s">
        <v>1597</v>
      </c>
      <c r="J528" t="s">
        <v>1598</v>
      </c>
      <c r="K528" t="s">
        <v>1418</v>
      </c>
      <c r="L528">
        <v>0</v>
      </c>
      <c r="M528" t="s">
        <v>1431</v>
      </c>
      <c r="N528" t="s">
        <v>1532</v>
      </c>
    </row>
    <row r="529" spans="1:14" x14ac:dyDescent="0.25">
      <c r="A529" s="13">
        <v>2026</v>
      </c>
      <c r="B529" t="s">
        <v>2235</v>
      </c>
      <c r="C529" t="s">
        <v>1512</v>
      </c>
      <c r="D529" t="s">
        <v>1410</v>
      </c>
      <c r="E529" s="40">
        <v>45997</v>
      </c>
      <c r="F529" s="20">
        <v>46078</v>
      </c>
      <c r="G529" t="s">
        <v>11</v>
      </c>
      <c r="H529" s="45">
        <v>1944</v>
      </c>
      <c r="I529" t="s">
        <v>1617</v>
      </c>
      <c r="J529" t="s">
        <v>1766</v>
      </c>
      <c r="K529" t="s">
        <v>1418</v>
      </c>
      <c r="L529">
        <v>0</v>
      </c>
      <c r="M529" t="s">
        <v>1431</v>
      </c>
      <c r="N529" t="s">
        <v>1532</v>
      </c>
    </row>
    <row r="530" spans="1:14" x14ac:dyDescent="0.25">
      <c r="A530" s="13">
        <v>2026</v>
      </c>
      <c r="B530" t="s">
        <v>2219</v>
      </c>
      <c r="C530" t="s">
        <v>1498</v>
      </c>
      <c r="D530" t="s">
        <v>1410</v>
      </c>
      <c r="E530" s="40">
        <v>45967</v>
      </c>
      <c r="F530" s="20">
        <v>46055</v>
      </c>
      <c r="G530" t="s">
        <v>218</v>
      </c>
      <c r="H530" s="45">
        <v>2112</v>
      </c>
      <c r="I530" t="s">
        <v>1558</v>
      </c>
      <c r="J530" t="s">
        <v>1559</v>
      </c>
      <c r="K530" t="s">
        <v>1419</v>
      </c>
      <c r="L530" t="s">
        <v>1420</v>
      </c>
      <c r="M530" t="s">
        <v>1430</v>
      </c>
      <c r="N530" t="s">
        <v>1532</v>
      </c>
    </row>
    <row r="531" spans="1:14" x14ac:dyDescent="0.25">
      <c r="A531" s="13">
        <v>2026</v>
      </c>
      <c r="B531" t="s">
        <v>2254</v>
      </c>
      <c r="C531" t="s">
        <v>1512</v>
      </c>
      <c r="D531" t="s">
        <v>24</v>
      </c>
      <c r="E531" s="40">
        <v>46018</v>
      </c>
      <c r="F531" s="20">
        <v>46106</v>
      </c>
      <c r="G531" t="s">
        <v>28</v>
      </c>
      <c r="H531" s="45">
        <v>2112</v>
      </c>
      <c r="I531" t="s">
        <v>1696</v>
      </c>
      <c r="J531" t="s">
        <v>1780</v>
      </c>
      <c r="K531" t="s">
        <v>1424</v>
      </c>
      <c r="L531">
        <v>0</v>
      </c>
      <c r="M531" t="s">
        <v>1432</v>
      </c>
      <c r="N531" t="s">
        <v>1532</v>
      </c>
    </row>
    <row r="532" spans="1:14" x14ac:dyDescent="0.25">
      <c r="A532" s="13">
        <v>2026</v>
      </c>
      <c r="B532" t="s">
        <v>2222</v>
      </c>
      <c r="C532" t="s">
        <v>1510</v>
      </c>
      <c r="D532" t="s">
        <v>1410</v>
      </c>
      <c r="E532" s="40">
        <v>45967</v>
      </c>
      <c r="F532" s="20">
        <v>46058</v>
      </c>
      <c r="G532" t="s">
        <v>127</v>
      </c>
      <c r="H532" s="45">
        <v>2184</v>
      </c>
      <c r="I532" t="s">
        <v>1570</v>
      </c>
      <c r="J532" t="s">
        <v>1746</v>
      </c>
      <c r="K532" t="s">
        <v>1424</v>
      </c>
      <c r="L532">
        <v>0</v>
      </c>
      <c r="M532" t="s">
        <v>1432</v>
      </c>
      <c r="N532" t="s">
        <v>1532</v>
      </c>
    </row>
    <row r="533" spans="1:14" x14ac:dyDescent="0.25">
      <c r="A533" s="13">
        <v>2026</v>
      </c>
      <c r="B533" t="s">
        <v>2252</v>
      </c>
      <c r="C533" t="s">
        <v>1488</v>
      </c>
      <c r="D533" t="s">
        <v>24</v>
      </c>
      <c r="E533" s="40">
        <v>46012</v>
      </c>
      <c r="F533" s="20">
        <v>46104</v>
      </c>
      <c r="G533" t="s">
        <v>26</v>
      </c>
      <c r="H533" s="45">
        <v>2208</v>
      </c>
      <c r="I533" t="s">
        <v>1689</v>
      </c>
      <c r="J533" t="s">
        <v>1605</v>
      </c>
      <c r="K533" t="s">
        <v>1418</v>
      </c>
      <c r="L533">
        <v>0</v>
      </c>
      <c r="M533" t="s">
        <v>1431</v>
      </c>
      <c r="N533" t="s">
        <v>1532</v>
      </c>
    </row>
    <row r="534" spans="1:14" x14ac:dyDescent="0.25">
      <c r="A534" s="13">
        <v>2026</v>
      </c>
      <c r="B534" t="s">
        <v>2220</v>
      </c>
      <c r="C534" t="s">
        <v>1499</v>
      </c>
      <c r="D534" t="s">
        <v>1410</v>
      </c>
      <c r="E534" s="40">
        <v>45962</v>
      </c>
      <c r="F534" s="20">
        <v>46056</v>
      </c>
      <c r="G534" t="s">
        <v>1563</v>
      </c>
      <c r="H534" s="45">
        <v>2256</v>
      </c>
      <c r="I534" t="s">
        <v>1564</v>
      </c>
      <c r="J534" t="s">
        <v>1750</v>
      </c>
      <c r="K534" t="s">
        <v>1419</v>
      </c>
      <c r="L534" t="s">
        <v>1427</v>
      </c>
      <c r="M534" t="s">
        <v>1430</v>
      </c>
      <c r="N534" t="s">
        <v>1532</v>
      </c>
    </row>
    <row r="535" spans="1:14" x14ac:dyDescent="0.25">
      <c r="A535" s="13">
        <v>2026</v>
      </c>
      <c r="B535" t="s">
        <v>2258</v>
      </c>
      <c r="C535" t="s">
        <v>1493</v>
      </c>
      <c r="D535" t="s">
        <v>33</v>
      </c>
      <c r="E535" s="40">
        <v>46025</v>
      </c>
      <c r="F535" s="20">
        <v>46120</v>
      </c>
      <c r="G535" t="s">
        <v>21</v>
      </c>
      <c r="H535" s="45">
        <v>2280</v>
      </c>
      <c r="I535" t="s">
        <v>1708</v>
      </c>
      <c r="J535" t="s">
        <v>1782</v>
      </c>
      <c r="K535" t="s">
        <v>1418</v>
      </c>
      <c r="L535">
        <v>0</v>
      </c>
      <c r="M535" t="s">
        <v>1431</v>
      </c>
      <c r="N535" t="s">
        <v>1532</v>
      </c>
    </row>
    <row r="536" spans="1:14" x14ac:dyDescent="0.25">
      <c r="A536" s="13">
        <v>2026</v>
      </c>
      <c r="B536" t="s">
        <v>2231</v>
      </c>
      <c r="C536" t="s">
        <v>1480</v>
      </c>
      <c r="D536" t="s">
        <v>1410</v>
      </c>
      <c r="E536" s="40">
        <v>45970</v>
      </c>
      <c r="F536" s="20">
        <v>46073</v>
      </c>
      <c r="G536" t="s">
        <v>396</v>
      </c>
      <c r="H536" s="45">
        <v>2472</v>
      </c>
      <c r="I536" t="s">
        <v>1606</v>
      </c>
      <c r="J536" t="s">
        <v>1762</v>
      </c>
      <c r="K536" t="s">
        <v>1424</v>
      </c>
      <c r="L536">
        <v>0</v>
      </c>
      <c r="M536" t="s">
        <v>1432</v>
      </c>
      <c r="N536" t="s">
        <v>1532</v>
      </c>
    </row>
    <row r="537" spans="1:14" x14ac:dyDescent="0.25">
      <c r="A537" s="13">
        <v>2026</v>
      </c>
      <c r="B537" t="s">
        <v>2224</v>
      </c>
      <c r="C537" t="s">
        <v>1494</v>
      </c>
      <c r="D537" t="s">
        <v>1410</v>
      </c>
      <c r="E537" s="40">
        <v>45956</v>
      </c>
      <c r="F537" s="20">
        <v>46062</v>
      </c>
      <c r="G537" t="s">
        <v>1580</v>
      </c>
      <c r="H537" s="45">
        <v>2544</v>
      </c>
      <c r="I537" t="s">
        <v>1581</v>
      </c>
      <c r="J537" t="s">
        <v>1753</v>
      </c>
      <c r="K537" t="s">
        <v>1418</v>
      </c>
      <c r="L537">
        <v>0</v>
      </c>
      <c r="M537" t="s">
        <v>1431</v>
      </c>
      <c r="N537" t="s">
        <v>1532</v>
      </c>
    </row>
    <row r="538" spans="1:14" x14ac:dyDescent="0.25">
      <c r="A538" s="13">
        <v>2026</v>
      </c>
      <c r="B538" t="s">
        <v>2260</v>
      </c>
      <c r="C538" t="s">
        <v>1496</v>
      </c>
      <c r="D538" t="s">
        <v>33</v>
      </c>
      <c r="E538" s="40">
        <v>46017</v>
      </c>
      <c r="F538" s="20">
        <v>46125</v>
      </c>
      <c r="G538" t="s">
        <v>812</v>
      </c>
      <c r="H538" s="45">
        <v>2592</v>
      </c>
      <c r="I538" t="s">
        <v>1715</v>
      </c>
      <c r="J538" t="s">
        <v>1787</v>
      </c>
      <c r="K538" t="s">
        <v>1418</v>
      </c>
      <c r="L538">
        <v>0</v>
      </c>
      <c r="M538" t="s">
        <v>1431</v>
      </c>
      <c r="N538" t="s">
        <v>1532</v>
      </c>
    </row>
    <row r="539" spans="1:14" x14ac:dyDescent="0.25">
      <c r="A539" s="13">
        <v>2026</v>
      </c>
      <c r="B539" t="s">
        <v>2268</v>
      </c>
      <c r="C539" t="s">
        <v>1490</v>
      </c>
      <c r="D539" t="s">
        <v>33</v>
      </c>
      <c r="E539" s="40">
        <v>46019</v>
      </c>
      <c r="F539" s="20">
        <v>46139</v>
      </c>
      <c r="G539" t="s">
        <v>1125</v>
      </c>
      <c r="H539" s="45">
        <v>2880</v>
      </c>
      <c r="I539" t="s">
        <v>1741</v>
      </c>
      <c r="J539" t="s">
        <v>1793</v>
      </c>
      <c r="K539" t="s">
        <v>1419</v>
      </c>
      <c r="L539" t="s">
        <v>1420</v>
      </c>
      <c r="M539" t="s">
        <v>1431</v>
      </c>
      <c r="N539" t="s">
        <v>1532</v>
      </c>
    </row>
    <row r="540" spans="1:14" x14ac:dyDescent="0.25">
      <c r="A540" s="13">
        <v>2026</v>
      </c>
      <c r="B540" t="s">
        <v>2238</v>
      </c>
      <c r="C540" t="s">
        <v>1498</v>
      </c>
      <c r="D540" t="s">
        <v>24</v>
      </c>
      <c r="E540" s="40">
        <v>45961</v>
      </c>
      <c r="F540" s="20">
        <v>46083</v>
      </c>
      <c r="G540" t="s">
        <v>2239</v>
      </c>
      <c r="H540" s="45">
        <v>2928</v>
      </c>
      <c r="I540" t="s">
        <v>2299</v>
      </c>
      <c r="J540" t="s">
        <v>1772</v>
      </c>
      <c r="K540" t="s">
        <v>1418</v>
      </c>
      <c r="L540">
        <v>0</v>
      </c>
      <c r="M540" t="s">
        <v>1431</v>
      </c>
      <c r="N540" t="s">
        <v>1532</v>
      </c>
    </row>
    <row r="541" spans="1:14" x14ac:dyDescent="0.25">
      <c r="A541" s="13">
        <v>2026</v>
      </c>
      <c r="B541" t="s">
        <v>2231</v>
      </c>
      <c r="C541" t="s">
        <v>1480</v>
      </c>
      <c r="D541" t="s">
        <v>1410</v>
      </c>
      <c r="E541" s="40">
        <v>45948</v>
      </c>
      <c r="F541" s="20">
        <v>46073</v>
      </c>
      <c r="G541" t="s">
        <v>31</v>
      </c>
      <c r="H541" s="45">
        <v>3000</v>
      </c>
      <c r="I541" t="s">
        <v>1601</v>
      </c>
      <c r="J541" t="s">
        <v>1602</v>
      </c>
      <c r="K541" t="s">
        <v>1425</v>
      </c>
      <c r="L541">
        <v>0</v>
      </c>
      <c r="M541" t="s">
        <v>1432</v>
      </c>
      <c r="N541" t="s">
        <v>1532</v>
      </c>
    </row>
    <row r="542" spans="1:14" x14ac:dyDescent="0.25">
      <c r="A542" s="13">
        <v>2026</v>
      </c>
      <c r="B542" t="s">
        <v>2266</v>
      </c>
      <c r="C542" t="s">
        <v>1489</v>
      </c>
      <c r="D542" t="s">
        <v>33</v>
      </c>
      <c r="E542" s="40">
        <v>46002</v>
      </c>
      <c r="F542" s="20">
        <v>46136</v>
      </c>
      <c r="G542" t="s">
        <v>815</v>
      </c>
      <c r="H542" s="45">
        <v>3216</v>
      </c>
      <c r="I542" t="s">
        <v>1735</v>
      </c>
      <c r="J542" t="s">
        <v>2018</v>
      </c>
      <c r="K542" t="s">
        <v>1419</v>
      </c>
      <c r="L542" t="s">
        <v>1423</v>
      </c>
      <c r="M542" t="s">
        <v>1430</v>
      </c>
      <c r="N542" t="s">
        <v>1532</v>
      </c>
    </row>
    <row r="543" spans="1:14" x14ac:dyDescent="0.25">
      <c r="A543" s="13">
        <v>2026</v>
      </c>
      <c r="B543" t="s">
        <v>2260</v>
      </c>
      <c r="C543" t="s">
        <v>1496</v>
      </c>
      <c r="D543" t="s">
        <v>33</v>
      </c>
      <c r="E543" s="40">
        <v>45982</v>
      </c>
      <c r="F543" s="20">
        <v>46125</v>
      </c>
      <c r="G543" t="s">
        <v>457</v>
      </c>
      <c r="H543" s="45">
        <v>3432</v>
      </c>
      <c r="I543" t="s">
        <v>1714</v>
      </c>
      <c r="J543" t="s">
        <v>1786</v>
      </c>
      <c r="K543" t="s">
        <v>1418</v>
      </c>
      <c r="L543">
        <v>0</v>
      </c>
      <c r="M543" t="s">
        <v>1431</v>
      </c>
      <c r="N543" t="s">
        <v>1532</v>
      </c>
    </row>
    <row r="544" spans="1:14" x14ac:dyDescent="0.25">
      <c r="A544" s="13">
        <v>2026</v>
      </c>
      <c r="B544" t="s">
        <v>2244</v>
      </c>
      <c r="C544" t="s">
        <v>1486</v>
      </c>
      <c r="D544" t="s">
        <v>24</v>
      </c>
      <c r="E544" s="40">
        <v>45891</v>
      </c>
      <c r="F544" s="20">
        <v>46088</v>
      </c>
      <c r="G544" t="s">
        <v>261</v>
      </c>
      <c r="H544" s="45">
        <v>3940</v>
      </c>
      <c r="I544" t="s">
        <v>1657</v>
      </c>
      <c r="J544" t="s">
        <v>1658</v>
      </c>
      <c r="K544" t="s">
        <v>1419</v>
      </c>
      <c r="L544" t="s">
        <v>1427</v>
      </c>
      <c r="M544" t="s">
        <v>1430</v>
      </c>
      <c r="N544" t="s">
        <v>1532</v>
      </c>
    </row>
    <row r="545" spans="1:14" x14ac:dyDescent="0.25">
      <c r="A545" s="13">
        <v>2026</v>
      </c>
      <c r="B545" t="s">
        <v>2248</v>
      </c>
      <c r="C545" t="s">
        <v>1478</v>
      </c>
      <c r="D545" t="s">
        <v>24</v>
      </c>
      <c r="E545" s="40">
        <v>45918</v>
      </c>
      <c r="F545" s="20">
        <v>46097</v>
      </c>
      <c r="G545" t="s">
        <v>1672</v>
      </c>
      <c r="H545" s="45">
        <v>4296</v>
      </c>
      <c r="I545" t="s">
        <v>1673</v>
      </c>
      <c r="J545" t="s">
        <v>1674</v>
      </c>
      <c r="K545" t="s">
        <v>1418</v>
      </c>
      <c r="L545">
        <v>0</v>
      </c>
      <c r="M545" t="s">
        <v>1431</v>
      </c>
      <c r="N545" t="s">
        <v>1532</v>
      </c>
    </row>
    <row r="546" spans="1:14" x14ac:dyDescent="0.25">
      <c r="A546" s="13">
        <v>2026</v>
      </c>
      <c r="B546" t="s">
        <v>2219</v>
      </c>
      <c r="C546" t="s">
        <v>1498</v>
      </c>
      <c r="D546" t="s">
        <v>1410</v>
      </c>
      <c r="E546" s="40">
        <v>45864</v>
      </c>
      <c r="F546" s="20">
        <v>46055</v>
      </c>
      <c r="G546" t="s">
        <v>17</v>
      </c>
      <c r="H546" s="45">
        <v>4584</v>
      </c>
      <c r="I546" t="s">
        <v>1561</v>
      </c>
      <c r="J546" t="s">
        <v>1749</v>
      </c>
      <c r="K546" t="s">
        <v>1419</v>
      </c>
      <c r="L546" t="s">
        <v>1427</v>
      </c>
      <c r="M546" t="s">
        <v>1430</v>
      </c>
      <c r="N546" t="s">
        <v>1532</v>
      </c>
    </row>
    <row r="547" spans="1:14" x14ac:dyDescent="0.25">
      <c r="A547" s="13">
        <v>2026</v>
      </c>
      <c r="B547" t="s">
        <v>2236</v>
      </c>
      <c r="C547" t="s">
        <v>1490</v>
      </c>
      <c r="D547" t="s">
        <v>1410</v>
      </c>
      <c r="E547" s="40">
        <v>45883</v>
      </c>
      <c r="F547" s="20">
        <v>46080</v>
      </c>
      <c r="G547" t="s">
        <v>71</v>
      </c>
      <c r="H547" s="45">
        <v>4728</v>
      </c>
      <c r="I547" t="s">
        <v>1623</v>
      </c>
      <c r="J547" t="s">
        <v>1624</v>
      </c>
      <c r="K547" t="s">
        <v>1419</v>
      </c>
      <c r="L547" t="s">
        <v>1427</v>
      </c>
      <c r="M547" t="s">
        <v>1430</v>
      </c>
      <c r="N547" t="s">
        <v>1532</v>
      </c>
    </row>
    <row r="548" spans="1:14" x14ac:dyDescent="0.25">
      <c r="A548" s="13">
        <v>2026</v>
      </c>
      <c r="B548" t="s">
        <v>2252</v>
      </c>
      <c r="C548" t="s">
        <v>1488</v>
      </c>
      <c r="D548" t="s">
        <v>24</v>
      </c>
      <c r="E548" s="40">
        <v>45803</v>
      </c>
      <c r="F548" s="20">
        <v>46104</v>
      </c>
      <c r="G548" t="s">
        <v>1687</v>
      </c>
      <c r="H548" s="45">
        <v>7224</v>
      </c>
      <c r="I548" t="s">
        <v>1688</v>
      </c>
      <c r="J548" t="s">
        <v>1778</v>
      </c>
      <c r="K548" t="s">
        <v>1424</v>
      </c>
      <c r="L548">
        <v>0</v>
      </c>
      <c r="M548" t="s">
        <v>1432</v>
      </c>
      <c r="N548" t="s">
        <v>1532</v>
      </c>
    </row>
    <row r="549" spans="1:14" x14ac:dyDescent="0.25">
      <c r="A549" s="13">
        <v>2026</v>
      </c>
      <c r="B549" t="s">
        <v>2255</v>
      </c>
      <c r="C549" t="s">
        <v>1508</v>
      </c>
      <c r="D549" t="s">
        <v>24</v>
      </c>
      <c r="E549" s="40">
        <v>45787</v>
      </c>
      <c r="F549" s="20">
        <v>46111</v>
      </c>
      <c r="G549" t="s">
        <v>48</v>
      </c>
      <c r="H549" s="45">
        <v>7776</v>
      </c>
      <c r="I549" t="s">
        <v>1699</v>
      </c>
      <c r="J549" t="s">
        <v>981</v>
      </c>
      <c r="K549" t="s">
        <v>1424</v>
      </c>
      <c r="L549">
        <v>0</v>
      </c>
      <c r="M549" t="s">
        <v>1432</v>
      </c>
      <c r="N549" t="s">
        <v>1532</v>
      </c>
    </row>
    <row r="550" spans="1:14" x14ac:dyDescent="0.25">
      <c r="A550" s="13">
        <v>2026</v>
      </c>
      <c r="B550" t="s">
        <v>2268</v>
      </c>
      <c r="C550" t="s">
        <v>1490</v>
      </c>
      <c r="D550" t="s">
        <v>33</v>
      </c>
      <c r="E550" s="40">
        <v>45701</v>
      </c>
      <c r="F550" s="20">
        <v>46139</v>
      </c>
      <c r="G550" t="s">
        <v>52</v>
      </c>
      <c r="H550" s="45">
        <v>10512</v>
      </c>
      <c r="I550" t="s">
        <v>1742</v>
      </c>
      <c r="J550" t="s">
        <v>1794</v>
      </c>
      <c r="K550" t="s">
        <v>1419</v>
      </c>
      <c r="L550" t="s">
        <v>1427</v>
      </c>
      <c r="M550" t="s">
        <v>1431</v>
      </c>
      <c r="N550" t="s">
        <v>1532</v>
      </c>
    </row>
    <row r="551" spans="1:14" x14ac:dyDescent="0.25">
      <c r="A551" s="13">
        <v>2026</v>
      </c>
      <c r="B551" t="s">
        <v>2226</v>
      </c>
      <c r="C551" t="s">
        <v>1495</v>
      </c>
      <c r="D551" t="s">
        <v>1410</v>
      </c>
      <c r="E551" s="40">
        <v>45619</v>
      </c>
      <c r="F551" s="20">
        <v>46064</v>
      </c>
      <c r="G551" t="s">
        <v>22</v>
      </c>
      <c r="H551" s="45">
        <v>10680</v>
      </c>
      <c r="I551" t="s">
        <v>1587</v>
      </c>
      <c r="J551" t="s">
        <v>1756</v>
      </c>
      <c r="K551" t="s">
        <v>1418</v>
      </c>
      <c r="L551">
        <v>0</v>
      </c>
      <c r="M551" t="s">
        <v>1431</v>
      </c>
      <c r="N551" t="s">
        <v>1532</v>
      </c>
    </row>
    <row r="552" spans="1:14" x14ac:dyDescent="0.25">
      <c r="A552" s="13">
        <v>2026</v>
      </c>
      <c r="B552" t="s">
        <v>2269</v>
      </c>
      <c r="C552" t="s">
        <v>1513</v>
      </c>
      <c r="D552" t="s">
        <v>33</v>
      </c>
      <c r="E552" s="40">
        <v>45599</v>
      </c>
      <c r="F552" s="20">
        <v>46141</v>
      </c>
      <c r="G552" t="s">
        <v>102</v>
      </c>
      <c r="H552" s="45">
        <v>10840</v>
      </c>
      <c r="I552" t="s">
        <v>1886</v>
      </c>
      <c r="J552" t="s">
        <v>1745</v>
      </c>
      <c r="K552" t="s">
        <v>1424</v>
      </c>
      <c r="L552">
        <v>0</v>
      </c>
      <c r="M552" t="s">
        <v>1432</v>
      </c>
      <c r="N552" t="s">
        <v>1532</v>
      </c>
    </row>
    <row r="553" spans="1:14" x14ac:dyDescent="0.25">
      <c r="A553" s="13">
        <v>2026</v>
      </c>
      <c r="B553" t="s">
        <v>2246</v>
      </c>
      <c r="C553" t="s">
        <v>1502</v>
      </c>
      <c r="D553" t="s">
        <v>24</v>
      </c>
      <c r="E553" s="40">
        <v>0</v>
      </c>
      <c r="F553" s="20">
        <v>46091</v>
      </c>
      <c r="G553" t="s">
        <v>1663</v>
      </c>
      <c r="H553" s="45">
        <v>1106184</v>
      </c>
      <c r="I553" t="s">
        <v>2292</v>
      </c>
      <c r="J553" t="s">
        <v>1665</v>
      </c>
      <c r="K553" t="s">
        <v>1424</v>
      </c>
      <c r="L553">
        <v>0</v>
      </c>
      <c r="M553" t="s">
        <v>1432</v>
      </c>
      <c r="N553" t="s">
        <v>1530</v>
      </c>
    </row>
    <row r="554" spans="1:14" x14ac:dyDescent="0.25">
      <c r="A554" s="13">
        <v>2026</v>
      </c>
      <c r="B554" t="s">
        <v>2266</v>
      </c>
      <c r="C554" t="s">
        <v>1489</v>
      </c>
      <c r="D554" t="s">
        <v>33</v>
      </c>
      <c r="E554" s="40">
        <v>0</v>
      </c>
      <c r="F554" s="20">
        <v>46136</v>
      </c>
      <c r="G554" t="s">
        <v>787</v>
      </c>
      <c r="H554" s="45">
        <v>1107264</v>
      </c>
      <c r="I554" t="s">
        <v>1736</v>
      </c>
      <c r="J554" t="s">
        <v>1792</v>
      </c>
      <c r="K554" t="s">
        <v>1424</v>
      </c>
      <c r="L554">
        <v>0</v>
      </c>
      <c r="M554" t="s">
        <v>1432</v>
      </c>
      <c r="N554" t="s">
        <v>1530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523A-E44A-423E-AD57-9A3D96EABE0A}">
  <dimension ref="A1:N130"/>
  <sheetViews>
    <sheetView topLeftCell="A98" workbookViewId="0">
      <selection activeCell="B116" sqref="B116"/>
    </sheetView>
  </sheetViews>
  <sheetFormatPr defaultRowHeight="15" x14ac:dyDescent="0.25"/>
  <cols>
    <col min="1" max="1" width="16.42578125" bestFit="1" customWidth="1"/>
    <col min="2" max="2" width="23.7109375" bestFit="1" customWidth="1"/>
    <col min="3" max="3" width="21.85546875" bestFit="1" customWidth="1"/>
    <col min="4" max="4" width="30" bestFit="1" customWidth="1"/>
    <col min="5" max="5" width="10.85546875" bestFit="1" customWidth="1"/>
    <col min="6" max="6" width="23.7109375" bestFit="1" customWidth="1"/>
    <col min="7" max="7" width="18.140625" style="4" bestFit="1" customWidth="1"/>
    <col min="8" max="8" width="21.85546875" bestFit="1" customWidth="1"/>
    <col min="9" max="9" width="117" bestFit="1" customWidth="1"/>
    <col min="10" max="10" width="21.85546875" bestFit="1" customWidth="1"/>
    <col min="11" max="11" width="15" bestFit="1" customWidth="1"/>
    <col min="12" max="12" width="13.42578125" bestFit="1" customWidth="1"/>
    <col min="13" max="13" width="20.7109375" bestFit="1" customWidth="1"/>
    <col min="14" max="14" width="16.140625" bestFit="1" customWidth="1"/>
  </cols>
  <sheetData>
    <row r="1" spans="1:14" x14ac:dyDescent="0.25">
      <c r="A1" s="18" t="s">
        <v>0</v>
      </c>
      <c r="B1" s="18" t="s">
        <v>1434</v>
      </c>
      <c r="C1" s="18" t="s">
        <v>1413</v>
      </c>
      <c r="D1" s="18" t="s">
        <v>1527</v>
      </c>
      <c r="E1" s="18" t="s">
        <v>1528</v>
      </c>
      <c r="F1" s="18" t="s">
        <v>1</v>
      </c>
      <c r="G1" s="39" t="s">
        <v>1529</v>
      </c>
      <c r="H1" s="18" t="s">
        <v>2</v>
      </c>
      <c r="I1" s="18" t="s">
        <v>3</v>
      </c>
      <c r="J1" s="18" t="s">
        <v>1416</v>
      </c>
      <c r="K1" s="18" t="s">
        <v>1417</v>
      </c>
      <c r="L1" s="18" t="s">
        <v>1430</v>
      </c>
      <c r="M1" s="18" t="s">
        <v>1531</v>
      </c>
      <c r="N1" s="18" t="s">
        <v>115</v>
      </c>
    </row>
    <row r="2" spans="1:14" x14ac:dyDescent="0.25">
      <c r="A2" t="s">
        <v>1395</v>
      </c>
      <c r="B2" t="str">
        <f>LEFT(A2,FIND("-",A2)-1)</f>
        <v>2</v>
      </c>
      <c r="C2" t="str">
        <f>MID(A2,FIND("-",A2)+1,FIND("-",A2,FIND("-",A2)+1)-FIND("-",A2)-1)</f>
        <v>ENERO</v>
      </c>
      <c r="D2" s="40">
        <v>46011</v>
      </c>
      <c r="E2" s="20">
        <v>46024</v>
      </c>
      <c r="F2" t="s">
        <v>1207</v>
      </c>
      <c r="G2" s="4">
        <f>IFERROR(IF(D2=0,0,(E2-D2)*24),0)</f>
        <v>312</v>
      </c>
      <c r="H2" t="s">
        <v>1396</v>
      </c>
      <c r="I2" t="s">
        <v>1397</v>
      </c>
      <c r="J2" t="str">
        <f>_xlfn.XLOOKUP($I2,RazónMuerte!$A:$A,RazónMuerte!B:B,"",0)</f>
        <v>Enfermedad degenerativa articular</v>
      </c>
      <c r="K2">
        <f>_xlfn.XLOOKUP($I2,RazónMuerte!$A:$A,RazónMuerte!C:C,"",0)</f>
        <v>0</v>
      </c>
      <c r="L2" t="str">
        <f>_xlfn.XLOOKUP($I2,RazónMuerte!$A:$A,RazónMuerte!D:D,"",0)</f>
        <v>No fatal injury (chronic/medical)</v>
      </c>
      <c r="N2" s="4">
        <v>981020037309179</v>
      </c>
    </row>
    <row r="3" spans="1:14" x14ac:dyDescent="0.25">
      <c r="A3" t="s">
        <v>1395</v>
      </c>
      <c r="B3" t="str">
        <f t="shared" ref="B3:B66" si="0">LEFT(A3,FIND("-",A3)-1)</f>
        <v>2</v>
      </c>
      <c r="C3" t="str">
        <f t="shared" ref="C3:C66" si="1">MID(A3,FIND("-",A3)+1,FIND("-",A3,FIND("-",A3)+1)-FIND("-",A3)-1)</f>
        <v>ENERO</v>
      </c>
      <c r="D3" s="40">
        <v>0</v>
      </c>
      <c r="E3" s="20">
        <v>46024</v>
      </c>
      <c r="F3" t="s">
        <v>423</v>
      </c>
      <c r="G3" s="4">
        <f t="shared" ref="G3:G66" si="2">IFERROR(IF(D3=0,0,(E3-D3)*24),0)</f>
        <v>0</v>
      </c>
      <c r="H3" t="s">
        <v>1534</v>
      </c>
      <c r="I3" t="s">
        <v>1398</v>
      </c>
      <c r="J3" t="str">
        <f>_xlfn.XLOOKUP($I3,RazónMuerte!$A:$A,RazónMuerte!B:B,"",0)</f>
        <v>Fractura ósea</v>
      </c>
      <c r="K3" t="str">
        <f>_xlfn.XLOOKUP($I3,RazónMuerte!$A:$A,RazónMuerte!C:C,"",0)</f>
        <v>Caña / Cannon bone</v>
      </c>
      <c r="L3" t="str">
        <f>_xlfn.XLOOKUP($I3,RazónMuerte!$A:$A,RazónMuerte!D:D,"",0)</f>
        <v>Fatal injury</v>
      </c>
      <c r="N3" s="4">
        <v>981020031389160</v>
      </c>
    </row>
    <row r="4" spans="1:14" x14ac:dyDescent="0.25">
      <c r="A4" t="s">
        <v>1395</v>
      </c>
      <c r="B4" t="str">
        <f t="shared" si="0"/>
        <v>2</v>
      </c>
      <c r="C4" t="str">
        <f t="shared" si="1"/>
        <v>ENERO</v>
      </c>
      <c r="D4" s="40">
        <v>46012</v>
      </c>
      <c r="E4" s="20">
        <v>46024</v>
      </c>
      <c r="F4" t="s">
        <v>34</v>
      </c>
      <c r="G4" s="4">
        <f t="shared" si="2"/>
        <v>288</v>
      </c>
      <c r="H4" t="s">
        <v>1400</v>
      </c>
      <c r="I4" t="s">
        <v>1401</v>
      </c>
      <c r="J4" t="str">
        <f>_xlfn.XLOOKUP($I4,RazónMuerte!$A:$A,RazónMuerte!B:B,"",0)</f>
        <v>Lesión de ligamentos/tendones</v>
      </c>
      <c r="K4">
        <f>_xlfn.XLOOKUP($I4,RazónMuerte!$A:$A,RazónMuerte!C:C,"",0)</f>
        <v>0</v>
      </c>
      <c r="L4" t="str">
        <f>_xlfn.XLOOKUP($I4,RazónMuerte!$A:$A,RazónMuerte!D:D,"",0)</f>
        <v>No clasificado</v>
      </c>
      <c r="N4" s="4">
        <v>981020049702663</v>
      </c>
    </row>
    <row r="5" spans="1:14" x14ac:dyDescent="0.25">
      <c r="A5" t="s">
        <v>1402</v>
      </c>
      <c r="B5" t="str">
        <f t="shared" si="0"/>
        <v>3</v>
      </c>
      <c r="C5" t="str">
        <f t="shared" si="1"/>
        <v>ENERO</v>
      </c>
      <c r="D5" s="40">
        <v>46005</v>
      </c>
      <c r="E5" s="20">
        <v>46025</v>
      </c>
      <c r="F5" t="s">
        <v>1403</v>
      </c>
      <c r="G5" s="4">
        <f t="shared" si="2"/>
        <v>480</v>
      </c>
      <c r="H5" t="s">
        <v>1404</v>
      </c>
      <c r="I5" t="s">
        <v>1405</v>
      </c>
      <c r="J5" t="str">
        <f>_xlfn.XLOOKUP($I5,RazónMuerte!$A:$A,RazónMuerte!B:B,"",0)</f>
        <v>Fractura ósea</v>
      </c>
      <c r="K5" t="str">
        <f>_xlfn.XLOOKUP($I5,RazónMuerte!$A:$A,RazónMuerte!C:C,"",0)</f>
        <v>Slab</v>
      </c>
      <c r="L5" t="str">
        <f>_xlfn.XLOOKUP($I5,RazónMuerte!$A:$A,RazónMuerte!D:D,"",0)</f>
        <v>Fatal injury</v>
      </c>
      <c r="N5" s="4">
        <v>981020045084422</v>
      </c>
    </row>
    <row r="6" spans="1:14" x14ac:dyDescent="0.25">
      <c r="A6" t="s">
        <v>1406</v>
      </c>
      <c r="B6" t="str">
        <f t="shared" si="0"/>
        <v>5</v>
      </c>
      <c r="C6" t="str">
        <f t="shared" si="1"/>
        <v>ENERO</v>
      </c>
      <c r="D6" s="40">
        <v>45988</v>
      </c>
      <c r="E6" s="20">
        <v>46027</v>
      </c>
      <c r="F6" t="s">
        <v>1407</v>
      </c>
      <c r="G6" s="4">
        <f t="shared" si="2"/>
        <v>936</v>
      </c>
      <c r="H6" t="s">
        <v>1408</v>
      </c>
      <c r="I6" t="s">
        <v>1409</v>
      </c>
      <c r="J6" t="str">
        <f>_xlfn.XLOOKUP($I6,RazónMuerte!$A:$A,RazónMuerte!B:B,"",0)</f>
        <v>Enfermedad degenerativa articular</v>
      </c>
      <c r="K6">
        <f>_xlfn.XLOOKUP($I6,RazónMuerte!$A:$A,RazónMuerte!C:C,"",0)</f>
        <v>0</v>
      </c>
      <c r="L6" t="str">
        <f>_xlfn.XLOOKUP($I6,RazónMuerte!$A:$A,RazónMuerte!D:D,"",0)</f>
        <v>No fatal injury (chronic/medical)</v>
      </c>
      <c r="N6" s="4">
        <v>981020037381563</v>
      </c>
    </row>
    <row r="7" spans="1:14" x14ac:dyDescent="0.25">
      <c r="A7" t="s">
        <v>1535</v>
      </c>
      <c r="B7" t="str">
        <f t="shared" si="0"/>
        <v>12</v>
      </c>
      <c r="C7" t="str">
        <f t="shared" si="1"/>
        <v>ENERO</v>
      </c>
      <c r="D7" s="40">
        <v>45963</v>
      </c>
      <c r="E7" s="20">
        <v>46034</v>
      </c>
      <c r="F7" t="s">
        <v>51</v>
      </c>
      <c r="G7" s="4">
        <f t="shared" si="2"/>
        <v>1704</v>
      </c>
      <c r="H7" t="s">
        <v>1536</v>
      </c>
      <c r="I7" t="s">
        <v>1537</v>
      </c>
      <c r="J7" t="str">
        <f>_xlfn.XLOOKUP($I7,RazónMuerte!$A:$A,RazónMuerte!B:B,"",0)</f>
        <v>Enfermedad degenerativa articular</v>
      </c>
      <c r="K7">
        <f>_xlfn.XLOOKUP($I7,RazónMuerte!$A:$A,RazónMuerte!C:C,"",0)</f>
        <v>0</v>
      </c>
      <c r="L7" t="str">
        <f>_xlfn.XLOOKUP($I7,RazónMuerte!$A:$A,RazónMuerte!D:D,"",0)</f>
        <v>No fatal injury (chronic/medical)</v>
      </c>
      <c r="N7" s="4">
        <v>981020033767998</v>
      </c>
    </row>
    <row r="8" spans="1:14" x14ac:dyDescent="0.25">
      <c r="A8" t="s">
        <v>1538</v>
      </c>
      <c r="B8" t="str">
        <f t="shared" si="0"/>
        <v>14</v>
      </c>
      <c r="C8" t="str">
        <f t="shared" si="1"/>
        <v>ENERO</v>
      </c>
      <c r="D8" s="40">
        <v>0</v>
      </c>
      <c r="E8" s="20">
        <v>46036</v>
      </c>
      <c r="F8" t="s">
        <v>1539</v>
      </c>
      <c r="G8" s="4">
        <f t="shared" si="2"/>
        <v>0</v>
      </c>
      <c r="H8" t="s">
        <v>1540</v>
      </c>
      <c r="I8" t="s">
        <v>1541</v>
      </c>
      <c r="J8" t="str">
        <f>_xlfn.XLOOKUP($I8,RazónMuerte!$A:$A,RazónMuerte!B:B,"",0)</f>
        <v>Fractura ósea</v>
      </c>
      <c r="K8" t="str">
        <f>_xlfn.XLOOKUP($I8,RazónMuerte!$A:$A,RazónMuerte!C:C,"",0)</f>
        <v>No especificado</v>
      </c>
      <c r="L8" t="str">
        <f>_xlfn.XLOOKUP($I8,RazónMuerte!$A:$A,RazónMuerte!D:D,"",0)</f>
        <v>Fatal injury</v>
      </c>
      <c r="N8" s="4">
        <v>981020031315742</v>
      </c>
    </row>
    <row r="9" spans="1:14" x14ac:dyDescent="0.25">
      <c r="A9" t="s">
        <v>1542</v>
      </c>
      <c r="B9" t="str">
        <f t="shared" si="0"/>
        <v>26</v>
      </c>
      <c r="C9" t="str">
        <f t="shared" si="1"/>
        <v>ENERO</v>
      </c>
      <c r="D9" s="40">
        <v>46047</v>
      </c>
      <c r="E9" s="20">
        <v>46048</v>
      </c>
      <c r="F9" t="s">
        <v>854</v>
      </c>
      <c r="G9" s="4">
        <f t="shared" si="2"/>
        <v>24</v>
      </c>
      <c r="H9" t="s">
        <v>1543</v>
      </c>
      <c r="I9" t="s">
        <v>1544</v>
      </c>
      <c r="J9" t="str">
        <f>_xlfn.XLOOKUP($I9,RazónMuerte!$A:$A,RazónMuerte!B:B,"",0)</f>
        <v>Lesión de ligamentos/tendones</v>
      </c>
      <c r="K9">
        <f>_xlfn.XLOOKUP($I9,RazónMuerte!$A:$A,RazónMuerte!C:C,"",0)</f>
        <v>0</v>
      </c>
      <c r="L9" t="str">
        <f>_xlfn.XLOOKUP($I9,RazónMuerte!$A:$A,RazónMuerte!D:D,"",0)</f>
        <v>No clasificado</v>
      </c>
      <c r="N9" s="4">
        <v>981020031320894</v>
      </c>
    </row>
    <row r="10" spans="1:14" x14ac:dyDescent="0.25">
      <c r="A10" t="s">
        <v>1542</v>
      </c>
      <c r="B10" t="str">
        <f t="shared" si="0"/>
        <v>26</v>
      </c>
      <c r="C10" t="str">
        <f t="shared" si="1"/>
        <v>ENERO</v>
      </c>
      <c r="D10" s="40">
        <v>46047</v>
      </c>
      <c r="E10" s="20">
        <v>46048</v>
      </c>
      <c r="F10" t="s">
        <v>854</v>
      </c>
      <c r="G10" s="4">
        <f t="shared" si="2"/>
        <v>24</v>
      </c>
      <c r="H10" t="s">
        <v>1545</v>
      </c>
      <c r="I10" t="s">
        <v>255</v>
      </c>
      <c r="J10" t="str">
        <f>_xlfn.XLOOKUP($I10,RazónMuerte!$A:$A,RazónMuerte!B:B,"",0)</f>
        <v>Fractura ósea</v>
      </c>
      <c r="K10" t="str">
        <f>_xlfn.XLOOKUP($I10,RazónMuerte!$A:$A,RazónMuerte!C:C,"",0)</f>
        <v>Rodilla / Carpal</v>
      </c>
      <c r="L10" t="str">
        <f>_xlfn.XLOOKUP($I10,RazónMuerte!$A:$A,RazónMuerte!D:D,"",0)</f>
        <v>Fatal injury</v>
      </c>
      <c r="N10" s="4">
        <v>981020045097308</v>
      </c>
    </row>
    <row r="11" spans="1:14" x14ac:dyDescent="0.25">
      <c r="A11" t="s">
        <v>1542</v>
      </c>
      <c r="B11" t="str">
        <f t="shared" si="0"/>
        <v>26</v>
      </c>
      <c r="C11" t="str">
        <f t="shared" si="1"/>
        <v>ENERO</v>
      </c>
      <c r="D11" s="40">
        <v>46047</v>
      </c>
      <c r="E11" s="20">
        <v>46048</v>
      </c>
      <c r="F11" t="s">
        <v>42</v>
      </c>
      <c r="G11" s="4">
        <f t="shared" si="2"/>
        <v>24</v>
      </c>
      <c r="H11" t="s">
        <v>1546</v>
      </c>
      <c r="I11" t="s">
        <v>1547</v>
      </c>
      <c r="J11" t="str">
        <f>_xlfn.XLOOKUP($I11,RazónMuerte!$A:$A,RazónMuerte!B:B,"",0)</f>
        <v>Fractura ósea</v>
      </c>
      <c r="K11" t="str">
        <f>_xlfn.XLOOKUP($I11,RazónMuerte!$A:$A,RazónMuerte!C:C,"",0)</f>
        <v>Rodilla / Carpal</v>
      </c>
      <c r="L11" t="str">
        <f>_xlfn.XLOOKUP($I11,RazónMuerte!$A:$A,RazónMuerte!D:D,"",0)</f>
        <v>No fatal injury (chronic/medical)</v>
      </c>
      <c r="N11" s="4">
        <v>981020051070564</v>
      </c>
    </row>
    <row r="12" spans="1:14" x14ac:dyDescent="0.25">
      <c r="A12" t="s">
        <v>1542</v>
      </c>
      <c r="B12" t="str">
        <f t="shared" si="0"/>
        <v>26</v>
      </c>
      <c r="C12" t="str">
        <f t="shared" si="1"/>
        <v>ENERO</v>
      </c>
      <c r="D12" s="40">
        <v>46039</v>
      </c>
      <c r="E12" s="20">
        <v>46048</v>
      </c>
      <c r="F12" t="s">
        <v>1548</v>
      </c>
      <c r="G12" s="4">
        <f t="shared" si="2"/>
        <v>216</v>
      </c>
      <c r="H12" t="s">
        <v>1549</v>
      </c>
      <c r="I12" t="s">
        <v>1746</v>
      </c>
      <c r="J12" t="str">
        <f>_xlfn.XLOOKUP($I12,RazónMuerte!$A:$A,RazónMuerte!B:B,"",0)</f>
        <v>Otras / No especificada</v>
      </c>
      <c r="K12">
        <f>_xlfn.XLOOKUP($I12,RazónMuerte!$A:$A,RazónMuerte!C:C,"",0)</f>
        <v>0</v>
      </c>
      <c r="L12" t="str">
        <f>_xlfn.XLOOKUP($I12,RazónMuerte!$A:$A,RazónMuerte!D:D,"",0)</f>
        <v>No clasificado</v>
      </c>
      <c r="N12" s="4">
        <v>981020045099495</v>
      </c>
    </row>
    <row r="13" spans="1:14" x14ac:dyDescent="0.25">
      <c r="A13" t="s">
        <v>1550</v>
      </c>
      <c r="B13" t="str">
        <f t="shared" si="0"/>
        <v>28</v>
      </c>
      <c r="C13" t="str">
        <f t="shared" si="1"/>
        <v>ENERO</v>
      </c>
      <c r="D13" s="40">
        <v>46016</v>
      </c>
      <c r="E13" s="20">
        <v>46050</v>
      </c>
      <c r="F13" t="s">
        <v>43</v>
      </c>
      <c r="G13" s="4">
        <f t="shared" si="2"/>
        <v>816</v>
      </c>
      <c r="H13" t="s">
        <v>1551</v>
      </c>
      <c r="I13" t="s">
        <v>981</v>
      </c>
      <c r="J13" t="str">
        <f>_xlfn.XLOOKUP($I13,RazónMuerte!$A:$A,RazónMuerte!B:B,"",0)</f>
        <v>Otras / No especificada</v>
      </c>
      <c r="K13">
        <f>_xlfn.XLOOKUP($I13,RazónMuerte!$A:$A,RazónMuerte!C:C,"",0)</f>
        <v>0</v>
      </c>
      <c r="L13" t="str">
        <f>_xlfn.XLOOKUP($I13,RazónMuerte!$A:$A,RazónMuerte!D:D,"",0)</f>
        <v>No clasificado</v>
      </c>
      <c r="N13" s="4">
        <v>981020049657662</v>
      </c>
    </row>
    <row r="14" spans="1:14" x14ac:dyDescent="0.25">
      <c r="A14" t="s">
        <v>1552</v>
      </c>
      <c r="B14" t="str">
        <f t="shared" si="0"/>
        <v>30</v>
      </c>
      <c r="C14" t="str">
        <f t="shared" si="1"/>
        <v>ENERO</v>
      </c>
      <c r="D14" s="40">
        <v>46011</v>
      </c>
      <c r="E14" s="20">
        <v>46052</v>
      </c>
      <c r="F14" t="s">
        <v>1234</v>
      </c>
      <c r="G14" s="4">
        <f t="shared" si="2"/>
        <v>984</v>
      </c>
      <c r="H14" t="s">
        <v>1553</v>
      </c>
      <c r="I14" t="s">
        <v>1747</v>
      </c>
      <c r="J14" t="str">
        <f>_xlfn.XLOOKUP($I14,RazónMuerte!$A:$A,RazónMuerte!B:B,"",0)</f>
        <v>Fractura ósea</v>
      </c>
      <c r="K14" t="str">
        <f>_xlfn.XLOOKUP($I14,RazónMuerte!$A:$A,RazónMuerte!C:C,"",0)</f>
        <v>Slab</v>
      </c>
      <c r="L14" t="str">
        <f>_xlfn.XLOOKUP($I14,RazónMuerte!$A:$A,RazónMuerte!D:D,"",0)</f>
        <v>No fatal injury (chronic/medical)</v>
      </c>
      <c r="N14" s="4">
        <v>933000220017303</v>
      </c>
    </row>
    <row r="15" spans="1:14" x14ac:dyDescent="0.25">
      <c r="A15" t="s">
        <v>1554</v>
      </c>
      <c r="B15" t="str">
        <f t="shared" si="0"/>
        <v>31</v>
      </c>
      <c r="C15" t="str">
        <f t="shared" si="1"/>
        <v>ENERO</v>
      </c>
      <c r="D15" s="40">
        <v>46041</v>
      </c>
      <c r="E15" s="20">
        <v>46053</v>
      </c>
      <c r="F15" t="s">
        <v>218</v>
      </c>
      <c r="G15" s="4">
        <f t="shared" si="2"/>
        <v>288</v>
      </c>
      <c r="H15" t="s">
        <v>1555</v>
      </c>
      <c r="I15" t="s">
        <v>1556</v>
      </c>
      <c r="J15" t="str">
        <f>_xlfn.XLOOKUP($I15,RazónMuerte!$A:$A,RazónMuerte!B:B,"",0)</f>
        <v>Otras / No especificada</v>
      </c>
      <c r="K15">
        <f>_xlfn.XLOOKUP($I15,RazónMuerte!$A:$A,RazónMuerte!C:C,"",0)</f>
        <v>0</v>
      </c>
      <c r="L15" t="str">
        <f>_xlfn.XLOOKUP($I15,RazónMuerte!$A:$A,RazónMuerte!D:D,"",0)</f>
        <v>No clasificado</v>
      </c>
      <c r="N15" s="4">
        <v>981020045095911</v>
      </c>
    </row>
    <row r="16" spans="1:14" x14ac:dyDescent="0.25">
      <c r="A16" t="s">
        <v>1557</v>
      </c>
      <c r="B16" t="str">
        <f t="shared" si="0"/>
        <v>2</v>
      </c>
      <c r="C16" t="str">
        <f t="shared" si="1"/>
        <v>FEBRERO</v>
      </c>
      <c r="D16" s="40">
        <v>45967</v>
      </c>
      <c r="E16" s="20">
        <v>46055</v>
      </c>
      <c r="F16" t="s">
        <v>218</v>
      </c>
      <c r="G16" s="4">
        <f t="shared" si="2"/>
        <v>2112</v>
      </c>
      <c r="H16" t="s">
        <v>1558</v>
      </c>
      <c r="I16" t="s">
        <v>1559</v>
      </c>
      <c r="J16" t="str">
        <f>_xlfn.XLOOKUP($I16,RazónMuerte!$A:$A,RazónMuerte!B:B,"",0)</f>
        <v>Fractura ósea</v>
      </c>
      <c r="K16" t="str">
        <f>_xlfn.XLOOKUP($I16,RazónMuerte!$A:$A,RazónMuerte!C:C,"",0)</f>
        <v>Rodilla / Carpal</v>
      </c>
      <c r="L16" t="str">
        <f>_xlfn.XLOOKUP($I16,RazónMuerte!$A:$A,RazónMuerte!D:D,"",0)</f>
        <v>Fatal injury</v>
      </c>
      <c r="N16" s="4">
        <v>981020037627542</v>
      </c>
    </row>
    <row r="17" spans="1:14" x14ac:dyDescent="0.25">
      <c r="A17" t="s">
        <v>1557</v>
      </c>
      <c r="B17" t="str">
        <f t="shared" si="0"/>
        <v>2</v>
      </c>
      <c r="C17" t="str">
        <f t="shared" si="1"/>
        <v>FEBRERO</v>
      </c>
      <c r="D17" s="40">
        <v>46012</v>
      </c>
      <c r="E17" s="20">
        <v>46055</v>
      </c>
      <c r="F17" t="s">
        <v>17</v>
      </c>
      <c r="G17" s="4">
        <f t="shared" si="2"/>
        <v>1032</v>
      </c>
      <c r="H17" t="s">
        <v>1560</v>
      </c>
      <c r="I17" t="s">
        <v>1748</v>
      </c>
      <c r="J17" t="str">
        <f>_xlfn.XLOOKUP($I17,RazónMuerte!$A:$A,RazónMuerte!B:B,"",0)</f>
        <v>Fractura ósea</v>
      </c>
      <c r="K17" t="str">
        <f>_xlfn.XLOOKUP($I17,RazónMuerte!$A:$A,RazónMuerte!C:C,"",0)</f>
        <v>Rodilla / Carpal</v>
      </c>
      <c r="L17" t="str">
        <f>_xlfn.XLOOKUP($I17,RazónMuerte!$A:$A,RazónMuerte!D:D,"",0)</f>
        <v>Fatal injury</v>
      </c>
      <c r="N17" s="4">
        <v>981020045127281</v>
      </c>
    </row>
    <row r="18" spans="1:14" x14ac:dyDescent="0.25">
      <c r="A18" t="s">
        <v>1557</v>
      </c>
      <c r="B18" t="str">
        <f t="shared" si="0"/>
        <v>2</v>
      </c>
      <c r="C18" t="str">
        <f t="shared" si="1"/>
        <v>FEBRERO</v>
      </c>
      <c r="D18" s="40">
        <v>45864</v>
      </c>
      <c r="E18" s="20">
        <v>46055</v>
      </c>
      <c r="F18" t="s">
        <v>17</v>
      </c>
      <c r="G18" s="4">
        <f t="shared" si="2"/>
        <v>4584</v>
      </c>
      <c r="H18" t="s">
        <v>1561</v>
      </c>
      <c r="I18" t="s">
        <v>1749</v>
      </c>
      <c r="J18" t="str">
        <f>_xlfn.XLOOKUP($I18,RazónMuerte!$A:$A,RazónMuerte!B:B,"",0)</f>
        <v>Fractura ósea</v>
      </c>
      <c r="K18" t="str">
        <f>_xlfn.XLOOKUP($I18,RazónMuerte!$A:$A,RazónMuerte!C:C,"",0)</f>
        <v>Sesamoideo</v>
      </c>
      <c r="L18" t="str">
        <f>_xlfn.XLOOKUP($I18,RazónMuerte!$A:$A,RazónMuerte!D:D,"",0)</f>
        <v>Fatal injury</v>
      </c>
      <c r="N18" s="4">
        <v>981020051575862</v>
      </c>
    </row>
    <row r="19" spans="1:14" x14ac:dyDescent="0.25">
      <c r="A19" t="s">
        <v>1562</v>
      </c>
      <c r="B19" t="str">
        <f t="shared" si="0"/>
        <v>3</v>
      </c>
      <c r="C19" t="str">
        <f t="shared" si="1"/>
        <v>FEBRERO</v>
      </c>
      <c r="D19" s="40">
        <v>45962</v>
      </c>
      <c r="E19" s="20">
        <v>46056</v>
      </c>
      <c r="F19" t="s">
        <v>1563</v>
      </c>
      <c r="G19" s="4">
        <f t="shared" si="2"/>
        <v>2256</v>
      </c>
      <c r="H19" t="s">
        <v>1564</v>
      </c>
      <c r="I19" t="s">
        <v>1750</v>
      </c>
      <c r="J19" t="str">
        <f>_xlfn.XLOOKUP($I19,RazónMuerte!$A:$A,RazónMuerte!B:B,"",0)</f>
        <v>Fractura ósea</v>
      </c>
      <c r="K19" t="str">
        <f>_xlfn.XLOOKUP($I19,RazónMuerte!$A:$A,RazónMuerte!C:C,"",0)</f>
        <v>Sesamoideo</v>
      </c>
      <c r="L19" t="str">
        <f>_xlfn.XLOOKUP($I19,RazónMuerte!$A:$A,RazónMuerte!D:D,"",0)</f>
        <v>Fatal injury</v>
      </c>
      <c r="N19" s="4">
        <v>981020035167100</v>
      </c>
    </row>
    <row r="20" spans="1:14" x14ac:dyDescent="0.25">
      <c r="A20" t="s">
        <v>1565</v>
      </c>
      <c r="B20" t="str">
        <f t="shared" si="0"/>
        <v>4</v>
      </c>
      <c r="C20" t="str">
        <f t="shared" si="1"/>
        <v>FEBRERO</v>
      </c>
      <c r="D20" s="40">
        <v>46039</v>
      </c>
      <c r="E20" s="20">
        <v>46057</v>
      </c>
      <c r="F20" t="s">
        <v>1566</v>
      </c>
      <c r="G20" s="4">
        <f t="shared" si="2"/>
        <v>432</v>
      </c>
      <c r="H20" t="s">
        <v>1567</v>
      </c>
      <c r="I20" t="s">
        <v>1568</v>
      </c>
      <c r="J20" t="str">
        <f>_xlfn.XLOOKUP($I20,RazónMuerte!$A:$A,RazónMuerte!B:B,"",0)</f>
        <v>Fractura ósea</v>
      </c>
      <c r="K20" t="str">
        <f>_xlfn.XLOOKUP($I20,RazónMuerte!$A:$A,RazónMuerte!C:C,"",0)</f>
        <v>Rodilla / Carpal</v>
      </c>
      <c r="L20" t="str">
        <f>_xlfn.XLOOKUP($I20,RazónMuerte!$A:$A,RazónMuerte!D:D,"",0)</f>
        <v>No fatal injury (chronic/medical)</v>
      </c>
      <c r="N20" s="4">
        <v>985141005097682</v>
      </c>
    </row>
    <row r="21" spans="1:14" x14ac:dyDescent="0.25">
      <c r="A21" t="s">
        <v>1569</v>
      </c>
      <c r="B21" t="str">
        <f t="shared" si="0"/>
        <v>5</v>
      </c>
      <c r="C21" t="str">
        <f t="shared" si="1"/>
        <v>FEBRERO</v>
      </c>
      <c r="D21" s="40">
        <v>45967</v>
      </c>
      <c r="E21" s="20">
        <v>46058</v>
      </c>
      <c r="F21" t="s">
        <v>127</v>
      </c>
      <c r="G21" s="4">
        <f t="shared" si="2"/>
        <v>2184</v>
      </c>
      <c r="H21" t="s">
        <v>1570</v>
      </c>
      <c r="I21" t="s">
        <v>1746</v>
      </c>
      <c r="J21" t="str">
        <f>_xlfn.XLOOKUP($I21,RazónMuerte!$A:$A,RazónMuerte!B:B,"",0)</f>
        <v>Otras / No especificada</v>
      </c>
      <c r="K21">
        <f>_xlfn.XLOOKUP($I21,RazónMuerte!$A:$A,RazónMuerte!C:C,"",0)</f>
        <v>0</v>
      </c>
      <c r="L21" t="str">
        <f>_xlfn.XLOOKUP($I21,RazónMuerte!$A:$A,RazónMuerte!D:D,"",0)</f>
        <v>No clasificado</v>
      </c>
      <c r="N21" s="4">
        <v>981020041820245</v>
      </c>
    </row>
    <row r="22" spans="1:14" x14ac:dyDescent="0.25">
      <c r="A22" t="s">
        <v>1571</v>
      </c>
      <c r="B22" t="str">
        <f t="shared" si="0"/>
        <v>6</v>
      </c>
      <c r="C22" t="str">
        <f t="shared" si="1"/>
        <v>FEBRERO</v>
      </c>
      <c r="D22" s="40">
        <v>46047</v>
      </c>
      <c r="E22" s="20">
        <v>46059</v>
      </c>
      <c r="F22" t="s">
        <v>1572</v>
      </c>
      <c r="G22" s="4">
        <f t="shared" si="2"/>
        <v>288</v>
      </c>
      <c r="H22" t="s">
        <v>1573</v>
      </c>
      <c r="I22" t="s">
        <v>1574</v>
      </c>
      <c r="J22" t="str">
        <f>_xlfn.XLOOKUP($I22,RazónMuerte!$A:$A,RazónMuerte!B:B,"",0)</f>
        <v>Fractura ósea</v>
      </c>
      <c r="K22" t="str">
        <f>_xlfn.XLOOKUP($I22,RazónMuerte!$A:$A,RazónMuerte!C:C,"",0)</f>
        <v>Caña / Cannon bone</v>
      </c>
      <c r="L22" t="str">
        <f>_xlfn.XLOOKUP($I22,RazónMuerte!$A:$A,RazónMuerte!D:D,"",0)</f>
        <v>Fatal injury</v>
      </c>
      <c r="N22" s="4">
        <v>981020035707422</v>
      </c>
    </row>
    <row r="23" spans="1:14" x14ac:dyDescent="0.25">
      <c r="A23" t="s">
        <v>1571</v>
      </c>
      <c r="B23" t="str">
        <f t="shared" si="0"/>
        <v>6</v>
      </c>
      <c r="C23" t="str">
        <f t="shared" si="1"/>
        <v>FEBRERO</v>
      </c>
      <c r="D23" s="40">
        <v>46033</v>
      </c>
      <c r="E23" s="20">
        <v>46059</v>
      </c>
      <c r="F23" t="s">
        <v>1575</v>
      </c>
      <c r="G23" s="4">
        <f t="shared" si="2"/>
        <v>624</v>
      </c>
      <c r="H23" t="s">
        <v>1576</v>
      </c>
      <c r="I23" t="s">
        <v>1751</v>
      </c>
      <c r="J23" t="str">
        <f>_xlfn.XLOOKUP($I23,RazónMuerte!$A:$A,RazónMuerte!B:B,"",0)</f>
        <v>Enfermedad degenerativa articular</v>
      </c>
      <c r="K23">
        <f>_xlfn.XLOOKUP($I23,RazónMuerte!$A:$A,RazónMuerte!C:C,"",0)</f>
        <v>0</v>
      </c>
      <c r="L23" t="str">
        <f>_xlfn.XLOOKUP($I23,RazónMuerte!$A:$A,RazónMuerte!D:D,"",0)</f>
        <v>No fatal injury (chronic/medical)</v>
      </c>
      <c r="N23" s="4">
        <v>981020051133136</v>
      </c>
    </row>
    <row r="24" spans="1:14" x14ac:dyDescent="0.25">
      <c r="A24" t="s">
        <v>1577</v>
      </c>
      <c r="B24" t="str">
        <f t="shared" si="0"/>
        <v>9</v>
      </c>
      <c r="C24" t="str">
        <f t="shared" si="1"/>
        <v>FEBRERO</v>
      </c>
      <c r="D24" s="40">
        <v>46031</v>
      </c>
      <c r="E24" s="20">
        <v>46062</v>
      </c>
      <c r="F24" t="s">
        <v>1578</v>
      </c>
      <c r="G24" s="4">
        <f t="shared" si="2"/>
        <v>744</v>
      </c>
      <c r="H24" t="s">
        <v>1579</v>
      </c>
      <c r="I24" t="s">
        <v>1752</v>
      </c>
      <c r="J24" t="str">
        <f>_xlfn.XLOOKUP($I24,RazónMuerte!$A:$A,RazónMuerte!B:B,"",0)</f>
        <v>Enfermedad degenerativa articular</v>
      </c>
      <c r="K24">
        <f>_xlfn.XLOOKUP($I24,RazónMuerte!$A:$A,RazónMuerte!C:C,"",0)</f>
        <v>0</v>
      </c>
      <c r="L24" t="str">
        <f>_xlfn.XLOOKUP($I24,RazónMuerte!$A:$A,RazónMuerte!D:D,"",0)</f>
        <v>No fatal injury (chronic/medical)</v>
      </c>
      <c r="N24" s="4">
        <v>981020035752908</v>
      </c>
    </row>
    <row r="25" spans="1:14" x14ac:dyDescent="0.25">
      <c r="A25" t="s">
        <v>1577</v>
      </c>
      <c r="B25" t="str">
        <f t="shared" si="0"/>
        <v>9</v>
      </c>
      <c r="C25" t="str">
        <f t="shared" si="1"/>
        <v>FEBRERO</v>
      </c>
      <c r="D25" s="40">
        <v>45956</v>
      </c>
      <c r="E25" s="20">
        <v>46062</v>
      </c>
      <c r="F25" t="s">
        <v>1580</v>
      </c>
      <c r="G25" s="4">
        <f t="shared" si="2"/>
        <v>2544</v>
      </c>
      <c r="H25" t="s">
        <v>1581</v>
      </c>
      <c r="I25" t="s">
        <v>1753</v>
      </c>
      <c r="J25" t="str">
        <f>_xlfn.XLOOKUP($I25,RazónMuerte!$A:$A,RazónMuerte!B:B,"",0)</f>
        <v>Enfermedad degenerativa articular</v>
      </c>
      <c r="K25">
        <f>_xlfn.XLOOKUP($I25,RazónMuerte!$A:$A,RazónMuerte!C:C,"",0)</f>
        <v>0</v>
      </c>
      <c r="L25" t="str">
        <f>_xlfn.XLOOKUP($I25,RazónMuerte!$A:$A,RazónMuerte!D:D,"",0)</f>
        <v>No fatal injury (chronic/medical)</v>
      </c>
      <c r="N25" s="4">
        <v>981020033766060</v>
      </c>
    </row>
    <row r="26" spans="1:14" x14ac:dyDescent="0.25">
      <c r="A26" t="s">
        <v>1582</v>
      </c>
      <c r="B26" t="str">
        <f t="shared" si="0"/>
        <v>10</v>
      </c>
      <c r="C26" t="str">
        <f t="shared" si="1"/>
        <v>FEBRERO</v>
      </c>
      <c r="D26" s="40">
        <v>46053</v>
      </c>
      <c r="E26" s="20">
        <v>46063</v>
      </c>
      <c r="F26" t="s">
        <v>632</v>
      </c>
      <c r="G26" s="4">
        <f t="shared" si="2"/>
        <v>240</v>
      </c>
      <c r="H26" t="s">
        <v>1583</v>
      </c>
      <c r="I26" t="s">
        <v>1754</v>
      </c>
      <c r="J26" t="str">
        <f>_xlfn.XLOOKUP($I26,RazónMuerte!$A:$A,RazónMuerte!B:B,"",0)</f>
        <v>Enfermedad degenerativa articular</v>
      </c>
      <c r="K26">
        <f>_xlfn.XLOOKUP($I26,RazónMuerte!$A:$A,RazónMuerte!C:C,"",0)</f>
        <v>0</v>
      </c>
      <c r="L26" t="str">
        <f>_xlfn.XLOOKUP($I26,RazónMuerte!$A:$A,RazónMuerte!D:D,"",0)</f>
        <v>No fatal injury (chronic/medical)</v>
      </c>
      <c r="N26" s="4">
        <v>981020033550936</v>
      </c>
    </row>
    <row r="27" spans="1:14" x14ac:dyDescent="0.25">
      <c r="A27" t="s">
        <v>1582</v>
      </c>
      <c r="B27" t="str">
        <f t="shared" si="0"/>
        <v>10</v>
      </c>
      <c r="C27" t="str">
        <f t="shared" si="1"/>
        <v>FEBRERO</v>
      </c>
      <c r="D27" s="40">
        <v>46053</v>
      </c>
      <c r="E27" s="20">
        <v>46063</v>
      </c>
      <c r="F27" t="s">
        <v>1584</v>
      </c>
      <c r="G27" s="4">
        <f t="shared" si="2"/>
        <v>240</v>
      </c>
      <c r="H27" t="s">
        <v>1585</v>
      </c>
      <c r="I27" t="s">
        <v>1755</v>
      </c>
      <c r="J27" t="str">
        <f>_xlfn.XLOOKUP($I27,RazónMuerte!$A:$A,RazónMuerte!B:B,"",0)</f>
        <v>Fractura ósea</v>
      </c>
      <c r="K27" t="str">
        <f>_xlfn.XLOOKUP($I27,RazónMuerte!$A:$A,RazónMuerte!C:C,"",0)</f>
        <v>Slab</v>
      </c>
      <c r="L27" t="str">
        <f>_xlfn.XLOOKUP($I27,RazónMuerte!$A:$A,RazónMuerte!D:D,"",0)</f>
        <v>No fatal injury (chronic/medical)</v>
      </c>
      <c r="N27" s="4">
        <v>981020051583290</v>
      </c>
    </row>
    <row r="28" spans="1:14" x14ac:dyDescent="0.25">
      <c r="A28" t="s">
        <v>1586</v>
      </c>
      <c r="B28" t="str">
        <f t="shared" si="0"/>
        <v>11</v>
      </c>
      <c r="C28" t="str">
        <f t="shared" si="1"/>
        <v>FEBRERO</v>
      </c>
      <c r="D28" s="40">
        <v>45619</v>
      </c>
      <c r="E28" s="20">
        <v>46064</v>
      </c>
      <c r="F28" t="s">
        <v>22</v>
      </c>
      <c r="G28" s="4">
        <f t="shared" si="2"/>
        <v>10680</v>
      </c>
      <c r="H28" t="s">
        <v>1587</v>
      </c>
      <c r="I28" t="s">
        <v>1756</v>
      </c>
      <c r="J28" t="str">
        <f>_xlfn.XLOOKUP($I28,RazónMuerte!$A:$A,RazónMuerte!B:B,"",0)</f>
        <v>Enfermedad degenerativa articular</v>
      </c>
      <c r="K28">
        <f>_xlfn.XLOOKUP($I28,RazónMuerte!$A:$A,RazónMuerte!C:C,"",0)</f>
        <v>0</v>
      </c>
      <c r="L28" t="str">
        <f>_xlfn.XLOOKUP($I28,RazónMuerte!$A:$A,RazónMuerte!D:D,"",0)</f>
        <v>No fatal injury (chronic/medical)</v>
      </c>
      <c r="N28" s="4">
        <v>981020033111840</v>
      </c>
    </row>
    <row r="29" spans="1:14" x14ac:dyDescent="0.25">
      <c r="A29" t="s">
        <v>1588</v>
      </c>
      <c r="B29" t="str">
        <f t="shared" si="0"/>
        <v>12</v>
      </c>
      <c r="C29" t="str">
        <f t="shared" si="1"/>
        <v>FEBRERO</v>
      </c>
      <c r="D29" s="40">
        <v>45996</v>
      </c>
      <c r="E29" s="20">
        <v>46065</v>
      </c>
      <c r="F29" t="s">
        <v>11</v>
      </c>
      <c r="G29" s="4">
        <f t="shared" si="2"/>
        <v>1656</v>
      </c>
      <c r="H29" t="s">
        <v>1589</v>
      </c>
      <c r="I29" t="s">
        <v>1757</v>
      </c>
      <c r="J29" t="str">
        <f>_xlfn.XLOOKUP($I29,RazónMuerte!$A:$A,RazónMuerte!B:B,"",0)</f>
        <v>Enfermedad degenerativa articular</v>
      </c>
      <c r="K29">
        <f>_xlfn.XLOOKUP($I29,RazónMuerte!$A:$A,RazónMuerte!C:C,"",0)</f>
        <v>0</v>
      </c>
      <c r="L29" t="str">
        <f>_xlfn.XLOOKUP($I29,RazónMuerte!$A:$A,RazónMuerte!D:D,"",0)</f>
        <v>No fatal injury (chronic/medical)</v>
      </c>
      <c r="N29" s="4">
        <v>981020049642105</v>
      </c>
    </row>
    <row r="30" spans="1:14" x14ac:dyDescent="0.25">
      <c r="A30" t="s">
        <v>1590</v>
      </c>
      <c r="B30" t="str">
        <f t="shared" si="0"/>
        <v>13</v>
      </c>
      <c r="C30" t="str">
        <f t="shared" si="1"/>
        <v>FEBRERO</v>
      </c>
      <c r="D30" s="40">
        <v>46058</v>
      </c>
      <c r="E30" s="20">
        <v>46066</v>
      </c>
      <c r="F30" t="s">
        <v>1183</v>
      </c>
      <c r="G30" s="4">
        <f t="shared" si="2"/>
        <v>192</v>
      </c>
      <c r="H30" t="s">
        <v>1591</v>
      </c>
      <c r="I30" t="s">
        <v>1758</v>
      </c>
      <c r="J30" t="str">
        <f>_xlfn.XLOOKUP($I30,RazónMuerte!$A:$A,RazónMuerte!B:B,"",0)</f>
        <v>Fractura ósea</v>
      </c>
      <c r="K30" t="str">
        <f>_xlfn.XLOOKUP($I30,RazónMuerte!$A:$A,RazónMuerte!C:C,"",0)</f>
        <v>Slab</v>
      </c>
      <c r="L30" t="str">
        <f>_xlfn.XLOOKUP($I30,RazónMuerte!$A:$A,RazónMuerte!D:D,"",0)</f>
        <v>Fatal injury</v>
      </c>
      <c r="N30" s="4">
        <v>985141005091089</v>
      </c>
    </row>
    <row r="31" spans="1:14" x14ac:dyDescent="0.25">
      <c r="A31" t="s">
        <v>1592</v>
      </c>
      <c r="B31" t="str">
        <f t="shared" si="0"/>
        <v>18</v>
      </c>
      <c r="C31" t="str">
        <f t="shared" si="1"/>
        <v>FEBRERO</v>
      </c>
      <c r="D31" s="40">
        <v>46037</v>
      </c>
      <c r="E31" s="20">
        <v>46071</v>
      </c>
      <c r="F31" t="s">
        <v>991</v>
      </c>
      <c r="G31" s="4">
        <f t="shared" si="2"/>
        <v>816</v>
      </c>
      <c r="H31" t="s">
        <v>1593</v>
      </c>
      <c r="I31" t="s">
        <v>1759</v>
      </c>
      <c r="J31" t="str">
        <f>_xlfn.XLOOKUP($I31,RazónMuerte!$A:$A,RazónMuerte!B:B,"",0)</f>
        <v>Enfermedad degenerativa articular</v>
      </c>
      <c r="K31">
        <f>_xlfn.XLOOKUP($I31,RazónMuerte!$A:$A,RazónMuerte!C:C,"",0)</f>
        <v>0</v>
      </c>
      <c r="L31" t="str">
        <f>_xlfn.XLOOKUP($I31,RazónMuerte!$A:$A,RazónMuerte!D:D,"",0)</f>
        <v>No fatal injury (chronic/medical)</v>
      </c>
      <c r="N31" s="4">
        <v>981020045093394</v>
      </c>
    </row>
    <row r="32" spans="1:14" x14ac:dyDescent="0.25">
      <c r="A32" t="s">
        <v>1592</v>
      </c>
      <c r="B32" t="str">
        <f t="shared" si="0"/>
        <v>18</v>
      </c>
      <c r="C32" t="str">
        <f t="shared" si="1"/>
        <v>FEBRERO</v>
      </c>
      <c r="D32" s="40">
        <v>46066</v>
      </c>
      <c r="E32" s="20">
        <v>46071</v>
      </c>
      <c r="F32" t="s">
        <v>1594</v>
      </c>
      <c r="G32" s="4">
        <f t="shared" si="2"/>
        <v>120</v>
      </c>
      <c r="H32" t="s">
        <v>1595</v>
      </c>
      <c r="I32" t="s">
        <v>1760</v>
      </c>
      <c r="J32" t="str">
        <f>_xlfn.XLOOKUP($I32,RazónMuerte!$A:$A,RazónMuerte!B:B,"",0)</f>
        <v>Fractura ósea</v>
      </c>
      <c r="K32" t="str">
        <f>_xlfn.XLOOKUP($I32,RazónMuerte!$A:$A,RazónMuerte!C:C,"",0)</f>
        <v>Slab</v>
      </c>
      <c r="L32" t="str">
        <f>_xlfn.XLOOKUP($I32,RazónMuerte!$A:$A,RazónMuerte!D:D,"",0)</f>
        <v>Fatal injury</v>
      </c>
      <c r="N32" s="4">
        <v>985141006224632</v>
      </c>
    </row>
    <row r="33" spans="1:14" x14ac:dyDescent="0.25">
      <c r="A33" t="s">
        <v>1596</v>
      </c>
      <c r="B33" t="str">
        <f t="shared" si="0"/>
        <v>19</v>
      </c>
      <c r="C33" t="str">
        <f t="shared" si="1"/>
        <v>FEBRERO</v>
      </c>
      <c r="D33" s="40">
        <v>45998</v>
      </c>
      <c r="E33" s="20">
        <v>46072</v>
      </c>
      <c r="F33" t="s">
        <v>88</v>
      </c>
      <c r="G33" s="4">
        <f t="shared" si="2"/>
        <v>1776</v>
      </c>
      <c r="H33" t="s">
        <v>1597</v>
      </c>
      <c r="I33" t="s">
        <v>1598</v>
      </c>
      <c r="J33" t="str">
        <f>_xlfn.XLOOKUP($I33,RazónMuerte!$A:$A,RazónMuerte!B:B,"",0)</f>
        <v>Enfermedad degenerativa articular</v>
      </c>
      <c r="K33">
        <f>_xlfn.XLOOKUP($I33,RazónMuerte!$A:$A,RazónMuerte!C:C,"",0)</f>
        <v>0</v>
      </c>
      <c r="L33" t="str">
        <f>_xlfn.XLOOKUP($I33,RazónMuerte!$A:$A,RazónMuerte!D:D,"",0)</f>
        <v>No fatal injury (chronic/medical)</v>
      </c>
      <c r="N33" s="4">
        <v>991001006399774</v>
      </c>
    </row>
    <row r="34" spans="1:14" x14ac:dyDescent="0.25">
      <c r="A34" t="s">
        <v>1596</v>
      </c>
      <c r="B34" t="str">
        <f t="shared" si="0"/>
        <v>19</v>
      </c>
      <c r="C34" t="str">
        <f t="shared" si="1"/>
        <v>FEBRERO</v>
      </c>
      <c r="D34" s="40">
        <v>46033</v>
      </c>
      <c r="E34" s="20">
        <v>46072</v>
      </c>
      <c r="F34" t="s">
        <v>98</v>
      </c>
      <c r="G34" s="4">
        <f t="shared" si="2"/>
        <v>936</v>
      </c>
      <c r="H34" t="s">
        <v>1599</v>
      </c>
      <c r="I34" t="s">
        <v>1761</v>
      </c>
      <c r="J34" t="str">
        <f>_xlfn.XLOOKUP($I34,RazónMuerte!$A:$A,RazónMuerte!B:B,"",0)</f>
        <v>Enfermedad degenerativa articular</v>
      </c>
      <c r="K34">
        <f>_xlfn.XLOOKUP($I34,RazónMuerte!$A:$A,RazónMuerte!C:C,"",0)</f>
        <v>0</v>
      </c>
      <c r="L34" t="str">
        <f>_xlfn.XLOOKUP($I34,RazónMuerte!$A:$A,RazónMuerte!D:D,"",0)</f>
        <v>No fatal injury (chronic/medical)</v>
      </c>
      <c r="N34" s="4">
        <v>981020041800725</v>
      </c>
    </row>
    <row r="35" spans="1:14" x14ac:dyDescent="0.25">
      <c r="A35" t="s">
        <v>1600</v>
      </c>
      <c r="B35" t="str">
        <f t="shared" si="0"/>
        <v>20</v>
      </c>
      <c r="C35" t="str">
        <f t="shared" si="1"/>
        <v>FEBRERO</v>
      </c>
      <c r="D35" s="40">
        <v>45948</v>
      </c>
      <c r="E35" s="20">
        <v>46073</v>
      </c>
      <c r="F35" t="s">
        <v>31</v>
      </c>
      <c r="G35" s="4">
        <f t="shared" si="2"/>
        <v>3000</v>
      </c>
      <c r="H35" t="s">
        <v>1601</v>
      </c>
      <c r="I35" t="s">
        <v>1602</v>
      </c>
      <c r="J35" t="str">
        <f>_xlfn.XLOOKUP($I35,RazónMuerte!$A:$A,RazónMuerte!B:B,"",0)</f>
        <v>Lesión de ligamentos/tendones</v>
      </c>
      <c r="K35">
        <f>_xlfn.XLOOKUP($I35,RazónMuerte!$A:$A,RazónMuerte!C:C,"",0)</f>
        <v>0</v>
      </c>
      <c r="L35" t="str">
        <f>_xlfn.XLOOKUP($I35,RazónMuerte!$A:$A,RazónMuerte!D:D,"",0)</f>
        <v>No clasificado</v>
      </c>
      <c r="N35" s="4">
        <v>981020031366590</v>
      </c>
    </row>
    <row r="36" spans="1:14" x14ac:dyDescent="0.25">
      <c r="A36" t="s">
        <v>1600</v>
      </c>
      <c r="B36" t="str">
        <f t="shared" si="0"/>
        <v>20</v>
      </c>
      <c r="C36" t="str">
        <f t="shared" si="1"/>
        <v>FEBRERO</v>
      </c>
      <c r="D36" s="40">
        <v>46060</v>
      </c>
      <c r="E36" s="20">
        <v>46073</v>
      </c>
      <c r="F36" t="s">
        <v>1603</v>
      </c>
      <c r="G36" s="4">
        <f t="shared" si="2"/>
        <v>312</v>
      </c>
      <c r="H36" t="s">
        <v>1604</v>
      </c>
      <c r="I36" t="s">
        <v>1605</v>
      </c>
      <c r="J36" t="str">
        <f>_xlfn.XLOOKUP($I36,RazónMuerte!$A:$A,RazónMuerte!B:B,"",0)</f>
        <v>Enfermedad degenerativa articular</v>
      </c>
      <c r="K36">
        <f>_xlfn.XLOOKUP($I36,RazónMuerte!$A:$A,RazónMuerte!C:C,"",0)</f>
        <v>0</v>
      </c>
      <c r="L36" t="str">
        <f>_xlfn.XLOOKUP($I36,RazónMuerte!$A:$A,RazónMuerte!D:D,"",0)</f>
        <v>No fatal injury (chronic/medical)</v>
      </c>
      <c r="N36" s="4">
        <v>981020031362030</v>
      </c>
    </row>
    <row r="37" spans="1:14" x14ac:dyDescent="0.25">
      <c r="A37" t="s">
        <v>1600</v>
      </c>
      <c r="B37" t="str">
        <f t="shared" si="0"/>
        <v>20</v>
      </c>
      <c r="C37" t="str">
        <f t="shared" si="1"/>
        <v>FEBRERO</v>
      </c>
      <c r="D37" s="40">
        <v>45970</v>
      </c>
      <c r="E37" s="20">
        <v>46073</v>
      </c>
      <c r="F37" t="s">
        <v>396</v>
      </c>
      <c r="G37" s="4">
        <f t="shared" si="2"/>
        <v>2472</v>
      </c>
      <c r="H37" t="s">
        <v>1606</v>
      </c>
      <c r="I37" t="s">
        <v>1762</v>
      </c>
      <c r="J37" t="str">
        <f>_xlfn.XLOOKUP($I37,RazónMuerte!$A:$A,RazónMuerte!B:B,"",0)</f>
        <v>Otras / No especificada</v>
      </c>
      <c r="K37">
        <f>_xlfn.XLOOKUP($I37,RazónMuerte!$A:$A,RazónMuerte!C:C,"",0)</f>
        <v>0</v>
      </c>
      <c r="L37" t="str">
        <f>_xlfn.XLOOKUP($I37,RazónMuerte!$A:$A,RazónMuerte!D:D,"",0)</f>
        <v>No clasificado</v>
      </c>
      <c r="N37" s="4">
        <v>985111002421422</v>
      </c>
    </row>
    <row r="38" spans="1:14" x14ac:dyDescent="0.25">
      <c r="A38" t="s">
        <v>1607</v>
      </c>
      <c r="B38" t="str">
        <f t="shared" si="0"/>
        <v>21</v>
      </c>
      <c r="C38" t="str">
        <f t="shared" si="1"/>
        <v>FEBRERO</v>
      </c>
      <c r="D38" s="40">
        <v>46073</v>
      </c>
      <c r="E38" s="20">
        <v>46074</v>
      </c>
      <c r="F38" t="s">
        <v>1089</v>
      </c>
      <c r="G38" s="4">
        <f t="shared" si="2"/>
        <v>24</v>
      </c>
      <c r="H38" t="s">
        <v>1608</v>
      </c>
      <c r="I38" t="s">
        <v>1760</v>
      </c>
      <c r="J38" t="str">
        <f>_xlfn.XLOOKUP($I38,RazónMuerte!$A:$A,RazónMuerte!B:B,"",0)</f>
        <v>Fractura ósea</v>
      </c>
      <c r="K38" t="str">
        <f>_xlfn.XLOOKUP($I38,RazónMuerte!$A:$A,RazónMuerte!C:C,"",0)</f>
        <v>Slab</v>
      </c>
      <c r="L38" t="str">
        <f>_xlfn.XLOOKUP($I38,RazónMuerte!$A:$A,RazónMuerte!D:D,"",0)</f>
        <v>Fatal injury</v>
      </c>
      <c r="N38" s="4">
        <v>981020049160313</v>
      </c>
    </row>
    <row r="39" spans="1:14" x14ac:dyDescent="0.25">
      <c r="A39" t="s">
        <v>1607</v>
      </c>
      <c r="B39" t="str">
        <f t="shared" si="0"/>
        <v>21</v>
      </c>
      <c r="C39" t="str">
        <f t="shared" si="1"/>
        <v>FEBRERO</v>
      </c>
      <c r="D39" s="40">
        <v>46040</v>
      </c>
      <c r="E39" s="20">
        <v>46074</v>
      </c>
      <c r="F39" t="s">
        <v>1609</v>
      </c>
      <c r="G39" s="4">
        <f t="shared" si="2"/>
        <v>816</v>
      </c>
      <c r="H39" t="s">
        <v>1610</v>
      </c>
      <c r="I39" t="s">
        <v>1763</v>
      </c>
      <c r="J39" t="str">
        <f>_xlfn.XLOOKUP($I39,RazónMuerte!$A:$A,RazónMuerte!B:B,"",0)</f>
        <v>Enfermedad degenerativa articular</v>
      </c>
      <c r="K39">
        <f>_xlfn.XLOOKUP($I39,RazónMuerte!$A:$A,RazónMuerte!C:C,"",0)</f>
        <v>0</v>
      </c>
      <c r="L39" t="str">
        <f>_xlfn.XLOOKUP($I39,RazónMuerte!$A:$A,RazónMuerte!D:D,"",0)</f>
        <v>No fatal injury (chronic/medical)</v>
      </c>
      <c r="N39" s="4">
        <v>981020033760473</v>
      </c>
    </row>
    <row r="40" spans="1:14" x14ac:dyDescent="0.25">
      <c r="A40" t="s">
        <v>1611</v>
      </c>
      <c r="B40" t="str">
        <f t="shared" si="0"/>
        <v>24</v>
      </c>
      <c r="C40" t="str">
        <f t="shared" si="1"/>
        <v>FEBRERO</v>
      </c>
      <c r="D40" s="40">
        <v>46074</v>
      </c>
      <c r="E40" s="20">
        <v>46077</v>
      </c>
      <c r="F40" t="s">
        <v>6</v>
      </c>
      <c r="G40" s="4">
        <f t="shared" si="2"/>
        <v>72</v>
      </c>
      <c r="H40" t="s">
        <v>1612</v>
      </c>
      <c r="I40" t="s">
        <v>1613</v>
      </c>
      <c r="J40" t="str">
        <f>_xlfn.XLOOKUP($I40,RazónMuerte!$A:$A,RazónMuerte!B:B,"",0)</f>
        <v>Fractura ósea</v>
      </c>
      <c r="K40" t="str">
        <f>_xlfn.XLOOKUP($I40,RazónMuerte!$A:$A,RazónMuerte!C:C,"",0)</f>
        <v>Slab</v>
      </c>
      <c r="L40" t="str">
        <f>_xlfn.XLOOKUP($I40,RazónMuerte!$A:$A,RazónMuerte!D:D,"",0)</f>
        <v>Fatal injury</v>
      </c>
      <c r="N40" s="4">
        <v>985141005091490</v>
      </c>
    </row>
    <row r="41" spans="1:14" x14ac:dyDescent="0.25">
      <c r="A41" t="s">
        <v>1614</v>
      </c>
      <c r="B41" t="str">
        <f t="shared" si="0"/>
        <v>25</v>
      </c>
      <c r="C41" t="str">
        <f t="shared" si="1"/>
        <v>FEBRERO</v>
      </c>
      <c r="D41" s="40">
        <v>46025</v>
      </c>
      <c r="E41" s="20">
        <v>46078</v>
      </c>
      <c r="F41" t="s">
        <v>98</v>
      </c>
      <c r="G41" s="4">
        <f t="shared" si="2"/>
        <v>1272</v>
      </c>
      <c r="H41" t="s">
        <v>1615</v>
      </c>
      <c r="I41" t="s">
        <v>1764</v>
      </c>
      <c r="J41" t="str">
        <f>_xlfn.XLOOKUP($I41,RazónMuerte!$A:$A,RazónMuerte!B:B,"",0)</f>
        <v>Otras / No especificada</v>
      </c>
      <c r="K41">
        <f>_xlfn.XLOOKUP($I41,RazónMuerte!$A:$A,RazónMuerte!C:C,"",0)</f>
        <v>0</v>
      </c>
      <c r="L41" t="str">
        <f>_xlfn.XLOOKUP($I41,RazónMuerte!$A:$A,RazónMuerte!D:D,"",0)</f>
        <v>No clasificado</v>
      </c>
      <c r="N41" s="4">
        <v>981020031381402</v>
      </c>
    </row>
    <row r="42" spans="1:14" x14ac:dyDescent="0.25">
      <c r="A42" t="s">
        <v>1614</v>
      </c>
      <c r="B42" t="str">
        <f t="shared" si="0"/>
        <v>25</v>
      </c>
      <c r="C42" t="str">
        <f t="shared" si="1"/>
        <v>FEBRERO</v>
      </c>
      <c r="D42" s="40">
        <v>46025</v>
      </c>
      <c r="E42" s="20">
        <v>46078</v>
      </c>
      <c r="F42" t="s">
        <v>812</v>
      </c>
      <c r="G42" s="4">
        <f t="shared" si="2"/>
        <v>1272</v>
      </c>
      <c r="H42" t="s">
        <v>1616</v>
      </c>
      <c r="I42" t="s">
        <v>1765</v>
      </c>
      <c r="J42" t="str">
        <f>_xlfn.XLOOKUP($I42,RazónMuerte!$A:$A,RazónMuerte!B:B,"",0)</f>
        <v>Enfermedad degenerativa articular</v>
      </c>
      <c r="K42">
        <f>_xlfn.XLOOKUP($I42,RazónMuerte!$A:$A,RazónMuerte!C:C,"",0)</f>
        <v>0</v>
      </c>
      <c r="L42" t="str">
        <f>_xlfn.XLOOKUP($I42,RazónMuerte!$A:$A,RazónMuerte!D:D,"",0)</f>
        <v>No fatal injury (chronic/medical)</v>
      </c>
      <c r="N42" s="4">
        <v>981020033547672</v>
      </c>
    </row>
    <row r="43" spans="1:14" x14ac:dyDescent="0.25">
      <c r="A43" t="s">
        <v>1614</v>
      </c>
      <c r="B43" t="str">
        <f t="shared" si="0"/>
        <v>25</v>
      </c>
      <c r="C43" t="str">
        <f t="shared" si="1"/>
        <v>FEBRERO</v>
      </c>
      <c r="D43" s="40">
        <v>45997</v>
      </c>
      <c r="E43" s="20">
        <v>46078</v>
      </c>
      <c r="F43" t="s">
        <v>11</v>
      </c>
      <c r="G43" s="4">
        <f t="shared" si="2"/>
        <v>1944</v>
      </c>
      <c r="H43" t="s">
        <v>1617</v>
      </c>
      <c r="I43" t="s">
        <v>1766</v>
      </c>
      <c r="J43" t="str">
        <f>_xlfn.XLOOKUP($I43,RazónMuerte!$A:$A,RazónMuerte!B:B,"",0)</f>
        <v>Enfermedad degenerativa articular</v>
      </c>
      <c r="K43">
        <f>_xlfn.XLOOKUP($I43,RazónMuerte!$A:$A,RazónMuerte!C:C,"",0)</f>
        <v>0</v>
      </c>
      <c r="L43" t="str">
        <f>_xlfn.XLOOKUP($I43,RazónMuerte!$A:$A,RazónMuerte!D:D,"",0)</f>
        <v>No fatal injury (chronic/medical)</v>
      </c>
      <c r="N43" s="4">
        <v>981020033145956</v>
      </c>
    </row>
    <row r="44" spans="1:14" x14ac:dyDescent="0.25">
      <c r="A44" t="s">
        <v>1614</v>
      </c>
      <c r="B44" t="str">
        <f t="shared" si="0"/>
        <v>25</v>
      </c>
      <c r="C44" t="str">
        <f t="shared" si="1"/>
        <v>FEBRERO</v>
      </c>
      <c r="D44" s="40">
        <v>46073</v>
      </c>
      <c r="E44" s="20">
        <v>46078</v>
      </c>
      <c r="F44" t="s">
        <v>812</v>
      </c>
      <c r="G44" s="4">
        <f t="shared" si="2"/>
        <v>120</v>
      </c>
      <c r="H44" t="s">
        <v>1618</v>
      </c>
      <c r="I44" t="s">
        <v>1767</v>
      </c>
      <c r="J44" t="str">
        <f>_xlfn.XLOOKUP($I44,RazónMuerte!$A:$A,RazónMuerte!B:B,"",0)</f>
        <v>Fractura ósea</v>
      </c>
      <c r="K44" t="str">
        <f>_xlfn.XLOOKUP($I44,RazónMuerte!$A:$A,RazónMuerte!C:C,"",0)</f>
        <v>Slab</v>
      </c>
      <c r="L44" t="str">
        <f>_xlfn.XLOOKUP($I44,RazónMuerte!$A:$A,RazónMuerte!D:D,"",0)</f>
        <v>No fatal injury (chronic/medical)</v>
      </c>
      <c r="N44" s="4">
        <v>981020051778761</v>
      </c>
    </row>
    <row r="45" spans="1:14" x14ac:dyDescent="0.25">
      <c r="A45" t="s">
        <v>1614</v>
      </c>
      <c r="B45" t="str">
        <f t="shared" si="0"/>
        <v>25</v>
      </c>
      <c r="C45" t="str">
        <f t="shared" si="1"/>
        <v>FEBRERO</v>
      </c>
      <c r="D45" s="40">
        <v>46005</v>
      </c>
      <c r="E45" s="20">
        <v>46078</v>
      </c>
      <c r="F45" t="s">
        <v>1373</v>
      </c>
      <c r="G45" s="4">
        <f t="shared" si="2"/>
        <v>1752</v>
      </c>
      <c r="H45" t="s">
        <v>1619</v>
      </c>
      <c r="I45" t="s">
        <v>1768</v>
      </c>
      <c r="J45" t="str">
        <f>_xlfn.XLOOKUP($I45,RazónMuerte!$A:$A,RazónMuerte!B:B,"",0)</f>
        <v>Fractura ósea</v>
      </c>
      <c r="K45" t="str">
        <f>_xlfn.XLOOKUP($I45,RazónMuerte!$A:$A,RazónMuerte!C:C,"",0)</f>
        <v>No especificado</v>
      </c>
      <c r="L45" t="str">
        <f>_xlfn.XLOOKUP($I45,RazónMuerte!$A:$A,RazónMuerte!D:D,"",0)</f>
        <v>Fatal injury</v>
      </c>
      <c r="N45" s="4">
        <v>981020033096047</v>
      </c>
    </row>
    <row r="46" spans="1:14" x14ac:dyDescent="0.25">
      <c r="A46" t="s">
        <v>1614</v>
      </c>
      <c r="B46" t="str">
        <f t="shared" si="0"/>
        <v>25</v>
      </c>
      <c r="C46" t="str">
        <f t="shared" si="1"/>
        <v>FEBRERO</v>
      </c>
      <c r="D46" s="40">
        <v>46053</v>
      </c>
      <c r="E46" s="20">
        <v>46078</v>
      </c>
      <c r="F46" t="s">
        <v>1620</v>
      </c>
      <c r="G46" s="4">
        <f t="shared" si="2"/>
        <v>600</v>
      </c>
      <c r="H46" t="s">
        <v>1621</v>
      </c>
      <c r="I46" t="s">
        <v>1769</v>
      </c>
      <c r="J46" t="str">
        <f>_xlfn.XLOOKUP($I46,RazónMuerte!$A:$A,RazónMuerte!B:B,"",0)</f>
        <v>Fractura ósea</v>
      </c>
      <c r="K46" t="str">
        <f>_xlfn.XLOOKUP($I46,RazónMuerte!$A:$A,RazónMuerte!C:C,"",0)</f>
        <v>No especificado</v>
      </c>
      <c r="L46" t="str">
        <f>_xlfn.XLOOKUP($I46,RazónMuerte!$A:$A,RazónMuerte!D:D,"",0)</f>
        <v>No fatal injury (chronic/medical)</v>
      </c>
      <c r="N46" s="4">
        <v>981020037354794</v>
      </c>
    </row>
    <row r="47" spans="1:14" x14ac:dyDescent="0.25">
      <c r="A47" t="s">
        <v>1622</v>
      </c>
      <c r="B47" t="str">
        <f t="shared" si="0"/>
        <v>27</v>
      </c>
      <c r="C47" t="str">
        <f t="shared" si="1"/>
        <v>FEBRERO</v>
      </c>
      <c r="D47" s="40">
        <v>45883</v>
      </c>
      <c r="E47" s="20">
        <v>46080</v>
      </c>
      <c r="F47" t="s">
        <v>71</v>
      </c>
      <c r="G47" s="4">
        <f t="shared" si="2"/>
        <v>4728</v>
      </c>
      <c r="H47" t="s">
        <v>1623</v>
      </c>
      <c r="I47" t="s">
        <v>1624</v>
      </c>
      <c r="J47" t="str">
        <f>_xlfn.XLOOKUP($I47,RazónMuerte!$A:$A,RazónMuerte!B:B,"",0)</f>
        <v>Fractura ósea</v>
      </c>
      <c r="K47" t="str">
        <f>_xlfn.XLOOKUP($I47,RazónMuerte!$A:$A,RazónMuerte!C:C,"",0)</f>
        <v>Sesamoideo</v>
      </c>
      <c r="L47" t="str">
        <f>_xlfn.XLOOKUP($I47,RazónMuerte!$A:$A,RazónMuerte!D:D,"",0)</f>
        <v>Fatal injury</v>
      </c>
      <c r="N47" s="4">
        <v>981020049642062</v>
      </c>
    </row>
    <row r="48" spans="1:14" x14ac:dyDescent="0.25">
      <c r="A48" t="s">
        <v>1622</v>
      </c>
      <c r="B48" t="str">
        <f t="shared" si="0"/>
        <v>27</v>
      </c>
      <c r="C48" t="str">
        <f t="shared" si="1"/>
        <v>FEBRERO</v>
      </c>
      <c r="D48" s="40">
        <v>46031</v>
      </c>
      <c r="E48" s="20">
        <v>46080</v>
      </c>
      <c r="F48" t="s">
        <v>1234</v>
      </c>
      <c r="G48" s="4">
        <f t="shared" si="2"/>
        <v>1176</v>
      </c>
      <c r="H48" t="s">
        <v>1625</v>
      </c>
      <c r="I48" t="s">
        <v>1626</v>
      </c>
      <c r="J48" t="str">
        <f>_xlfn.XLOOKUP($I48,RazónMuerte!$A:$A,RazónMuerte!B:B,"",0)</f>
        <v>Enfermedad degenerativa articular</v>
      </c>
      <c r="K48">
        <f>_xlfn.XLOOKUP($I48,RazónMuerte!$A:$A,RazónMuerte!C:C,"",0)</f>
        <v>0</v>
      </c>
      <c r="L48" t="str">
        <f>_xlfn.XLOOKUP($I48,RazónMuerte!$A:$A,RazónMuerte!D:D,"",0)</f>
        <v>No fatal injury (chronic/medical)</v>
      </c>
      <c r="N48" s="4">
        <v>981020027783295</v>
      </c>
    </row>
    <row r="49" spans="1:14" x14ac:dyDescent="0.25">
      <c r="A49" t="s">
        <v>1627</v>
      </c>
      <c r="B49" t="str">
        <f t="shared" si="0"/>
        <v>28</v>
      </c>
      <c r="C49" t="str">
        <f t="shared" si="1"/>
        <v>FEBRERO</v>
      </c>
      <c r="D49" s="40">
        <v>0</v>
      </c>
      <c r="E49" s="20">
        <v>46081</v>
      </c>
      <c r="F49" t="s">
        <v>1609</v>
      </c>
      <c r="G49" s="4">
        <f t="shared" si="2"/>
        <v>0</v>
      </c>
      <c r="H49" t="s">
        <v>1628</v>
      </c>
      <c r="I49" t="s">
        <v>1629</v>
      </c>
      <c r="J49" t="str">
        <f>_xlfn.XLOOKUP($I49,RazónMuerte!$A:$A,RazónMuerte!B:B,"",0)</f>
        <v>Otras / No especificada</v>
      </c>
      <c r="K49">
        <f>_xlfn.XLOOKUP($I49,RazónMuerte!$A:$A,RazónMuerte!C:C,"",0)</f>
        <v>0</v>
      </c>
      <c r="L49" t="str">
        <f>_xlfn.XLOOKUP($I49,RazónMuerte!$A:$A,RazónMuerte!D:D,"",0)</f>
        <v>Fatal injury</v>
      </c>
      <c r="N49" s="4">
        <v>981020023444970</v>
      </c>
    </row>
    <row r="50" spans="1:14" x14ac:dyDescent="0.25">
      <c r="A50" t="s">
        <v>1627</v>
      </c>
      <c r="B50" t="str">
        <f t="shared" si="0"/>
        <v>28</v>
      </c>
      <c r="C50" t="str">
        <f t="shared" si="1"/>
        <v>FEBRERO</v>
      </c>
      <c r="D50" s="40">
        <v>0</v>
      </c>
      <c r="E50" s="20">
        <v>46081</v>
      </c>
      <c r="F50" t="s">
        <v>1630</v>
      </c>
      <c r="G50" s="4">
        <f t="shared" si="2"/>
        <v>0</v>
      </c>
      <c r="H50" t="s">
        <v>1631</v>
      </c>
      <c r="I50" t="s">
        <v>1632</v>
      </c>
      <c r="J50" t="str">
        <f>_xlfn.XLOOKUP($I50,RazónMuerte!$A:$A,RazónMuerte!B:B,"",0)</f>
        <v>Fractura ósea</v>
      </c>
      <c r="K50" t="str">
        <f>_xlfn.XLOOKUP($I50,RazónMuerte!$A:$A,RazónMuerte!C:C,"",0)</f>
        <v>Rodilla / Carpal</v>
      </c>
      <c r="L50" t="str">
        <f>_xlfn.XLOOKUP($I50,RazónMuerte!$A:$A,RazónMuerte!D:D,"",0)</f>
        <v>Fatal injury</v>
      </c>
      <c r="N50" s="4">
        <v>981020033598380</v>
      </c>
    </row>
    <row r="51" spans="1:14" x14ac:dyDescent="0.25">
      <c r="A51" t="s">
        <v>1633</v>
      </c>
      <c r="B51" t="str">
        <f t="shared" si="0"/>
        <v>2</v>
      </c>
      <c r="C51" t="str">
        <f t="shared" si="1"/>
        <v>MARZO</v>
      </c>
      <c r="D51" s="40">
        <v>0</v>
      </c>
      <c r="E51" s="20">
        <v>46083</v>
      </c>
      <c r="F51" t="s">
        <v>1634</v>
      </c>
      <c r="G51" s="4">
        <f t="shared" si="2"/>
        <v>0</v>
      </c>
      <c r="H51" t="s">
        <v>1635</v>
      </c>
      <c r="I51" t="s">
        <v>1770</v>
      </c>
      <c r="J51" t="str">
        <f>_xlfn.XLOOKUP($I51,RazónMuerte!$A:$A,RazónMuerte!B:B,"",0)</f>
        <v>Enfermedad degenerativa articular</v>
      </c>
      <c r="K51">
        <f>_xlfn.XLOOKUP($I51,RazónMuerte!$A:$A,RazónMuerte!C:C,"",0)</f>
        <v>0</v>
      </c>
      <c r="L51" t="str">
        <f>_xlfn.XLOOKUP($I51,RazónMuerte!$A:$A,RazónMuerte!D:D,"",0)</f>
        <v>No fatal injury (chronic/medical)</v>
      </c>
      <c r="N51" s="4">
        <v>981020039342287</v>
      </c>
    </row>
    <row r="52" spans="1:14" x14ac:dyDescent="0.25">
      <c r="A52" t="s">
        <v>1633</v>
      </c>
      <c r="B52" t="str">
        <f t="shared" si="0"/>
        <v>2</v>
      </c>
      <c r="C52" t="str">
        <f t="shared" si="1"/>
        <v>MARZO</v>
      </c>
      <c r="D52" s="40">
        <v>0</v>
      </c>
      <c r="E52" s="20">
        <v>46083</v>
      </c>
      <c r="F52" t="s">
        <v>1634</v>
      </c>
      <c r="G52" s="4">
        <f t="shared" si="2"/>
        <v>0</v>
      </c>
      <c r="H52" t="s">
        <v>1636</v>
      </c>
      <c r="I52" t="s">
        <v>1771</v>
      </c>
      <c r="J52" t="str">
        <f>_xlfn.XLOOKUP($I52,RazónMuerte!$A:$A,RazónMuerte!B:B,"",0)</f>
        <v>Enfermedad degenerativa articular</v>
      </c>
      <c r="K52">
        <f>_xlfn.XLOOKUP($I52,RazónMuerte!$A:$A,RazónMuerte!C:C,"",0)</f>
        <v>0</v>
      </c>
      <c r="L52" t="str">
        <f>_xlfn.XLOOKUP($I52,RazónMuerte!$A:$A,RazónMuerte!D:D,"",0)</f>
        <v>No fatal injury (chronic/medical)</v>
      </c>
      <c r="N52" s="4">
        <v>981020041818946</v>
      </c>
    </row>
    <row r="53" spans="1:14" x14ac:dyDescent="0.25">
      <c r="A53" t="s">
        <v>1633</v>
      </c>
      <c r="B53" t="str">
        <f t="shared" si="0"/>
        <v>2</v>
      </c>
      <c r="C53" t="str">
        <f t="shared" si="1"/>
        <v>MARZO</v>
      </c>
      <c r="D53" s="40">
        <v>0</v>
      </c>
      <c r="E53" s="20">
        <v>46083</v>
      </c>
      <c r="F53" t="s">
        <v>1634</v>
      </c>
      <c r="G53" s="4">
        <f t="shared" si="2"/>
        <v>0</v>
      </c>
      <c r="H53" t="s">
        <v>1637</v>
      </c>
      <c r="I53" t="s">
        <v>1772</v>
      </c>
      <c r="J53" t="str">
        <f>_xlfn.XLOOKUP($I53,RazónMuerte!$A:$A,RazónMuerte!B:B,"",0)</f>
        <v>Enfermedad degenerativa articular</v>
      </c>
      <c r="K53">
        <f>_xlfn.XLOOKUP($I53,RazónMuerte!$A:$A,RazónMuerte!C:C,"",0)</f>
        <v>0</v>
      </c>
      <c r="L53" t="str">
        <f>_xlfn.XLOOKUP($I53,RazónMuerte!$A:$A,RazónMuerte!D:D,"",0)</f>
        <v>No fatal injury (chronic/medical)</v>
      </c>
      <c r="N53" s="4">
        <v>981020045150174</v>
      </c>
    </row>
    <row r="54" spans="1:14" x14ac:dyDescent="0.25">
      <c r="A54" t="s">
        <v>1633</v>
      </c>
      <c r="B54" t="str">
        <f t="shared" si="0"/>
        <v>2</v>
      </c>
      <c r="C54" t="str">
        <f t="shared" si="1"/>
        <v>MARZO</v>
      </c>
      <c r="D54" s="40">
        <v>0</v>
      </c>
      <c r="E54" s="20">
        <v>46083</v>
      </c>
      <c r="F54" t="s">
        <v>1638</v>
      </c>
      <c r="G54" s="4">
        <f t="shared" si="2"/>
        <v>0</v>
      </c>
      <c r="H54" t="s">
        <v>1639</v>
      </c>
      <c r="I54" t="s">
        <v>1640</v>
      </c>
      <c r="J54" t="str">
        <f>_xlfn.XLOOKUP($I54,RazónMuerte!$A:$A,RazónMuerte!B:B,"",0)</f>
        <v>Enfermedad degenerativa articular</v>
      </c>
      <c r="K54">
        <f>_xlfn.XLOOKUP($I54,RazónMuerte!$A:$A,RazónMuerte!C:C,"",0)</f>
        <v>0</v>
      </c>
      <c r="L54" t="str">
        <f>_xlfn.XLOOKUP($I54,RazónMuerte!$A:$A,RazónMuerte!D:D,"",0)</f>
        <v>No fatal injury (chronic/medical)</v>
      </c>
      <c r="N54" s="4">
        <v>985141001469881</v>
      </c>
    </row>
    <row r="55" spans="1:14" x14ac:dyDescent="0.25">
      <c r="A55" t="s">
        <v>1641</v>
      </c>
      <c r="B55" t="str">
        <f t="shared" si="0"/>
        <v>3</v>
      </c>
      <c r="C55" t="str">
        <f t="shared" si="1"/>
        <v>MARZO</v>
      </c>
      <c r="D55" s="40">
        <v>0</v>
      </c>
      <c r="E55" s="20">
        <v>46084</v>
      </c>
      <c r="F55" t="s">
        <v>1634</v>
      </c>
      <c r="G55" s="4">
        <f t="shared" si="2"/>
        <v>0</v>
      </c>
      <c r="H55" t="s">
        <v>1642</v>
      </c>
      <c r="I55" t="s">
        <v>1773</v>
      </c>
      <c r="J55" t="str">
        <f>_xlfn.XLOOKUP($I55,RazónMuerte!$A:$A,RazónMuerte!B:B,"",0)</f>
        <v>Enfermedad degenerativa articular</v>
      </c>
      <c r="K55">
        <f>_xlfn.XLOOKUP($I55,RazónMuerte!$A:$A,RazónMuerte!C:C,"",0)</f>
        <v>0</v>
      </c>
      <c r="L55" t="str">
        <f>_xlfn.XLOOKUP($I55,RazónMuerte!$A:$A,RazónMuerte!D:D,"",0)</f>
        <v>No fatal injury (chronic/medical)</v>
      </c>
      <c r="N55" s="4">
        <v>981020031372896</v>
      </c>
    </row>
    <row r="56" spans="1:14" x14ac:dyDescent="0.25">
      <c r="A56" t="s">
        <v>1641</v>
      </c>
      <c r="B56" t="str">
        <f t="shared" si="0"/>
        <v>3</v>
      </c>
      <c r="C56" t="str">
        <f t="shared" si="1"/>
        <v>MARZO</v>
      </c>
      <c r="D56" s="40">
        <v>46058</v>
      </c>
      <c r="E56" s="20">
        <v>46084</v>
      </c>
      <c r="F56" t="s">
        <v>1643</v>
      </c>
      <c r="G56" s="4">
        <f t="shared" si="2"/>
        <v>624</v>
      </c>
      <c r="H56" t="s">
        <v>1644</v>
      </c>
      <c r="I56" t="s">
        <v>1774</v>
      </c>
      <c r="J56" t="str">
        <f>_xlfn.XLOOKUP($I56,RazónMuerte!$A:$A,RazónMuerte!B:B,"",0)</f>
        <v>Lesión de ligamentos/tendones</v>
      </c>
      <c r="K56">
        <f>_xlfn.XLOOKUP($I56,RazónMuerte!$A:$A,RazónMuerte!C:C,"",0)</f>
        <v>0</v>
      </c>
      <c r="L56" t="str">
        <f>_xlfn.XLOOKUP($I56,RazónMuerte!$A:$A,RazónMuerte!D:D,"",0)</f>
        <v>No clasificado</v>
      </c>
      <c r="N56" s="4">
        <v>981020045133787</v>
      </c>
    </row>
    <row r="57" spans="1:14" x14ac:dyDescent="0.25">
      <c r="A57" t="s">
        <v>1645</v>
      </c>
      <c r="B57" t="str">
        <f t="shared" si="0"/>
        <v>4</v>
      </c>
      <c r="C57" t="str">
        <f t="shared" si="1"/>
        <v>MARZO</v>
      </c>
      <c r="D57" s="40">
        <v>0</v>
      </c>
      <c r="E57" s="20">
        <v>46085</v>
      </c>
      <c r="F57" t="s">
        <v>789</v>
      </c>
      <c r="G57" s="4">
        <f t="shared" si="2"/>
        <v>0</v>
      </c>
      <c r="H57" t="s">
        <v>1646</v>
      </c>
      <c r="I57" t="s">
        <v>1647</v>
      </c>
      <c r="J57" t="str">
        <f>_xlfn.XLOOKUP($I57,RazónMuerte!$A:$A,RazónMuerte!B:B,"",0)</f>
        <v>Enfermedad degenerativa articular</v>
      </c>
      <c r="K57">
        <f>_xlfn.XLOOKUP($I57,RazónMuerte!$A:$A,RazónMuerte!C:C,"",0)</f>
        <v>0</v>
      </c>
      <c r="L57" t="str">
        <f>_xlfn.XLOOKUP($I57,RazónMuerte!$A:$A,RazónMuerte!D:D,"",0)</f>
        <v>No fatal injury (chronic/medical)</v>
      </c>
      <c r="N57" s="4">
        <v>981020039341590</v>
      </c>
    </row>
    <row r="58" spans="1:14" x14ac:dyDescent="0.25">
      <c r="A58" t="s">
        <v>1645</v>
      </c>
      <c r="B58" t="str">
        <f t="shared" si="0"/>
        <v>4</v>
      </c>
      <c r="C58" t="str">
        <f t="shared" si="1"/>
        <v>MARZO</v>
      </c>
      <c r="D58" s="40">
        <v>0</v>
      </c>
      <c r="E58" s="20">
        <v>46085</v>
      </c>
      <c r="F58" t="s">
        <v>48</v>
      </c>
      <c r="G58" s="4">
        <f t="shared" si="2"/>
        <v>0</v>
      </c>
      <c r="H58" t="s">
        <v>1648</v>
      </c>
      <c r="I58" t="s">
        <v>1649</v>
      </c>
      <c r="J58" t="str">
        <f>_xlfn.XLOOKUP($I58,RazónMuerte!$A:$A,RazónMuerte!B:B,"",0)</f>
        <v>Fractura ósea</v>
      </c>
      <c r="K58" t="str">
        <f>_xlfn.XLOOKUP($I58,RazónMuerte!$A:$A,RazónMuerte!C:C,"",0)</f>
        <v>Rodilla / Carpal</v>
      </c>
      <c r="L58" t="str">
        <f>_xlfn.XLOOKUP($I58,RazónMuerte!$A:$A,RazónMuerte!D:D,"",0)</f>
        <v>Fatal injury</v>
      </c>
      <c r="N58" s="4">
        <v>981020045137174</v>
      </c>
    </row>
    <row r="59" spans="1:14" x14ac:dyDescent="0.25">
      <c r="A59" t="s">
        <v>1650</v>
      </c>
      <c r="B59" t="str">
        <f t="shared" si="0"/>
        <v>5</v>
      </c>
      <c r="C59" t="str">
        <f t="shared" si="1"/>
        <v>MARZO</v>
      </c>
      <c r="D59" s="40">
        <v>0</v>
      </c>
      <c r="E59" s="20">
        <v>46086</v>
      </c>
      <c r="F59" t="s">
        <v>1651</v>
      </c>
      <c r="G59" s="4">
        <f t="shared" si="2"/>
        <v>0</v>
      </c>
      <c r="H59" t="s">
        <v>1652</v>
      </c>
      <c r="I59" t="s">
        <v>1775</v>
      </c>
      <c r="J59" t="str">
        <f>_xlfn.XLOOKUP($I59,RazónMuerte!$A:$A,RazónMuerte!B:B,"",0)</f>
        <v>Enfermedad degenerativa articular</v>
      </c>
      <c r="K59">
        <f>_xlfn.XLOOKUP($I59,RazónMuerte!$A:$A,RazónMuerte!C:C,"",0)</f>
        <v>0</v>
      </c>
      <c r="L59" t="str">
        <f>_xlfn.XLOOKUP($I59,RazónMuerte!$A:$A,RazónMuerte!D:D,"",0)</f>
        <v>No fatal injury (chronic/medical)</v>
      </c>
      <c r="N59" s="4">
        <v>981020037656362</v>
      </c>
    </row>
    <row r="60" spans="1:14" x14ac:dyDescent="0.25">
      <c r="A60" t="s">
        <v>1653</v>
      </c>
      <c r="B60" t="str">
        <f t="shared" si="0"/>
        <v>7</v>
      </c>
      <c r="C60" t="str">
        <f t="shared" si="1"/>
        <v>MARZO</v>
      </c>
      <c r="D60" s="40">
        <v>0</v>
      </c>
      <c r="E60" s="20">
        <v>46088</v>
      </c>
      <c r="F60" t="s">
        <v>1654</v>
      </c>
      <c r="G60" s="4">
        <f t="shared" si="2"/>
        <v>0</v>
      </c>
      <c r="H60" t="s">
        <v>1655</v>
      </c>
      <c r="I60" t="s">
        <v>1656</v>
      </c>
      <c r="J60" t="str">
        <f>_xlfn.XLOOKUP($I60,RazónMuerte!$A:$A,RazónMuerte!B:B,"",0)</f>
        <v>Otras / No especificada</v>
      </c>
      <c r="K60">
        <f>_xlfn.XLOOKUP($I60,RazónMuerte!$A:$A,RazónMuerte!C:C,"",0)</f>
        <v>0</v>
      </c>
      <c r="L60" t="str">
        <f>_xlfn.XLOOKUP($I60,RazónMuerte!$A:$A,RazónMuerte!D:D,"",0)</f>
        <v>No clasificado</v>
      </c>
      <c r="N60" s="4">
        <v>981020041784540</v>
      </c>
    </row>
    <row r="61" spans="1:14" x14ac:dyDescent="0.25">
      <c r="A61" t="s">
        <v>1653</v>
      </c>
      <c r="B61" t="str">
        <f t="shared" si="0"/>
        <v>7</v>
      </c>
      <c r="C61" t="str">
        <f t="shared" si="1"/>
        <v>MARZO</v>
      </c>
      <c r="D61" s="40">
        <v>0</v>
      </c>
      <c r="E61" s="20">
        <v>46088</v>
      </c>
      <c r="F61" t="s">
        <v>261</v>
      </c>
      <c r="G61" s="4">
        <f t="shared" si="2"/>
        <v>0</v>
      </c>
      <c r="H61" t="s">
        <v>1657</v>
      </c>
      <c r="I61" t="s">
        <v>1658</v>
      </c>
      <c r="J61" t="str">
        <f>_xlfn.XLOOKUP($I61,RazónMuerte!$A:$A,RazónMuerte!B:B,"",0)</f>
        <v>Fractura ósea</v>
      </c>
      <c r="K61" t="str">
        <f>_xlfn.XLOOKUP($I61,RazónMuerte!$A:$A,RazónMuerte!C:C,"",0)</f>
        <v>Sesamoideo</v>
      </c>
      <c r="L61" t="str">
        <f>_xlfn.XLOOKUP($I61,RazónMuerte!$A:$A,RazónMuerte!D:D,"",0)</f>
        <v>Fatal injury</v>
      </c>
      <c r="N61" s="4">
        <v>933000320594551</v>
      </c>
    </row>
    <row r="62" spans="1:14" x14ac:dyDescent="0.25">
      <c r="A62" t="s">
        <v>1659</v>
      </c>
      <c r="B62" t="str">
        <f t="shared" si="0"/>
        <v>9</v>
      </c>
      <c r="C62" t="str">
        <f t="shared" si="1"/>
        <v>MARZO</v>
      </c>
      <c r="D62" s="40">
        <v>0</v>
      </c>
      <c r="E62" s="20">
        <v>46090</v>
      </c>
      <c r="F62" t="s">
        <v>1660</v>
      </c>
      <c r="G62" s="4">
        <f t="shared" si="2"/>
        <v>0</v>
      </c>
      <c r="H62" t="s">
        <v>1661</v>
      </c>
      <c r="I62" t="s">
        <v>1776</v>
      </c>
      <c r="J62" t="str">
        <f>_xlfn.XLOOKUP($I62,RazónMuerte!$A:$A,RazónMuerte!B:B,"",0)</f>
        <v>Otras / No especificada</v>
      </c>
      <c r="K62">
        <f>_xlfn.XLOOKUP($I62,RazónMuerte!$A:$A,RazónMuerte!C:C,"",0)</f>
        <v>0</v>
      </c>
      <c r="L62" t="str">
        <f>_xlfn.XLOOKUP($I62,RazónMuerte!$A:$A,RazónMuerte!D:D,"",0)</f>
        <v>No clasificado</v>
      </c>
      <c r="N62" s="4">
        <v>981020027308459</v>
      </c>
    </row>
    <row r="63" spans="1:14" x14ac:dyDescent="0.25">
      <c r="A63" t="s">
        <v>1662</v>
      </c>
      <c r="B63" t="str">
        <f t="shared" si="0"/>
        <v>10</v>
      </c>
      <c r="C63" t="str">
        <f t="shared" si="1"/>
        <v>MARZO</v>
      </c>
      <c r="D63" s="40">
        <v>0</v>
      </c>
      <c r="E63" s="20">
        <v>46091</v>
      </c>
      <c r="F63" t="s">
        <v>1663</v>
      </c>
      <c r="G63" s="4">
        <f t="shared" si="2"/>
        <v>0</v>
      </c>
      <c r="H63" t="s">
        <v>1664</v>
      </c>
      <c r="I63" t="s">
        <v>1665</v>
      </c>
      <c r="J63" t="str">
        <f>_xlfn.XLOOKUP($I63,RazónMuerte!$A:$A,RazónMuerte!B:B,"",0)</f>
        <v>Otras / No especificada</v>
      </c>
      <c r="K63">
        <f>_xlfn.XLOOKUP($I63,RazónMuerte!$A:$A,RazónMuerte!C:C,"",0)</f>
        <v>0</v>
      </c>
      <c r="L63" t="str">
        <f>_xlfn.XLOOKUP($I63,RazónMuerte!$A:$A,RazónMuerte!D:D,"",0)</f>
        <v>No clasificado</v>
      </c>
      <c r="N63" s="4">
        <v>981020051127073</v>
      </c>
    </row>
    <row r="64" spans="1:14" x14ac:dyDescent="0.25">
      <c r="A64" t="s">
        <v>1662</v>
      </c>
      <c r="B64" t="str">
        <f t="shared" si="0"/>
        <v>10</v>
      </c>
      <c r="C64" t="str">
        <f t="shared" si="1"/>
        <v>MARZO</v>
      </c>
      <c r="D64" s="40">
        <v>46031</v>
      </c>
      <c r="E64" s="20">
        <v>46091</v>
      </c>
      <c r="F64" t="s">
        <v>349</v>
      </c>
      <c r="G64" s="4">
        <f t="shared" si="2"/>
        <v>1440</v>
      </c>
      <c r="H64" t="s">
        <v>1666</v>
      </c>
      <c r="I64" t="s">
        <v>1667</v>
      </c>
      <c r="J64" t="str">
        <f>_xlfn.XLOOKUP($I64,RazónMuerte!$A:$A,RazónMuerte!B:B,"",0)</f>
        <v>Otras / No especificada</v>
      </c>
      <c r="K64">
        <f>_xlfn.XLOOKUP($I64,RazónMuerte!$A:$A,RazónMuerte!C:C,"",0)</f>
        <v>0</v>
      </c>
      <c r="L64" t="str">
        <f>_xlfn.XLOOKUP($I64,RazónMuerte!$A:$A,RazónMuerte!D:D,"",0)</f>
        <v>No clasificado</v>
      </c>
      <c r="N64" s="4">
        <v>981020051548601</v>
      </c>
    </row>
    <row r="65" spans="1:14" x14ac:dyDescent="0.25">
      <c r="A65" t="s">
        <v>1668</v>
      </c>
      <c r="B65" t="str">
        <f t="shared" si="0"/>
        <v>12</v>
      </c>
      <c r="C65" t="str">
        <f t="shared" si="1"/>
        <v>MARZO</v>
      </c>
      <c r="D65" s="40">
        <v>0</v>
      </c>
      <c r="E65" s="20">
        <v>46093</v>
      </c>
      <c r="F65" t="s">
        <v>106</v>
      </c>
      <c r="G65" s="4">
        <f t="shared" si="2"/>
        <v>0</v>
      </c>
      <c r="H65" t="s">
        <v>1669</v>
      </c>
      <c r="I65" t="s">
        <v>1670</v>
      </c>
      <c r="J65" t="str">
        <f>_xlfn.XLOOKUP($I65,RazónMuerte!$A:$A,RazónMuerte!B:B,"",0)</f>
        <v>Enfermedad degenerativa articular</v>
      </c>
      <c r="K65">
        <f>_xlfn.XLOOKUP($I65,RazónMuerte!$A:$A,RazónMuerte!C:C,"",0)</f>
        <v>0</v>
      </c>
      <c r="L65" t="str">
        <f>_xlfn.XLOOKUP($I65,RazónMuerte!$A:$A,RazónMuerte!D:D,"",0)</f>
        <v>No fatal injury (chronic/medical)</v>
      </c>
      <c r="N65" s="4">
        <v>981020033091440</v>
      </c>
    </row>
    <row r="66" spans="1:14" x14ac:dyDescent="0.25">
      <c r="A66" t="s">
        <v>1671</v>
      </c>
      <c r="B66" t="str">
        <f t="shared" si="0"/>
        <v>16</v>
      </c>
      <c r="C66" t="str">
        <f t="shared" si="1"/>
        <v>MARZO</v>
      </c>
      <c r="D66" s="40">
        <v>45918</v>
      </c>
      <c r="E66" s="20">
        <v>46097</v>
      </c>
      <c r="F66" t="s">
        <v>1672</v>
      </c>
      <c r="G66" s="4">
        <f t="shared" si="2"/>
        <v>4296</v>
      </c>
      <c r="H66" t="s">
        <v>1673</v>
      </c>
      <c r="I66" t="s">
        <v>1674</v>
      </c>
      <c r="J66" t="str">
        <f>_xlfn.XLOOKUP($I66,RazónMuerte!$A:$A,RazónMuerte!B:B,"",0)</f>
        <v>Enfermedad degenerativa articular</v>
      </c>
      <c r="K66">
        <f>_xlfn.XLOOKUP($I66,RazónMuerte!$A:$A,RazónMuerte!C:C,"",0)</f>
        <v>0</v>
      </c>
      <c r="L66" t="str">
        <f>_xlfn.XLOOKUP($I66,RazónMuerte!$A:$A,RazónMuerte!D:D,"",0)</f>
        <v>No fatal injury (chronic/medical)</v>
      </c>
      <c r="N66" s="4">
        <v>981020049657671</v>
      </c>
    </row>
    <row r="67" spans="1:14" x14ac:dyDescent="0.25">
      <c r="A67" t="s">
        <v>1675</v>
      </c>
      <c r="B67" t="str">
        <f t="shared" ref="B67:B101" si="3">LEFT(A67,FIND("-",A67)-1)</f>
        <v>18</v>
      </c>
      <c r="C67" t="str">
        <f t="shared" ref="C67:C101" si="4">MID(A67,FIND("-",A67)+1,FIND("-",A67,FIND("-",A67)+1)-FIND("-",A67)-1)</f>
        <v>MARZO</v>
      </c>
      <c r="D67" s="40">
        <v>46094</v>
      </c>
      <c r="E67" s="20">
        <v>46099</v>
      </c>
      <c r="F67" t="s">
        <v>28</v>
      </c>
      <c r="G67" s="4">
        <f t="shared" ref="G67:G101" si="5">IFERROR(IF(D67=0,0,(E67-D67)*24),0)</f>
        <v>120</v>
      </c>
      <c r="H67" t="s">
        <v>1676</v>
      </c>
      <c r="I67" t="s">
        <v>661</v>
      </c>
      <c r="J67" t="str">
        <f>_xlfn.XLOOKUP($I67,RazónMuerte!$A:$A,RazónMuerte!B:B,"",0)</f>
        <v>Fractura ósea</v>
      </c>
      <c r="K67" t="str">
        <f>_xlfn.XLOOKUP($I67,RazónMuerte!$A:$A,RazónMuerte!C:C,"",0)</f>
        <v>Rodilla / Carpal</v>
      </c>
      <c r="L67" t="str">
        <f>_xlfn.XLOOKUP($I67,RazónMuerte!$A:$A,RazónMuerte!D:D,"",0)</f>
        <v>Fatal injury</v>
      </c>
      <c r="N67" s="4">
        <v>981020051767776</v>
      </c>
    </row>
    <row r="68" spans="1:14" x14ac:dyDescent="0.25">
      <c r="A68" t="s">
        <v>1675</v>
      </c>
      <c r="B68" t="str">
        <f t="shared" si="3"/>
        <v>18</v>
      </c>
      <c r="C68" t="str">
        <f t="shared" si="4"/>
        <v>MARZO</v>
      </c>
      <c r="D68" s="40">
        <v>46093</v>
      </c>
      <c r="E68" s="20">
        <v>46099</v>
      </c>
      <c r="F68" t="s">
        <v>47</v>
      </c>
      <c r="G68" s="4">
        <f t="shared" si="5"/>
        <v>144</v>
      </c>
      <c r="H68" t="s">
        <v>1677</v>
      </c>
      <c r="I68" t="s">
        <v>1678</v>
      </c>
      <c r="J68" t="str">
        <f>_xlfn.XLOOKUP($I68,RazónMuerte!$A:$A,RazónMuerte!B:B,"",0)</f>
        <v>Fractura ósea</v>
      </c>
      <c r="K68" t="str">
        <f>_xlfn.XLOOKUP($I68,RazónMuerte!$A:$A,RazónMuerte!C:C,"",0)</f>
        <v>Caña / Cannon bone</v>
      </c>
      <c r="L68" t="str">
        <f>_xlfn.XLOOKUP($I68,RazónMuerte!$A:$A,RazónMuerte!D:D,"",0)</f>
        <v>No fatal injury (chronic/medical)</v>
      </c>
      <c r="N68" s="4">
        <v>981020021896035</v>
      </c>
    </row>
    <row r="69" spans="1:14" x14ac:dyDescent="0.25">
      <c r="A69" t="s">
        <v>1679</v>
      </c>
      <c r="B69" t="str">
        <f t="shared" si="3"/>
        <v>21</v>
      </c>
      <c r="C69" t="str">
        <f t="shared" si="4"/>
        <v>MARZO</v>
      </c>
      <c r="D69" s="40">
        <v>46095</v>
      </c>
      <c r="E69" s="20">
        <v>46102</v>
      </c>
      <c r="F69" t="s">
        <v>991</v>
      </c>
      <c r="G69" s="4">
        <f t="shared" si="5"/>
        <v>168</v>
      </c>
      <c r="H69" t="s">
        <v>1680</v>
      </c>
      <c r="I69" t="s">
        <v>1777</v>
      </c>
      <c r="J69" t="str">
        <f>_xlfn.XLOOKUP($I69,RazónMuerte!$A:$A,RazónMuerte!B:B,"",0)</f>
        <v>Fractura ósea</v>
      </c>
      <c r="K69" t="str">
        <f>_xlfn.XLOOKUP($I69,RazónMuerte!$A:$A,RazónMuerte!C:C,"",0)</f>
        <v>Slab</v>
      </c>
      <c r="L69" t="str">
        <f>_xlfn.XLOOKUP($I69,RazónMuerte!$A:$A,RazónMuerte!D:D,"",0)</f>
        <v>Fatal injury</v>
      </c>
      <c r="N69" s="4">
        <v>981020045100518</v>
      </c>
    </row>
    <row r="70" spans="1:14" x14ac:dyDescent="0.25">
      <c r="A70" t="s">
        <v>1679</v>
      </c>
      <c r="B70" t="str">
        <f t="shared" si="3"/>
        <v>21</v>
      </c>
      <c r="C70" t="str">
        <f t="shared" si="4"/>
        <v>MARZO</v>
      </c>
      <c r="D70" s="40">
        <v>46102</v>
      </c>
      <c r="E70" s="20">
        <v>46102</v>
      </c>
      <c r="F70" t="s">
        <v>106</v>
      </c>
      <c r="G70" s="4">
        <f t="shared" si="5"/>
        <v>0</v>
      </c>
      <c r="H70" t="s">
        <v>1681</v>
      </c>
      <c r="I70" t="s">
        <v>1682</v>
      </c>
      <c r="J70" t="str">
        <f>_xlfn.XLOOKUP($I70,RazónMuerte!$A:$A,RazónMuerte!B:B,"",0)</f>
        <v>Lesión de ligamentos/tendones</v>
      </c>
      <c r="K70">
        <f>_xlfn.XLOOKUP($I70,RazónMuerte!$A:$A,RazónMuerte!C:C,"",0)</f>
        <v>0</v>
      </c>
      <c r="L70" t="str">
        <f>_xlfn.XLOOKUP($I70,RazónMuerte!$A:$A,RazónMuerte!D:D,"",0)</f>
        <v>Fatal injury</v>
      </c>
      <c r="N70" s="4">
        <v>981020035715400</v>
      </c>
    </row>
    <row r="71" spans="1:14" x14ac:dyDescent="0.25">
      <c r="A71" t="s">
        <v>1683</v>
      </c>
      <c r="B71" t="str">
        <f t="shared" si="3"/>
        <v>22</v>
      </c>
      <c r="C71" t="str">
        <f t="shared" si="4"/>
        <v>MARZO</v>
      </c>
      <c r="D71" s="40">
        <v>0</v>
      </c>
      <c r="E71" s="20">
        <v>46103</v>
      </c>
      <c r="F71" t="s">
        <v>11</v>
      </c>
      <c r="G71" s="4">
        <f t="shared" si="5"/>
        <v>0</v>
      </c>
      <c r="H71" t="s">
        <v>1684</v>
      </c>
      <c r="I71" t="s">
        <v>1685</v>
      </c>
      <c r="J71" t="str">
        <f>_xlfn.XLOOKUP($I71,RazónMuerte!$A:$A,RazónMuerte!B:B,"",0)</f>
        <v>Otras / No especificada</v>
      </c>
      <c r="K71">
        <f>_xlfn.XLOOKUP($I71,RazónMuerte!$A:$A,RazónMuerte!C:C,"",0)</f>
        <v>0</v>
      </c>
      <c r="L71" t="str">
        <f>_xlfn.XLOOKUP($I71,RazónMuerte!$A:$A,RazónMuerte!D:D,"",0)</f>
        <v>No clasificado</v>
      </c>
      <c r="N71" s="4">
        <v>981020027288932</v>
      </c>
    </row>
    <row r="72" spans="1:14" x14ac:dyDescent="0.25">
      <c r="A72" t="s">
        <v>1686</v>
      </c>
      <c r="B72" t="str">
        <f t="shared" si="3"/>
        <v>23</v>
      </c>
      <c r="C72" t="str">
        <f t="shared" si="4"/>
        <v>MARZO</v>
      </c>
      <c r="D72" s="40">
        <v>45803</v>
      </c>
      <c r="E72" s="20">
        <v>46104</v>
      </c>
      <c r="F72" t="s">
        <v>1687</v>
      </c>
      <c r="G72" s="4">
        <f t="shared" si="5"/>
        <v>7224</v>
      </c>
      <c r="H72" t="s">
        <v>1688</v>
      </c>
      <c r="I72" t="s">
        <v>1778</v>
      </c>
      <c r="J72" t="str">
        <f>_xlfn.XLOOKUP($I72,RazónMuerte!$A:$A,RazónMuerte!B:B,"",0)</f>
        <v>Otras / No especificada</v>
      </c>
      <c r="K72">
        <f>_xlfn.XLOOKUP($I72,RazónMuerte!$A:$A,RazónMuerte!C:C,"",0)</f>
        <v>0</v>
      </c>
      <c r="L72" t="str">
        <f>_xlfn.XLOOKUP($I72,RazónMuerte!$A:$A,RazónMuerte!D:D,"",0)</f>
        <v>No clasificado</v>
      </c>
      <c r="N72" s="4">
        <v>981020037305853</v>
      </c>
    </row>
    <row r="73" spans="1:14" x14ac:dyDescent="0.25">
      <c r="A73" t="s">
        <v>1686</v>
      </c>
      <c r="B73" t="str">
        <f t="shared" si="3"/>
        <v>23</v>
      </c>
      <c r="C73" t="str">
        <f t="shared" si="4"/>
        <v>MARZO</v>
      </c>
      <c r="D73" s="40">
        <v>46012</v>
      </c>
      <c r="E73" s="20">
        <v>46104</v>
      </c>
      <c r="F73" t="s">
        <v>26</v>
      </c>
      <c r="G73" s="4">
        <f t="shared" si="5"/>
        <v>2208</v>
      </c>
      <c r="H73" t="s">
        <v>1689</v>
      </c>
      <c r="I73" t="s">
        <v>1605</v>
      </c>
      <c r="J73" t="str">
        <f>_xlfn.XLOOKUP($I73,RazónMuerte!$A:$A,RazónMuerte!B:B,"",0)</f>
        <v>Enfermedad degenerativa articular</v>
      </c>
      <c r="K73">
        <f>_xlfn.XLOOKUP($I73,RazónMuerte!$A:$A,RazónMuerte!C:C,"",0)</f>
        <v>0</v>
      </c>
      <c r="L73" t="str">
        <f>_xlfn.XLOOKUP($I73,RazónMuerte!$A:$A,RazónMuerte!D:D,"",0)</f>
        <v>No fatal injury (chronic/medical)</v>
      </c>
      <c r="N73" s="4">
        <v>981020031373387</v>
      </c>
    </row>
    <row r="74" spans="1:14" x14ac:dyDescent="0.25">
      <c r="A74" t="s">
        <v>1690</v>
      </c>
      <c r="B74" t="str">
        <f t="shared" si="3"/>
        <v>24</v>
      </c>
      <c r="C74" t="str">
        <f t="shared" si="4"/>
        <v>MARZO</v>
      </c>
      <c r="D74" s="40">
        <v>46082</v>
      </c>
      <c r="E74" s="20">
        <v>46105</v>
      </c>
      <c r="F74" t="s">
        <v>1141</v>
      </c>
      <c r="G74" s="4">
        <f t="shared" si="5"/>
        <v>552</v>
      </c>
      <c r="H74" t="s">
        <v>1691</v>
      </c>
      <c r="I74" t="s">
        <v>1692</v>
      </c>
      <c r="J74" t="str">
        <f>_xlfn.XLOOKUP($I74,RazónMuerte!$A:$A,RazónMuerte!B:B,"",0)</f>
        <v>Fractura ósea</v>
      </c>
      <c r="K74" t="str">
        <f>_xlfn.XLOOKUP($I74,RazónMuerte!$A:$A,RazónMuerte!C:C,"",0)</f>
        <v>Rodilla / Carpal</v>
      </c>
      <c r="L74" t="str">
        <f>_xlfn.XLOOKUP($I74,RazónMuerte!$A:$A,RazónMuerte!D:D,"",0)</f>
        <v>Fatal injury</v>
      </c>
      <c r="N74" s="4">
        <v>981020045149548</v>
      </c>
    </row>
    <row r="75" spans="1:14" x14ac:dyDescent="0.25">
      <c r="A75" t="s">
        <v>1690</v>
      </c>
      <c r="B75" t="str">
        <f t="shared" si="3"/>
        <v>24</v>
      </c>
      <c r="C75" t="str">
        <f t="shared" si="4"/>
        <v>MARZO</v>
      </c>
      <c r="D75" s="40">
        <v>46082</v>
      </c>
      <c r="E75" s="20">
        <v>46105</v>
      </c>
      <c r="F75" t="s">
        <v>1693</v>
      </c>
      <c r="G75" s="4">
        <f t="shared" si="5"/>
        <v>552</v>
      </c>
      <c r="H75" t="s">
        <v>1694</v>
      </c>
      <c r="I75" t="s">
        <v>1779</v>
      </c>
      <c r="J75" t="str">
        <f>_xlfn.XLOOKUP($I75,RazónMuerte!$A:$A,RazónMuerte!B:B,"",0)</f>
        <v>Fractura ósea</v>
      </c>
      <c r="K75" t="str">
        <f>_xlfn.XLOOKUP($I75,RazónMuerte!$A:$A,RazónMuerte!C:C,"",0)</f>
        <v>Slab</v>
      </c>
      <c r="L75" t="str">
        <f>_xlfn.XLOOKUP($I75,RazónMuerte!$A:$A,RazónMuerte!D:D,"",0)</f>
        <v>Fatal injury</v>
      </c>
      <c r="N75" s="4">
        <v>981020051154848</v>
      </c>
    </row>
    <row r="76" spans="1:14" x14ac:dyDescent="0.25">
      <c r="A76" t="s">
        <v>1695</v>
      </c>
      <c r="B76" t="str">
        <f t="shared" si="3"/>
        <v>25</v>
      </c>
      <c r="C76" t="str">
        <f t="shared" si="4"/>
        <v>MARZO</v>
      </c>
      <c r="D76" s="40">
        <v>46018</v>
      </c>
      <c r="E76" s="20">
        <v>46106</v>
      </c>
      <c r="F76" t="s">
        <v>28</v>
      </c>
      <c r="G76" s="4">
        <f t="shared" si="5"/>
        <v>2112</v>
      </c>
      <c r="H76" t="s">
        <v>1696</v>
      </c>
      <c r="I76" t="s">
        <v>1780</v>
      </c>
      <c r="J76" t="str">
        <f>_xlfn.XLOOKUP($I76,RazónMuerte!$A:$A,RazónMuerte!B:B,"",0)</f>
        <v>Otras / No especificada</v>
      </c>
      <c r="K76">
        <f>_xlfn.XLOOKUP($I76,RazónMuerte!$A:$A,RazónMuerte!C:C,"",0)</f>
        <v>0</v>
      </c>
      <c r="L76" t="str">
        <f>_xlfn.XLOOKUP($I76,RazónMuerte!$A:$A,RazónMuerte!D:D,"",0)</f>
        <v>No clasificado</v>
      </c>
      <c r="N76" s="4">
        <v>981020033755378</v>
      </c>
    </row>
    <row r="77" spans="1:14" x14ac:dyDescent="0.25">
      <c r="A77" t="s">
        <v>1697</v>
      </c>
      <c r="B77" t="str">
        <f t="shared" si="3"/>
        <v>30</v>
      </c>
      <c r="C77" t="str">
        <f t="shared" si="4"/>
        <v>MARZO</v>
      </c>
      <c r="D77" s="40">
        <v>46081</v>
      </c>
      <c r="E77" s="20">
        <v>46111</v>
      </c>
      <c r="F77" t="s">
        <v>854</v>
      </c>
      <c r="G77" s="4">
        <f t="shared" si="5"/>
        <v>720</v>
      </c>
      <c r="H77" t="s">
        <v>1698</v>
      </c>
      <c r="I77" t="s">
        <v>981</v>
      </c>
      <c r="J77" t="str">
        <f>_xlfn.XLOOKUP($I77,RazónMuerte!$A:$A,RazónMuerte!B:B,"",0)</f>
        <v>Otras / No especificada</v>
      </c>
      <c r="K77">
        <f>_xlfn.XLOOKUP($I77,RazónMuerte!$A:$A,RazónMuerte!C:C,"",0)</f>
        <v>0</v>
      </c>
      <c r="L77" t="str">
        <f>_xlfn.XLOOKUP($I77,RazónMuerte!$A:$A,RazónMuerte!D:D,"",0)</f>
        <v>No clasificado</v>
      </c>
      <c r="N77" s="4">
        <v>981020039318023</v>
      </c>
    </row>
    <row r="78" spans="1:14" x14ac:dyDescent="0.25">
      <c r="A78" t="s">
        <v>1697</v>
      </c>
      <c r="B78" t="str">
        <f t="shared" si="3"/>
        <v>30</v>
      </c>
      <c r="C78" t="str">
        <f t="shared" si="4"/>
        <v>MARZO</v>
      </c>
      <c r="D78" s="40">
        <v>45787</v>
      </c>
      <c r="E78" s="20">
        <v>46111</v>
      </c>
      <c r="F78" t="s">
        <v>48</v>
      </c>
      <c r="G78" s="4">
        <f t="shared" si="5"/>
        <v>7776</v>
      </c>
      <c r="H78" t="s">
        <v>1699</v>
      </c>
      <c r="I78" t="s">
        <v>981</v>
      </c>
      <c r="J78" t="str">
        <f>_xlfn.XLOOKUP($I78,RazónMuerte!$A:$A,RazónMuerte!B:B,"",0)</f>
        <v>Otras / No especificada</v>
      </c>
      <c r="K78">
        <f>_xlfn.XLOOKUP($I78,RazónMuerte!$A:$A,RazónMuerte!C:C,"",0)</f>
        <v>0</v>
      </c>
      <c r="L78" t="str">
        <f>_xlfn.XLOOKUP($I78,RazónMuerte!$A:$A,RazónMuerte!D:D,"",0)</f>
        <v>No clasificado</v>
      </c>
      <c r="N78" s="4">
        <v>981020037364257</v>
      </c>
    </row>
    <row r="79" spans="1:14" x14ac:dyDescent="0.25">
      <c r="A79" t="s">
        <v>1700</v>
      </c>
      <c r="B79" t="str">
        <f t="shared" si="3"/>
        <v>2</v>
      </c>
      <c r="C79" t="str">
        <f t="shared" si="4"/>
        <v>ABRIL</v>
      </c>
      <c r="D79" s="40">
        <v>0</v>
      </c>
      <c r="E79" s="20">
        <v>46114</v>
      </c>
      <c r="F79" t="s">
        <v>1008</v>
      </c>
      <c r="G79" s="4">
        <f t="shared" si="5"/>
        <v>0</v>
      </c>
      <c r="H79" t="s">
        <v>1701</v>
      </c>
      <c r="I79" t="s">
        <v>1702</v>
      </c>
      <c r="J79" t="str">
        <f>_xlfn.XLOOKUP($I79,RazónMuerte!$A:$A,RazónMuerte!B:B,"",0)</f>
        <v>Otras / No especificada</v>
      </c>
      <c r="K79">
        <f>_xlfn.XLOOKUP($I79,RazónMuerte!$A:$A,RazónMuerte!C:C,"",0)</f>
        <v>0</v>
      </c>
      <c r="L79" t="str">
        <f>_xlfn.XLOOKUP($I79,RazónMuerte!$A:$A,RazónMuerte!D:D,"",0)</f>
        <v>No clasificado</v>
      </c>
      <c r="N79" s="4">
        <v>981020019388464</v>
      </c>
    </row>
    <row r="80" spans="1:14" x14ac:dyDescent="0.25">
      <c r="A80" t="s">
        <v>1703</v>
      </c>
      <c r="B80" t="str">
        <f t="shared" si="3"/>
        <v>4</v>
      </c>
      <c r="C80" t="str">
        <f t="shared" si="4"/>
        <v>ABRIL</v>
      </c>
      <c r="D80" s="40">
        <v>46104</v>
      </c>
      <c r="E80" s="20">
        <v>46116</v>
      </c>
      <c r="F80" t="s">
        <v>17</v>
      </c>
      <c r="G80" s="4">
        <f t="shared" si="5"/>
        <v>288</v>
      </c>
      <c r="H80" t="s">
        <v>1704</v>
      </c>
      <c r="I80" t="s">
        <v>1781</v>
      </c>
      <c r="J80" t="str">
        <f>_xlfn.XLOOKUP($I80,RazónMuerte!$A:$A,RazónMuerte!B:B,"",0)</f>
        <v>Enfermedad degenerativa articular</v>
      </c>
      <c r="K80">
        <f>_xlfn.XLOOKUP($I80,RazónMuerte!$A:$A,RazónMuerte!C:C,"",0)</f>
        <v>0</v>
      </c>
      <c r="L80" t="str">
        <f>_xlfn.XLOOKUP($I80,RazónMuerte!$A:$A,RazónMuerte!D:D,"",0)</f>
        <v>No fatal injury (chronic/medical)</v>
      </c>
      <c r="N80" s="4">
        <v>981020045121982</v>
      </c>
    </row>
    <row r="81" spans="1:14" x14ac:dyDescent="0.25">
      <c r="A81" t="s">
        <v>1705</v>
      </c>
      <c r="B81" t="str">
        <f t="shared" si="3"/>
        <v>7</v>
      </c>
      <c r="C81" t="str">
        <f t="shared" si="4"/>
        <v>ABRIL</v>
      </c>
      <c r="D81" s="40">
        <v>46053</v>
      </c>
      <c r="E81" s="20">
        <v>46119</v>
      </c>
      <c r="F81" t="s">
        <v>294</v>
      </c>
      <c r="G81" s="4">
        <f t="shared" si="5"/>
        <v>1584</v>
      </c>
      <c r="H81" t="s">
        <v>1706</v>
      </c>
      <c r="I81" t="s">
        <v>1780</v>
      </c>
      <c r="J81" t="str">
        <f>_xlfn.XLOOKUP($I81,RazónMuerte!$A:$A,RazónMuerte!B:B,"",0)</f>
        <v>Otras / No especificada</v>
      </c>
      <c r="K81">
        <f>_xlfn.XLOOKUP($I81,RazónMuerte!$A:$A,RazónMuerte!C:C,"",0)</f>
        <v>0</v>
      </c>
      <c r="L81" t="str">
        <f>_xlfn.XLOOKUP($I81,RazónMuerte!$A:$A,RazónMuerte!D:D,"",0)</f>
        <v>No clasificado</v>
      </c>
      <c r="N81" s="4">
        <v>981020045130428</v>
      </c>
    </row>
    <row r="82" spans="1:14" x14ac:dyDescent="0.25">
      <c r="A82" t="s">
        <v>1707</v>
      </c>
      <c r="B82" t="str">
        <f t="shared" si="3"/>
        <v>8</v>
      </c>
      <c r="C82" t="str">
        <f t="shared" si="4"/>
        <v>ABRIL</v>
      </c>
      <c r="D82" s="40">
        <v>46025</v>
      </c>
      <c r="E82" s="20">
        <v>46120</v>
      </c>
      <c r="F82" t="s">
        <v>21</v>
      </c>
      <c r="G82" s="4">
        <f t="shared" si="5"/>
        <v>2280</v>
      </c>
      <c r="H82" t="s">
        <v>1708</v>
      </c>
      <c r="I82" t="s">
        <v>1782</v>
      </c>
      <c r="J82" t="str">
        <f>_xlfn.XLOOKUP($I82,RazónMuerte!$A:$A,RazónMuerte!B:B,"",0)</f>
        <v>Enfermedad degenerativa articular</v>
      </c>
      <c r="K82">
        <f>_xlfn.XLOOKUP($I82,RazónMuerte!$A:$A,RazónMuerte!C:C,"",0)</f>
        <v>0</v>
      </c>
      <c r="L82" t="str">
        <f>_xlfn.XLOOKUP($I82,RazónMuerte!$A:$A,RazónMuerte!D:D,"",0)</f>
        <v>No fatal injury (chronic/medical)</v>
      </c>
      <c r="N82" s="4">
        <v>981020039633502</v>
      </c>
    </row>
    <row r="83" spans="1:14" x14ac:dyDescent="0.25">
      <c r="A83" t="s">
        <v>1707</v>
      </c>
      <c r="B83" t="str">
        <f t="shared" si="3"/>
        <v>8</v>
      </c>
      <c r="C83" t="str">
        <f t="shared" si="4"/>
        <v>ABRIL</v>
      </c>
      <c r="D83" s="40">
        <v>46081</v>
      </c>
      <c r="E83" s="20">
        <v>46120</v>
      </c>
      <c r="F83" t="s">
        <v>17</v>
      </c>
      <c r="G83" s="4">
        <f t="shared" si="5"/>
        <v>936</v>
      </c>
      <c r="H83" t="s">
        <v>1709</v>
      </c>
      <c r="I83" t="s">
        <v>1783</v>
      </c>
      <c r="J83" t="str">
        <f>_xlfn.XLOOKUP($I83,RazónMuerte!$A:$A,RazónMuerte!B:B,"",0)</f>
        <v>Otras / No especificada</v>
      </c>
      <c r="K83">
        <f>_xlfn.XLOOKUP($I83,RazónMuerte!$A:$A,RazónMuerte!C:C,"",0)</f>
        <v>0</v>
      </c>
      <c r="L83" t="str">
        <f>_xlfn.XLOOKUP($I83,RazónMuerte!$A:$A,RazónMuerte!D:D,"",0)</f>
        <v>No clasificado</v>
      </c>
      <c r="N83" s="4">
        <v>981020033736633</v>
      </c>
    </row>
    <row r="84" spans="1:14" x14ac:dyDescent="0.25">
      <c r="A84" t="s">
        <v>1710</v>
      </c>
      <c r="B84" t="str">
        <f t="shared" si="3"/>
        <v>9</v>
      </c>
      <c r="C84" t="str">
        <f t="shared" si="4"/>
        <v>ABRIL</v>
      </c>
      <c r="D84" s="40">
        <v>46096</v>
      </c>
      <c r="E84" s="20">
        <v>46121</v>
      </c>
      <c r="F84" t="s">
        <v>1634</v>
      </c>
      <c r="G84" s="4">
        <f t="shared" si="5"/>
        <v>600</v>
      </c>
      <c r="H84" t="s">
        <v>1711</v>
      </c>
      <c r="I84" t="s">
        <v>1784</v>
      </c>
      <c r="J84" t="str">
        <f>_xlfn.XLOOKUP($I84,RazónMuerte!$A:$A,RazónMuerte!B:B,"",0)</f>
        <v>Fractura ósea</v>
      </c>
      <c r="K84" t="str">
        <f>_xlfn.XLOOKUP($I84,RazónMuerte!$A:$A,RazónMuerte!C:C,"",0)</f>
        <v>Rodilla / Carpal</v>
      </c>
      <c r="L84" t="str">
        <f>_xlfn.XLOOKUP($I84,RazónMuerte!$A:$A,RazónMuerte!D:D,"",0)</f>
        <v>No fatal injury (chronic/medical)</v>
      </c>
      <c r="N84" s="4">
        <v>981020037331159</v>
      </c>
    </row>
    <row r="85" spans="1:14" x14ac:dyDescent="0.25">
      <c r="A85" t="s">
        <v>1710</v>
      </c>
      <c r="B85" t="str">
        <f t="shared" si="3"/>
        <v>9</v>
      </c>
      <c r="C85" t="str">
        <f t="shared" si="4"/>
        <v>ABRIL</v>
      </c>
      <c r="D85" s="40">
        <v>0</v>
      </c>
      <c r="E85" s="20">
        <v>46121</v>
      </c>
      <c r="F85" t="s">
        <v>98</v>
      </c>
      <c r="G85" s="4">
        <f t="shared" si="5"/>
        <v>0</v>
      </c>
      <c r="H85" t="s">
        <v>1712</v>
      </c>
      <c r="I85" t="s">
        <v>1785</v>
      </c>
      <c r="J85" t="str">
        <f>_xlfn.XLOOKUP($I85,RazónMuerte!$A:$A,RazónMuerte!B:B,"",0)</f>
        <v>Otras / No especificada</v>
      </c>
      <c r="K85">
        <f>_xlfn.XLOOKUP($I85,RazónMuerte!$A:$A,RazónMuerte!C:C,"",0)</f>
        <v>0</v>
      </c>
      <c r="L85" t="str">
        <f>_xlfn.XLOOKUP($I85,RazónMuerte!$A:$A,RazónMuerte!D:D,"",0)</f>
        <v>No clasificado</v>
      </c>
      <c r="N85" s="4">
        <v>981020037360578</v>
      </c>
    </row>
    <row r="86" spans="1:14" x14ac:dyDescent="0.25">
      <c r="A86" t="s">
        <v>1713</v>
      </c>
      <c r="B86" t="str">
        <f t="shared" si="3"/>
        <v>13</v>
      </c>
      <c r="C86" t="str">
        <f t="shared" si="4"/>
        <v>ABRIL</v>
      </c>
      <c r="D86" s="40">
        <v>45982</v>
      </c>
      <c r="E86" s="20">
        <v>46125</v>
      </c>
      <c r="F86" t="s">
        <v>457</v>
      </c>
      <c r="G86" s="4">
        <f t="shared" si="5"/>
        <v>3432</v>
      </c>
      <c r="H86" t="s">
        <v>1714</v>
      </c>
      <c r="I86" t="s">
        <v>1786</v>
      </c>
      <c r="J86" t="str">
        <f>_xlfn.XLOOKUP($I86,RazónMuerte!$A:$A,RazónMuerte!B:B,"",0)</f>
        <v>Enfermedad degenerativa articular</v>
      </c>
      <c r="K86">
        <f>_xlfn.XLOOKUP($I86,RazónMuerte!$A:$A,RazónMuerte!C:C,"",0)</f>
        <v>0</v>
      </c>
      <c r="L86" t="str">
        <f>_xlfn.XLOOKUP($I86,RazónMuerte!$A:$A,RazónMuerte!D:D,"",0)</f>
        <v>No fatal injury (chronic/medical)</v>
      </c>
      <c r="N86" s="4">
        <v>981020051564330</v>
      </c>
    </row>
    <row r="87" spans="1:14" x14ac:dyDescent="0.25">
      <c r="A87" t="s">
        <v>1713</v>
      </c>
      <c r="B87" t="str">
        <f t="shared" si="3"/>
        <v>13</v>
      </c>
      <c r="C87" t="str">
        <f t="shared" si="4"/>
        <v>ABRIL</v>
      </c>
      <c r="D87" s="40">
        <v>46017</v>
      </c>
      <c r="E87" s="20">
        <v>46125</v>
      </c>
      <c r="F87" t="s">
        <v>812</v>
      </c>
      <c r="G87" s="4">
        <f t="shared" si="5"/>
        <v>2592</v>
      </c>
      <c r="H87" t="s">
        <v>1715</v>
      </c>
      <c r="I87" t="s">
        <v>1787</v>
      </c>
      <c r="J87" t="str">
        <f>_xlfn.XLOOKUP($I87,RazónMuerte!$A:$A,RazónMuerte!B:B,"",0)</f>
        <v>Enfermedad degenerativa articular</v>
      </c>
      <c r="K87">
        <f>_xlfn.XLOOKUP($I87,RazónMuerte!$A:$A,RazónMuerte!C:C,"",0)</f>
        <v>0</v>
      </c>
      <c r="L87" t="str">
        <f>_xlfn.XLOOKUP($I87,RazónMuerte!$A:$A,RazónMuerte!D:D,"",0)</f>
        <v>No fatal injury (chronic/medical)</v>
      </c>
      <c r="N87" s="4">
        <v>981020037325726</v>
      </c>
    </row>
    <row r="88" spans="1:14" x14ac:dyDescent="0.25">
      <c r="A88" t="s">
        <v>1716</v>
      </c>
      <c r="B88" t="str">
        <f t="shared" si="3"/>
        <v>15</v>
      </c>
      <c r="C88" t="str">
        <f t="shared" si="4"/>
        <v>ABRIL</v>
      </c>
      <c r="D88" s="40">
        <v>46100</v>
      </c>
      <c r="E88" s="20">
        <v>46127</v>
      </c>
      <c r="F88" t="s">
        <v>40</v>
      </c>
      <c r="G88" s="4">
        <f t="shared" si="5"/>
        <v>648</v>
      </c>
      <c r="H88" t="s">
        <v>1717</v>
      </c>
      <c r="I88" t="s">
        <v>1718</v>
      </c>
      <c r="J88" t="str">
        <f>_xlfn.XLOOKUP($I88,RazónMuerte!$A:$A,RazónMuerte!B:B,"",0)</f>
        <v>Otras / No especificada</v>
      </c>
      <c r="K88">
        <f>_xlfn.XLOOKUP($I88,RazónMuerte!$A:$A,RazónMuerte!C:C,"",0)</f>
        <v>0</v>
      </c>
      <c r="L88" t="str">
        <f>_xlfn.XLOOKUP($I88,RazónMuerte!$A:$A,RazónMuerte!D:D,"",0)</f>
        <v>No clasificado</v>
      </c>
      <c r="N88" s="4">
        <v>981020041810259</v>
      </c>
    </row>
    <row r="89" spans="1:14" x14ac:dyDescent="0.25">
      <c r="A89" t="s">
        <v>1719</v>
      </c>
      <c r="B89" t="str">
        <f t="shared" si="3"/>
        <v>17</v>
      </c>
      <c r="C89" t="str">
        <f t="shared" si="4"/>
        <v>ABRIL</v>
      </c>
      <c r="D89" s="40">
        <v>0</v>
      </c>
      <c r="E89" s="20">
        <v>46129</v>
      </c>
      <c r="F89" t="s">
        <v>1720</v>
      </c>
      <c r="G89" s="4">
        <f t="shared" si="5"/>
        <v>0</v>
      </c>
      <c r="H89" t="s">
        <v>1721</v>
      </c>
      <c r="I89" t="s">
        <v>1788</v>
      </c>
      <c r="J89" t="str">
        <f>_xlfn.XLOOKUP($I89,RazónMuerte!$A:$A,RazónMuerte!B:B,"",0)</f>
        <v>Otras / No especificada</v>
      </c>
      <c r="K89">
        <f>_xlfn.XLOOKUP($I89,RazónMuerte!$A:$A,RazónMuerte!C:C,"",0)</f>
        <v>0</v>
      </c>
      <c r="L89" t="str">
        <f>_xlfn.XLOOKUP($I89,RazónMuerte!$A:$A,RazónMuerte!D:D,"",0)</f>
        <v>No clasificado</v>
      </c>
      <c r="N89" s="4">
        <v>981020021012732</v>
      </c>
    </row>
    <row r="90" spans="1:14" x14ac:dyDescent="0.25">
      <c r="A90" t="s">
        <v>1719</v>
      </c>
      <c r="B90" t="str">
        <f t="shared" si="3"/>
        <v>17</v>
      </c>
      <c r="C90" t="str">
        <f t="shared" si="4"/>
        <v>ABRIL</v>
      </c>
      <c r="D90" s="40">
        <v>46117</v>
      </c>
      <c r="E90" s="20">
        <v>46129</v>
      </c>
      <c r="F90" t="s">
        <v>1643</v>
      </c>
      <c r="G90" s="4">
        <f t="shared" si="5"/>
        <v>288</v>
      </c>
      <c r="H90" t="s">
        <v>1722</v>
      </c>
      <c r="I90" t="s">
        <v>1789</v>
      </c>
      <c r="J90" t="str">
        <f>_xlfn.XLOOKUP($I90,RazónMuerte!$A:$A,RazónMuerte!B:B,"",0)</f>
        <v>Enfermedad degenerativa articular</v>
      </c>
      <c r="K90">
        <f>_xlfn.XLOOKUP($I90,RazónMuerte!$A:$A,RazónMuerte!C:C,"",0)</f>
        <v>0</v>
      </c>
      <c r="L90" t="str">
        <f>_xlfn.XLOOKUP($I90,RazónMuerte!$A:$A,RazónMuerte!D:D,"",0)</f>
        <v>No fatal injury (chronic/medical)</v>
      </c>
      <c r="N90" s="4">
        <v>981020045088817</v>
      </c>
    </row>
    <row r="91" spans="1:14" x14ac:dyDescent="0.25">
      <c r="A91" t="s">
        <v>1719</v>
      </c>
      <c r="B91" t="str">
        <f t="shared" si="3"/>
        <v>17</v>
      </c>
      <c r="C91" t="str">
        <f t="shared" si="4"/>
        <v>ABRIL</v>
      </c>
      <c r="D91" s="40">
        <v>46074</v>
      </c>
      <c r="E91" s="20">
        <v>46129</v>
      </c>
      <c r="F91" t="s">
        <v>51</v>
      </c>
      <c r="G91" s="4">
        <f t="shared" si="5"/>
        <v>1320</v>
      </c>
      <c r="H91" t="s">
        <v>1723</v>
      </c>
      <c r="I91" t="s">
        <v>1724</v>
      </c>
      <c r="J91" t="str">
        <f>_xlfn.XLOOKUP($I91,RazónMuerte!$A:$A,RazónMuerte!B:B,"",0)</f>
        <v>Fractura ósea</v>
      </c>
      <c r="K91" t="str">
        <f>_xlfn.XLOOKUP($I91,RazónMuerte!$A:$A,RazónMuerte!C:C,"",0)</f>
        <v>Rodilla / Carpal</v>
      </c>
      <c r="L91" t="str">
        <f>_xlfn.XLOOKUP($I91,RazónMuerte!$A:$A,RazónMuerte!D:D,"",0)</f>
        <v>Fatal injury</v>
      </c>
      <c r="N91" s="4">
        <v>981020033093630</v>
      </c>
    </row>
    <row r="92" spans="1:14" x14ac:dyDescent="0.25">
      <c r="A92" t="s">
        <v>1719</v>
      </c>
      <c r="B92" t="str">
        <f t="shared" si="3"/>
        <v>17</v>
      </c>
      <c r="C92" t="str">
        <f t="shared" si="4"/>
        <v>ABRIL</v>
      </c>
      <c r="D92" s="40">
        <v>46129</v>
      </c>
      <c r="E92" s="20">
        <v>46129</v>
      </c>
      <c r="F92" t="s">
        <v>44</v>
      </c>
      <c r="G92" s="4">
        <f t="shared" si="5"/>
        <v>0</v>
      </c>
      <c r="H92" t="s">
        <v>1725</v>
      </c>
      <c r="I92" t="s">
        <v>1726</v>
      </c>
      <c r="J92" t="str">
        <f>_xlfn.XLOOKUP($I92,RazónMuerte!$A:$A,RazónMuerte!B:B,"",0)</f>
        <v>Fractura ósea</v>
      </c>
      <c r="K92" t="str">
        <f>_xlfn.XLOOKUP($I92,RazónMuerte!$A:$A,RazónMuerte!C:C,"",0)</f>
        <v>Rodilla / Carpal</v>
      </c>
      <c r="L92" t="str">
        <f>_xlfn.XLOOKUP($I92,RazónMuerte!$A:$A,RazónMuerte!D:D,"",0)</f>
        <v>Fatal injury</v>
      </c>
      <c r="N92" s="4">
        <v>981020033554639</v>
      </c>
    </row>
    <row r="93" spans="1:14" x14ac:dyDescent="0.25">
      <c r="A93" t="s">
        <v>1727</v>
      </c>
      <c r="B93" t="str">
        <f t="shared" si="3"/>
        <v>18</v>
      </c>
      <c r="C93" t="str">
        <f t="shared" si="4"/>
        <v>ABRIL</v>
      </c>
      <c r="D93" s="40">
        <v>46122</v>
      </c>
      <c r="E93" s="20">
        <v>46130</v>
      </c>
      <c r="F93" t="s">
        <v>1643</v>
      </c>
      <c r="G93" s="4">
        <f t="shared" si="5"/>
        <v>192</v>
      </c>
      <c r="H93" t="s">
        <v>1728</v>
      </c>
      <c r="I93" t="s">
        <v>1790</v>
      </c>
      <c r="J93" t="str">
        <f>_xlfn.XLOOKUP($I93,RazónMuerte!$A:$A,RazónMuerte!B:B,"",0)</f>
        <v>Otras / No especificada</v>
      </c>
      <c r="K93">
        <f>_xlfn.XLOOKUP($I93,RazónMuerte!$A:$A,RazónMuerte!C:C,"",0)</f>
        <v>0</v>
      </c>
      <c r="L93" t="str">
        <f>_xlfn.XLOOKUP($I93,RazónMuerte!$A:$A,RazónMuerte!D:D,"",0)</f>
        <v>No clasificado</v>
      </c>
      <c r="N93" s="4">
        <v>981020051020261</v>
      </c>
    </row>
    <row r="94" spans="1:14" x14ac:dyDescent="0.25">
      <c r="A94" t="s">
        <v>1729</v>
      </c>
      <c r="B94" t="str">
        <f t="shared" si="3"/>
        <v>23</v>
      </c>
      <c r="C94" t="str">
        <f t="shared" si="4"/>
        <v>ABRIL</v>
      </c>
      <c r="D94" s="40">
        <v>46122</v>
      </c>
      <c r="E94" s="20">
        <v>46135</v>
      </c>
      <c r="F94" t="s">
        <v>423</v>
      </c>
      <c r="G94" s="4">
        <f t="shared" si="5"/>
        <v>312</v>
      </c>
      <c r="H94" t="s">
        <v>1730</v>
      </c>
      <c r="I94" t="s">
        <v>1791</v>
      </c>
      <c r="J94" t="str">
        <f>_xlfn.XLOOKUP($I94,RazónMuerte!$A:$A,RazónMuerte!B:B,"",0)</f>
        <v>Fractura ósea</v>
      </c>
      <c r="K94" t="str">
        <f>_xlfn.XLOOKUP($I94,RazónMuerte!$A:$A,RazónMuerte!C:C,"",0)</f>
        <v>Slab</v>
      </c>
      <c r="L94" t="str">
        <f>_xlfn.XLOOKUP($I94,RazónMuerte!$A:$A,RazónMuerte!D:D,"",0)</f>
        <v>Fatal injury</v>
      </c>
      <c r="N94" s="4">
        <v>981020045113804</v>
      </c>
    </row>
    <row r="95" spans="1:14" x14ac:dyDescent="0.25">
      <c r="A95" t="s">
        <v>1731</v>
      </c>
      <c r="B95" t="str">
        <f t="shared" si="3"/>
        <v>24</v>
      </c>
      <c r="C95" t="str">
        <f t="shared" si="4"/>
        <v>ABRIL</v>
      </c>
      <c r="D95" s="40">
        <v>0</v>
      </c>
      <c r="E95" s="20">
        <v>46136</v>
      </c>
      <c r="F95" t="s">
        <v>1732</v>
      </c>
      <c r="G95" s="4">
        <f t="shared" si="5"/>
        <v>0</v>
      </c>
      <c r="H95" t="s">
        <v>1733</v>
      </c>
      <c r="I95" t="s">
        <v>1734</v>
      </c>
      <c r="J95" t="str">
        <f>_xlfn.XLOOKUP($I95,RazónMuerte!$A:$A,RazónMuerte!B:B,"",0)</f>
        <v>Otras / No especificada</v>
      </c>
      <c r="K95">
        <f>_xlfn.XLOOKUP($I95,RazónMuerte!$A:$A,RazónMuerte!C:C,"",0)</f>
        <v>0</v>
      </c>
      <c r="L95" t="str">
        <f>_xlfn.XLOOKUP($I95,RazónMuerte!$A:$A,RazónMuerte!D:D,"",0)</f>
        <v>No clasificado</v>
      </c>
      <c r="N95" s="4">
        <v>981020039144371</v>
      </c>
    </row>
    <row r="96" spans="1:14" x14ac:dyDescent="0.25">
      <c r="A96" t="s">
        <v>1731</v>
      </c>
      <c r="B96" t="str">
        <f t="shared" si="3"/>
        <v>24</v>
      </c>
      <c r="C96" t="str">
        <f t="shared" si="4"/>
        <v>ABRIL</v>
      </c>
      <c r="D96" s="40">
        <v>46002</v>
      </c>
      <c r="E96" s="20">
        <v>46136</v>
      </c>
      <c r="F96" t="s">
        <v>815</v>
      </c>
      <c r="G96" s="4">
        <f t="shared" si="5"/>
        <v>3216</v>
      </c>
      <c r="H96" t="s">
        <v>1735</v>
      </c>
      <c r="I96" t="s">
        <v>671</v>
      </c>
      <c r="J96" t="str">
        <f>_xlfn.XLOOKUP($I96,RazónMuerte!$A:$A,RazónMuerte!B:B,"",0)</f>
        <v>Fractura ósea</v>
      </c>
      <c r="K96" t="str">
        <f>_xlfn.XLOOKUP($I96,RazónMuerte!$A:$A,RazónMuerte!C:C,"",0)</f>
        <v>Slab</v>
      </c>
      <c r="L96" t="str">
        <f>_xlfn.XLOOKUP($I96,RazónMuerte!$A:$A,RazónMuerte!D:D,"",0)</f>
        <v>Fatal injury</v>
      </c>
      <c r="N96" s="4">
        <v>981020045151928</v>
      </c>
    </row>
    <row r="97" spans="1:14" x14ac:dyDescent="0.25">
      <c r="A97" t="s">
        <v>1731</v>
      </c>
      <c r="B97" t="str">
        <f t="shared" si="3"/>
        <v>24</v>
      </c>
      <c r="C97" t="str">
        <f t="shared" si="4"/>
        <v>ABRIL</v>
      </c>
      <c r="D97" s="40">
        <v>0</v>
      </c>
      <c r="E97" s="20">
        <v>46136</v>
      </c>
      <c r="F97" t="s">
        <v>787</v>
      </c>
      <c r="G97" s="4">
        <f t="shared" si="5"/>
        <v>0</v>
      </c>
      <c r="H97" t="s">
        <v>1736</v>
      </c>
      <c r="I97" t="s">
        <v>1792</v>
      </c>
      <c r="J97" t="str">
        <f>_xlfn.XLOOKUP($I97,RazónMuerte!$A:$A,RazónMuerte!B:B,"",0)</f>
        <v>Otras / No especificada</v>
      </c>
      <c r="K97">
        <f>_xlfn.XLOOKUP($I97,RazónMuerte!$A:$A,RazónMuerte!C:C,"",0)</f>
        <v>0</v>
      </c>
      <c r="L97" t="str">
        <f>_xlfn.XLOOKUP($I97,RazónMuerte!$A:$A,RazónMuerte!D:D,"",0)</f>
        <v>No clasificado</v>
      </c>
      <c r="N97" s="4">
        <v>981020039641138</v>
      </c>
    </row>
    <row r="98" spans="1:14" x14ac:dyDescent="0.25">
      <c r="A98" t="s">
        <v>1737</v>
      </c>
      <c r="B98" t="str">
        <f t="shared" si="3"/>
        <v>25</v>
      </c>
      <c r="C98" t="str">
        <f t="shared" si="4"/>
        <v>ABRIL</v>
      </c>
      <c r="D98" s="40">
        <v>46122</v>
      </c>
      <c r="E98" s="20">
        <v>46137</v>
      </c>
      <c r="F98" t="s">
        <v>871</v>
      </c>
      <c r="G98" s="4">
        <f t="shared" si="5"/>
        <v>360</v>
      </c>
      <c r="H98" t="s">
        <v>1738</v>
      </c>
      <c r="I98" t="s">
        <v>1739</v>
      </c>
      <c r="J98" t="str">
        <f>_xlfn.XLOOKUP($I98,RazónMuerte!$A:$A,RazónMuerte!B:B,"",0)</f>
        <v>Fractura ósea</v>
      </c>
      <c r="K98" t="str">
        <f>_xlfn.XLOOKUP($I98,RazónMuerte!$A:$A,RazónMuerte!C:C,"",0)</f>
        <v>Rodilla / Carpal</v>
      </c>
      <c r="L98" t="str">
        <f>_xlfn.XLOOKUP($I98,RazónMuerte!$A:$A,RazónMuerte!D:D,"",0)</f>
        <v>Fatal injury</v>
      </c>
      <c r="N98" s="4">
        <v>981020049632838</v>
      </c>
    </row>
    <row r="99" spans="1:14" x14ac:dyDescent="0.25">
      <c r="A99" t="s">
        <v>1740</v>
      </c>
      <c r="B99" t="str">
        <f t="shared" si="3"/>
        <v>27</v>
      </c>
      <c r="C99" t="str">
        <f t="shared" si="4"/>
        <v>ABRIL</v>
      </c>
      <c r="D99" s="40">
        <v>46019</v>
      </c>
      <c r="E99" s="20">
        <v>46139</v>
      </c>
      <c r="F99" t="s">
        <v>1125</v>
      </c>
      <c r="G99" s="4">
        <f t="shared" si="5"/>
        <v>2880</v>
      </c>
      <c r="H99" t="s">
        <v>1741</v>
      </c>
      <c r="I99" t="s">
        <v>1793</v>
      </c>
      <c r="J99" t="str">
        <f>_xlfn.XLOOKUP($I99,RazónMuerte!$A:$A,RazónMuerte!B:B,"",0)</f>
        <v>Fractura ósea</v>
      </c>
      <c r="K99" t="str">
        <f>_xlfn.XLOOKUP($I99,RazónMuerte!$A:$A,RazónMuerte!C:C,"",0)</f>
        <v>Rodilla / Carpal</v>
      </c>
      <c r="L99" t="str">
        <f>_xlfn.XLOOKUP($I99,RazónMuerte!$A:$A,RazónMuerte!D:D,"",0)</f>
        <v>No fatal injury (chronic/medical)</v>
      </c>
      <c r="N99" s="4">
        <v>981020033110783</v>
      </c>
    </row>
    <row r="100" spans="1:14" x14ac:dyDescent="0.25">
      <c r="A100" t="s">
        <v>1740</v>
      </c>
      <c r="B100" t="str">
        <f t="shared" si="3"/>
        <v>27</v>
      </c>
      <c r="C100" t="str">
        <f t="shared" si="4"/>
        <v>ABRIL</v>
      </c>
      <c r="D100" s="40">
        <v>45701</v>
      </c>
      <c r="E100" s="20">
        <v>46139</v>
      </c>
      <c r="F100" t="s">
        <v>52</v>
      </c>
      <c r="G100" s="4">
        <f t="shared" si="5"/>
        <v>10512</v>
      </c>
      <c r="H100" t="s">
        <v>1742</v>
      </c>
      <c r="I100" t="s">
        <v>1794</v>
      </c>
      <c r="J100" t="str">
        <f>_xlfn.XLOOKUP($I100,RazónMuerte!$A:$A,RazónMuerte!B:B,"",0)</f>
        <v>Fractura ósea</v>
      </c>
      <c r="K100" t="str">
        <f>_xlfn.XLOOKUP($I100,RazónMuerte!$A:$A,RazónMuerte!C:C,"",0)</f>
        <v>Sesamoideo</v>
      </c>
      <c r="L100" t="str">
        <f>_xlfn.XLOOKUP($I100,RazónMuerte!$A:$A,RazónMuerte!D:D,"",0)</f>
        <v>No fatal injury (chronic/medical)</v>
      </c>
      <c r="N100" s="4">
        <v>981020021496655</v>
      </c>
    </row>
    <row r="101" spans="1:14" x14ac:dyDescent="0.25">
      <c r="A101" t="s">
        <v>1743</v>
      </c>
      <c r="B101" t="str">
        <f t="shared" si="3"/>
        <v>29</v>
      </c>
      <c r="C101" t="str">
        <f t="shared" si="4"/>
        <v>ABRIL</v>
      </c>
      <c r="D101" s="40">
        <v>0</v>
      </c>
      <c r="E101" s="20">
        <v>46141</v>
      </c>
      <c r="F101" t="s">
        <v>102</v>
      </c>
      <c r="G101" s="4">
        <f t="shared" si="5"/>
        <v>0</v>
      </c>
      <c r="H101" t="s">
        <v>1744</v>
      </c>
      <c r="I101" t="s">
        <v>1745</v>
      </c>
      <c r="J101" t="str">
        <f>_xlfn.XLOOKUP($I101,RazónMuerte!$A:$A,RazónMuerte!B:B,"",0)</f>
        <v>Otras / No especificada</v>
      </c>
      <c r="K101">
        <f>_xlfn.XLOOKUP($I101,RazónMuerte!$A:$A,RazónMuerte!C:C,"",0)</f>
        <v>0</v>
      </c>
      <c r="L101" t="str">
        <f>_xlfn.XLOOKUP($I101,RazónMuerte!$A:$A,RazónMuerte!D:D,"",0)</f>
        <v>No clasificado</v>
      </c>
      <c r="N101" s="4" t="s">
        <v>27</v>
      </c>
    </row>
    <row r="102" spans="1:14" x14ac:dyDescent="0.25">
      <c r="A102" t="s">
        <v>1799</v>
      </c>
      <c r="B102" t="str">
        <f>LEFT(A102,FIND("-",A102)-1)</f>
        <v>2</v>
      </c>
      <c r="C102" t="str">
        <f>MID(A102,FIND("-",A102)+1,FIND("-",A102,FIND("-",A102)+1)-FIND("-",A102)-1)</f>
        <v>MAYO</v>
      </c>
      <c r="D102" s="40"/>
      <c r="F102" t="s">
        <v>812</v>
      </c>
      <c r="G102" s="4">
        <f>IFERROR(IF(D102=0,0,(E102-D102)*24),0)</f>
        <v>0</v>
      </c>
      <c r="H102" t="s">
        <v>1800</v>
      </c>
      <c r="I102" t="s">
        <v>1866</v>
      </c>
      <c r="J102" t="str">
        <f>_xlfn.XLOOKUP($I102,RazónMuerte!$A:$A,RazónMuerte!B:B,"",0)</f>
        <v>Enfermedad degenerativa articular</v>
      </c>
      <c r="K102">
        <f>_xlfn.XLOOKUP($I102,RazónMuerte!$A:$A,RazónMuerte!C:C,"",0)</f>
        <v>0</v>
      </c>
      <c r="L102" t="str">
        <f>_xlfn.XLOOKUP($I102,RazónMuerte!$A:$A,RazónMuerte!D:D,"",0)</f>
        <v>No fatal injury (chronic/medical)</v>
      </c>
      <c r="N102" s="4">
        <v>981020045086428</v>
      </c>
    </row>
    <row r="103" spans="1:14" x14ac:dyDescent="0.25">
      <c r="A103" t="s">
        <v>1801</v>
      </c>
      <c r="B103" t="str">
        <f t="shared" ref="B103:B130" si="6">LEFT(A103,FIND("-",A103)-1)</f>
        <v>4</v>
      </c>
      <c r="C103" t="str">
        <f t="shared" ref="C103:C130" si="7">MID(A103,FIND("-",A103)+1,FIND("-",A103,FIND("-",A103)+1)-FIND("-",A103)-1)</f>
        <v>MAYO</v>
      </c>
      <c r="D103" s="40"/>
      <c r="F103" t="s">
        <v>1802</v>
      </c>
      <c r="G103" s="4">
        <f t="shared" ref="G103:G130" si="8">IFERROR(IF(D103=0,0,(E103-D103)*24),0)</f>
        <v>0</v>
      </c>
      <c r="H103" t="s">
        <v>1803</v>
      </c>
      <c r="I103" t="s">
        <v>1867</v>
      </c>
      <c r="J103" t="str">
        <f>_xlfn.XLOOKUP($I103,RazónMuerte!$A:$A,RazónMuerte!B:B,"",0)</f>
        <v>Enfermedad degenerativa articular</v>
      </c>
      <c r="K103">
        <f>_xlfn.XLOOKUP($I103,RazónMuerte!$A:$A,RazónMuerte!C:C,"",0)</f>
        <v>0</v>
      </c>
      <c r="L103" t="str">
        <f>_xlfn.XLOOKUP($I103,RazónMuerte!$A:$A,RazónMuerte!D:D,"",0)</f>
        <v>No fatal injury (chronic/medical)</v>
      </c>
      <c r="N103" s="4">
        <v>981020027293506</v>
      </c>
    </row>
    <row r="104" spans="1:14" x14ac:dyDescent="0.25">
      <c r="A104" t="s">
        <v>1801</v>
      </c>
      <c r="B104" t="str">
        <f t="shared" si="6"/>
        <v>4</v>
      </c>
      <c r="C104" t="str">
        <f t="shared" si="7"/>
        <v>MAYO</v>
      </c>
      <c r="D104" s="40"/>
      <c r="F104" t="s">
        <v>52</v>
      </c>
      <c r="G104" s="4">
        <f t="shared" si="8"/>
        <v>0</v>
      </c>
      <c r="H104" t="s">
        <v>1804</v>
      </c>
      <c r="I104" t="s">
        <v>639</v>
      </c>
      <c r="J104" t="str">
        <f>_xlfn.XLOOKUP($I104,RazónMuerte!$A:$A,RazónMuerte!B:B,"",0)</f>
        <v>Enfermedad degenerativa articular</v>
      </c>
      <c r="K104">
        <f>_xlfn.XLOOKUP($I104,RazónMuerte!$A:$A,RazónMuerte!C:C,"",0)</f>
        <v>0</v>
      </c>
      <c r="L104" t="str">
        <f>_xlfn.XLOOKUP($I104,RazónMuerte!$A:$A,RazónMuerte!D:D,"",0)</f>
        <v>No fatal injury (chronic/medical)</v>
      </c>
      <c r="N104" s="4">
        <v>981020037819461</v>
      </c>
    </row>
    <row r="105" spans="1:14" x14ac:dyDescent="0.25">
      <c r="A105" t="s">
        <v>1805</v>
      </c>
      <c r="B105" t="str">
        <f t="shared" si="6"/>
        <v>5</v>
      </c>
      <c r="C105" t="str">
        <f t="shared" si="7"/>
        <v>MAYO</v>
      </c>
      <c r="D105" s="40"/>
      <c r="F105" t="s">
        <v>11</v>
      </c>
      <c r="G105" s="4">
        <f t="shared" si="8"/>
        <v>0</v>
      </c>
      <c r="H105" t="s">
        <v>1806</v>
      </c>
      <c r="I105" t="s">
        <v>1868</v>
      </c>
      <c r="J105" t="str">
        <f>_xlfn.XLOOKUP($I105,RazónMuerte!$A:$A,RazónMuerte!B:B,"",0)</f>
        <v>Enfermedad degenerativa articular</v>
      </c>
      <c r="K105">
        <f>_xlfn.XLOOKUP($I105,RazónMuerte!$A:$A,RazónMuerte!C:C,"",0)</f>
        <v>0</v>
      </c>
      <c r="L105" t="str">
        <f>_xlfn.XLOOKUP($I105,RazónMuerte!$A:$A,RazónMuerte!D:D,"",0)</f>
        <v>No fatal injury (chronic/medical)</v>
      </c>
      <c r="N105" s="4">
        <v>981020049224478</v>
      </c>
    </row>
    <row r="106" spans="1:14" x14ac:dyDescent="0.25">
      <c r="A106" t="s">
        <v>1805</v>
      </c>
      <c r="B106" t="str">
        <f t="shared" si="6"/>
        <v>5</v>
      </c>
      <c r="C106" t="str">
        <f t="shared" si="7"/>
        <v>MAYO</v>
      </c>
      <c r="D106" s="40"/>
      <c r="F106" t="s">
        <v>66</v>
      </c>
      <c r="G106" s="4">
        <f t="shared" si="8"/>
        <v>0</v>
      </c>
      <c r="H106" t="s">
        <v>1807</v>
      </c>
      <c r="I106" t="s">
        <v>1869</v>
      </c>
      <c r="J106" t="str">
        <f>_xlfn.XLOOKUP($I106,RazónMuerte!$A:$A,RazónMuerte!B:B,"",0)</f>
        <v>Fractura ósea</v>
      </c>
      <c r="K106" t="str">
        <f>_xlfn.XLOOKUP($I106,RazónMuerte!$A:$A,RazónMuerte!C:C,"",0)</f>
        <v>Rodilla / Carpal</v>
      </c>
      <c r="L106" t="str">
        <f>_xlfn.XLOOKUP($I106,RazónMuerte!$A:$A,RazónMuerte!D:D,"",0)</f>
        <v>No fatal injury (chronic/medical)</v>
      </c>
      <c r="N106" s="4">
        <v>981020051548195</v>
      </c>
    </row>
    <row r="107" spans="1:14" x14ac:dyDescent="0.25">
      <c r="A107" t="s">
        <v>1808</v>
      </c>
      <c r="B107" t="str">
        <f t="shared" si="6"/>
        <v>8</v>
      </c>
      <c r="C107" t="str">
        <f t="shared" si="7"/>
        <v>MAYO</v>
      </c>
      <c r="D107" s="40"/>
      <c r="F107" t="s">
        <v>79</v>
      </c>
      <c r="G107" s="4">
        <f t="shared" si="8"/>
        <v>0</v>
      </c>
      <c r="H107" t="s">
        <v>1809</v>
      </c>
      <c r="I107" t="s">
        <v>1780</v>
      </c>
      <c r="J107" t="str">
        <f>_xlfn.XLOOKUP($I107,RazónMuerte!$A:$A,RazónMuerte!B:B,"",0)</f>
        <v>Otras / No especificada</v>
      </c>
      <c r="K107">
        <f>_xlfn.XLOOKUP($I107,RazónMuerte!$A:$A,RazónMuerte!C:C,"",0)</f>
        <v>0</v>
      </c>
      <c r="L107" t="str">
        <f>_xlfn.XLOOKUP($I107,RazónMuerte!$A:$A,RazónMuerte!D:D,"",0)</f>
        <v>No clasificado</v>
      </c>
      <c r="N107" s="4">
        <v>981020049172661</v>
      </c>
    </row>
    <row r="108" spans="1:14" x14ac:dyDescent="0.25">
      <c r="A108" t="s">
        <v>1810</v>
      </c>
      <c r="B108" t="str">
        <f t="shared" si="6"/>
        <v>11</v>
      </c>
      <c r="C108" t="str">
        <f t="shared" si="7"/>
        <v>MAYO</v>
      </c>
      <c r="D108" s="40"/>
      <c r="F108" t="s">
        <v>1811</v>
      </c>
      <c r="G108" s="4">
        <f t="shared" si="8"/>
        <v>0</v>
      </c>
      <c r="H108" t="s">
        <v>1812</v>
      </c>
      <c r="I108" t="s">
        <v>1870</v>
      </c>
      <c r="J108" t="str">
        <f>_xlfn.XLOOKUP($I108,RazónMuerte!$A:$A,RazónMuerte!B:B,"",0)</f>
        <v>Enfermedad degenerativa articular</v>
      </c>
      <c r="K108">
        <f>_xlfn.XLOOKUP($I108,RazónMuerte!$A:$A,RazónMuerte!C:C,"",0)</f>
        <v>0</v>
      </c>
      <c r="L108" t="str">
        <f>_xlfn.XLOOKUP($I108,RazónMuerte!$A:$A,RazónMuerte!D:D,"",0)</f>
        <v>No fatal injury (chronic/medical)</v>
      </c>
      <c r="N108" s="4">
        <v>981020041936598</v>
      </c>
    </row>
    <row r="109" spans="1:14" x14ac:dyDescent="0.25">
      <c r="A109" t="s">
        <v>1813</v>
      </c>
      <c r="B109" t="str">
        <f t="shared" si="6"/>
        <v>12</v>
      </c>
      <c r="C109" t="str">
        <f t="shared" si="7"/>
        <v>MAYO</v>
      </c>
      <c r="D109" s="40"/>
      <c r="F109" t="s">
        <v>1207</v>
      </c>
      <c r="G109" s="4">
        <f t="shared" si="8"/>
        <v>0</v>
      </c>
      <c r="H109" t="s">
        <v>1814</v>
      </c>
      <c r="I109" t="s">
        <v>1871</v>
      </c>
      <c r="J109" t="str">
        <f>_xlfn.XLOOKUP($I109,RazónMuerte!$A:$A,RazónMuerte!B:B,"",0)</f>
        <v>Fractura ósea</v>
      </c>
      <c r="K109" t="str">
        <f>_xlfn.XLOOKUP($I109,RazónMuerte!$A:$A,RazónMuerte!C:C,"",0)</f>
        <v>Rodilla / Carpal</v>
      </c>
      <c r="L109" t="str">
        <f>_xlfn.XLOOKUP($I109,RazónMuerte!$A:$A,RazónMuerte!D:D,"",0)</f>
        <v>No fatal injury (chronic/medical)</v>
      </c>
      <c r="N109" s="4">
        <v>981020051778716</v>
      </c>
    </row>
    <row r="110" spans="1:14" x14ac:dyDescent="0.25">
      <c r="A110" t="s">
        <v>1815</v>
      </c>
      <c r="B110" t="str">
        <f t="shared" si="6"/>
        <v>15</v>
      </c>
      <c r="C110" t="str">
        <f t="shared" si="7"/>
        <v>MAYO</v>
      </c>
      <c r="D110" s="40"/>
      <c r="F110" t="s">
        <v>191</v>
      </c>
      <c r="G110" s="4">
        <f t="shared" si="8"/>
        <v>0</v>
      </c>
      <c r="H110" t="s">
        <v>1816</v>
      </c>
      <c r="I110" t="s">
        <v>1872</v>
      </c>
      <c r="J110" t="str">
        <f>_xlfn.XLOOKUP($I110,RazónMuerte!$A:$A,RazónMuerte!B:B,"",0)</f>
        <v>Enfermedad degenerativa articular</v>
      </c>
      <c r="K110">
        <f>_xlfn.XLOOKUP($I110,RazónMuerte!$A:$A,RazónMuerte!C:C,"",0)</f>
        <v>0</v>
      </c>
      <c r="L110" t="str">
        <f>_xlfn.XLOOKUP($I110,RazónMuerte!$A:$A,RazónMuerte!D:D,"",0)</f>
        <v>No fatal injury (chronic/medical)</v>
      </c>
      <c r="N110" s="4">
        <v>981020051001963</v>
      </c>
    </row>
    <row r="111" spans="1:14" x14ac:dyDescent="0.25">
      <c r="A111" t="s">
        <v>1817</v>
      </c>
      <c r="B111" t="str">
        <f t="shared" si="6"/>
        <v>16</v>
      </c>
      <c r="C111" t="str">
        <f t="shared" si="7"/>
        <v>MAYO</v>
      </c>
      <c r="D111" s="40"/>
      <c r="F111" t="s">
        <v>44</v>
      </c>
      <c r="G111" s="4">
        <f t="shared" si="8"/>
        <v>0</v>
      </c>
      <c r="H111" t="s">
        <v>1818</v>
      </c>
      <c r="I111" t="s">
        <v>1873</v>
      </c>
      <c r="J111" t="str">
        <f>_xlfn.XLOOKUP($I111,RazónMuerte!$A:$A,RazónMuerte!B:B,"",0)</f>
        <v>Enfermedad degenerativa articular</v>
      </c>
      <c r="K111">
        <f>_xlfn.XLOOKUP($I111,RazónMuerte!$A:$A,RazónMuerte!C:C,"",0)</f>
        <v>0</v>
      </c>
      <c r="L111" t="str">
        <f>_xlfn.XLOOKUP($I111,RazónMuerte!$A:$A,RazónMuerte!D:D,"",0)</f>
        <v>No fatal injury (chronic/medical)</v>
      </c>
      <c r="N111" s="4">
        <v>985141005942105</v>
      </c>
    </row>
    <row r="112" spans="1:14" x14ac:dyDescent="0.25">
      <c r="A112" t="s">
        <v>1817</v>
      </c>
      <c r="B112" t="str">
        <f t="shared" si="6"/>
        <v>16</v>
      </c>
      <c r="C112" t="str">
        <f t="shared" si="7"/>
        <v>MAYO</v>
      </c>
      <c r="D112" s="40"/>
      <c r="F112" t="s">
        <v>1819</v>
      </c>
      <c r="G112" s="4">
        <f t="shared" si="8"/>
        <v>0</v>
      </c>
      <c r="H112" t="s">
        <v>1820</v>
      </c>
      <c r="I112" t="s">
        <v>1874</v>
      </c>
      <c r="J112" t="str">
        <f>_xlfn.XLOOKUP($I112,RazónMuerte!$A:$A,RazónMuerte!B:B,"",0)</f>
        <v>Fractura ósea</v>
      </c>
      <c r="K112" t="str">
        <f>_xlfn.XLOOKUP($I112,RazónMuerte!$A:$A,RazónMuerte!C:C,"",0)</f>
        <v>Sesamoideo</v>
      </c>
      <c r="L112" t="str">
        <f>_xlfn.XLOOKUP($I112,RazónMuerte!$A:$A,RazónMuerte!D:D,"",0)</f>
        <v>Fatal injury</v>
      </c>
      <c r="N112" s="4">
        <v>981020045107491</v>
      </c>
    </row>
    <row r="113" spans="1:14" x14ac:dyDescent="0.25">
      <c r="A113" t="s">
        <v>1821</v>
      </c>
      <c r="B113" t="str">
        <f t="shared" si="6"/>
        <v>18</v>
      </c>
      <c r="C113" t="str">
        <f t="shared" si="7"/>
        <v>MAYO</v>
      </c>
      <c r="D113" s="40"/>
      <c r="F113" t="s">
        <v>31</v>
      </c>
      <c r="G113" s="4">
        <f t="shared" si="8"/>
        <v>0</v>
      </c>
      <c r="H113" t="s">
        <v>1822</v>
      </c>
      <c r="I113" t="s">
        <v>1823</v>
      </c>
      <c r="J113" t="str">
        <f>_xlfn.XLOOKUP($I113,RazónMuerte!$A:$A,RazónMuerte!B:B,"",0)</f>
        <v>Fractura ósea</v>
      </c>
      <c r="K113" t="str">
        <f>_xlfn.XLOOKUP($I113,RazónMuerte!$A:$A,RazónMuerte!C:C,"",0)</f>
        <v>Sesamoideo</v>
      </c>
      <c r="L113" t="str">
        <f>_xlfn.XLOOKUP($I113,RazónMuerte!$A:$A,RazónMuerte!D:D,"",0)</f>
        <v>Fatal injury</v>
      </c>
      <c r="N113" s="4">
        <v>981020045139600</v>
      </c>
    </row>
    <row r="114" spans="1:14" x14ac:dyDescent="0.25">
      <c r="A114" t="s">
        <v>1824</v>
      </c>
      <c r="B114" t="str">
        <f t="shared" si="6"/>
        <v>22</v>
      </c>
      <c r="C114" t="str">
        <f t="shared" si="7"/>
        <v>MAYO</v>
      </c>
      <c r="D114" s="40"/>
      <c r="F114" t="s">
        <v>1825</v>
      </c>
      <c r="G114" s="4">
        <f t="shared" si="8"/>
        <v>0</v>
      </c>
      <c r="H114" t="s">
        <v>1826</v>
      </c>
      <c r="I114" t="s">
        <v>1827</v>
      </c>
      <c r="J114" t="str">
        <f>_xlfn.XLOOKUP($I114,RazónMuerte!$A:$A,RazónMuerte!B:B,"",0)</f>
        <v>Fractura ósea</v>
      </c>
      <c r="K114" t="str">
        <f>_xlfn.XLOOKUP($I114,RazónMuerte!$A:$A,RazónMuerte!C:C,"",0)</f>
        <v>Slab</v>
      </c>
      <c r="L114" t="str">
        <f>_xlfn.XLOOKUP($I114,RazónMuerte!$A:$A,RazónMuerte!D:D,"",0)</f>
        <v>Fatal injury</v>
      </c>
      <c r="N114" s="4">
        <v>981020051130110</v>
      </c>
    </row>
    <row r="115" spans="1:14" x14ac:dyDescent="0.25">
      <c r="A115" t="s">
        <v>1824</v>
      </c>
      <c r="B115" t="str">
        <f t="shared" si="6"/>
        <v>22</v>
      </c>
      <c r="C115" t="str">
        <f t="shared" si="7"/>
        <v>MAYO</v>
      </c>
      <c r="D115" s="40"/>
      <c r="F115" t="s">
        <v>626</v>
      </c>
      <c r="G115" s="4">
        <f t="shared" si="8"/>
        <v>0</v>
      </c>
      <c r="H115" t="s">
        <v>1828</v>
      </c>
      <c r="I115" t="s">
        <v>1875</v>
      </c>
      <c r="J115" t="str">
        <f>_xlfn.XLOOKUP($I115,RazónMuerte!$A:$A,RazónMuerte!B:B,"",0)</f>
        <v>Enfermedad degenerativa articular</v>
      </c>
      <c r="K115">
        <f>_xlfn.XLOOKUP($I115,RazónMuerte!$A:$A,RazónMuerte!C:C,"",0)</f>
        <v>0</v>
      </c>
      <c r="L115" t="str">
        <f>_xlfn.XLOOKUP($I115,RazónMuerte!$A:$A,RazónMuerte!D:D,"",0)</f>
        <v>No fatal injury (chronic/medical)</v>
      </c>
      <c r="N115" s="4">
        <v>981020045088169</v>
      </c>
    </row>
    <row r="116" spans="1:14" x14ac:dyDescent="0.25">
      <c r="A116" t="s">
        <v>1824</v>
      </c>
      <c r="B116" t="str">
        <f t="shared" si="6"/>
        <v>22</v>
      </c>
      <c r="C116" t="str">
        <f t="shared" si="7"/>
        <v>MAYO</v>
      </c>
      <c r="D116" s="40"/>
      <c r="F116" t="s">
        <v>1829</v>
      </c>
      <c r="G116" s="4">
        <f t="shared" si="8"/>
        <v>0</v>
      </c>
      <c r="H116" t="s">
        <v>1830</v>
      </c>
      <c r="I116" t="s">
        <v>1831</v>
      </c>
      <c r="J116" t="str">
        <f>_xlfn.XLOOKUP($I116,RazónMuerte!$A:$A,RazónMuerte!B:B,"",0)</f>
        <v>Otras / No especificada</v>
      </c>
      <c r="K116">
        <f>_xlfn.XLOOKUP($I116,RazónMuerte!$A:$A,RazónMuerte!C:C,"",0)</f>
        <v>0</v>
      </c>
      <c r="L116" t="str">
        <f>_xlfn.XLOOKUP($I116,RazónMuerte!$A:$A,RazónMuerte!D:D,"",0)</f>
        <v>No clasificado</v>
      </c>
      <c r="N116" s="4">
        <v>981020055664214</v>
      </c>
    </row>
    <row r="117" spans="1:14" x14ac:dyDescent="0.25">
      <c r="A117" t="s">
        <v>1824</v>
      </c>
      <c r="B117" t="str">
        <f t="shared" si="6"/>
        <v>22</v>
      </c>
      <c r="C117" t="str">
        <f t="shared" si="7"/>
        <v>MAYO</v>
      </c>
      <c r="D117" s="40"/>
      <c r="F117" t="s">
        <v>1207</v>
      </c>
      <c r="G117" s="4">
        <f t="shared" si="8"/>
        <v>0</v>
      </c>
      <c r="H117" t="s">
        <v>1832</v>
      </c>
      <c r="I117" t="s">
        <v>1876</v>
      </c>
      <c r="J117" t="str">
        <f>_xlfn.XLOOKUP($I117,RazónMuerte!$A:$A,RazónMuerte!B:B,"",0)</f>
        <v>Otras / No especificada</v>
      </c>
      <c r="K117">
        <f>_xlfn.XLOOKUP($I117,RazónMuerte!$A:$A,RazónMuerte!C:C,"",0)</f>
        <v>0</v>
      </c>
      <c r="L117" t="str">
        <f>_xlfn.XLOOKUP($I117,RazónMuerte!$A:$A,RazónMuerte!D:D,"",0)</f>
        <v>No clasificado</v>
      </c>
      <c r="N117" s="4">
        <v>981020055619713</v>
      </c>
    </row>
    <row r="118" spans="1:14" x14ac:dyDescent="0.25">
      <c r="A118" t="s">
        <v>1833</v>
      </c>
      <c r="B118" t="str">
        <f t="shared" si="6"/>
        <v>23</v>
      </c>
      <c r="C118" t="str">
        <f t="shared" si="7"/>
        <v>MAYO</v>
      </c>
      <c r="D118" s="40"/>
      <c r="F118" t="s">
        <v>111</v>
      </c>
      <c r="G118" s="4">
        <f t="shared" si="8"/>
        <v>0</v>
      </c>
      <c r="H118" t="s">
        <v>1834</v>
      </c>
      <c r="I118" t="s">
        <v>1780</v>
      </c>
      <c r="J118" t="str">
        <f>_xlfn.XLOOKUP($I118,RazónMuerte!$A:$A,RazónMuerte!B:B,"",0)</f>
        <v>Otras / No especificada</v>
      </c>
      <c r="K118">
        <f>_xlfn.XLOOKUP($I118,RazónMuerte!$A:$A,RazónMuerte!C:C,"",0)</f>
        <v>0</v>
      </c>
      <c r="L118" t="str">
        <f>_xlfn.XLOOKUP($I118,RazónMuerte!$A:$A,RazónMuerte!D:D,"",0)</f>
        <v>No clasificado</v>
      </c>
      <c r="N118" s="4">
        <v>985141005950309</v>
      </c>
    </row>
    <row r="119" spans="1:14" x14ac:dyDescent="0.25">
      <c r="A119" t="s">
        <v>1835</v>
      </c>
      <c r="B119" t="str">
        <f t="shared" si="6"/>
        <v>27</v>
      </c>
      <c r="C119" t="str">
        <f t="shared" si="7"/>
        <v>MAYO</v>
      </c>
      <c r="D119" s="40"/>
      <c r="F119" t="s">
        <v>1634</v>
      </c>
      <c r="G119" s="4">
        <f t="shared" si="8"/>
        <v>0</v>
      </c>
      <c r="H119" t="s">
        <v>1836</v>
      </c>
      <c r="I119" t="s">
        <v>1877</v>
      </c>
      <c r="J119" t="str">
        <f>_xlfn.XLOOKUP($I119,RazónMuerte!$A:$A,RazónMuerte!B:B,"",0)</f>
        <v>Otras / No especificada</v>
      </c>
      <c r="K119">
        <f>_xlfn.XLOOKUP($I119,RazónMuerte!$A:$A,RazónMuerte!C:C,"",0)</f>
        <v>0</v>
      </c>
      <c r="L119" t="str">
        <f>_xlfn.XLOOKUP($I119,RazónMuerte!$A:$A,RazónMuerte!D:D,"",0)</f>
        <v>No clasificado</v>
      </c>
      <c r="N119" s="4">
        <v>981020037660079</v>
      </c>
    </row>
    <row r="120" spans="1:14" x14ac:dyDescent="0.25">
      <c r="A120" t="s">
        <v>1835</v>
      </c>
      <c r="B120" t="str">
        <f t="shared" si="6"/>
        <v>27</v>
      </c>
      <c r="C120" t="str">
        <f t="shared" si="7"/>
        <v>MAYO</v>
      </c>
      <c r="D120" s="40"/>
      <c r="F120" t="s">
        <v>11</v>
      </c>
      <c r="G120" s="4">
        <f t="shared" si="8"/>
        <v>0</v>
      </c>
      <c r="H120" t="s">
        <v>1837</v>
      </c>
      <c r="I120" t="s">
        <v>1878</v>
      </c>
      <c r="J120" t="str">
        <f>_xlfn.XLOOKUP($I120,RazónMuerte!$A:$A,RazónMuerte!B:B,"",0)</f>
        <v>Otras / No especificada</v>
      </c>
      <c r="K120">
        <f>_xlfn.XLOOKUP($I120,RazónMuerte!$A:$A,RazónMuerte!C:C,"",0)</f>
        <v>0</v>
      </c>
      <c r="L120" t="str">
        <f>_xlfn.XLOOKUP($I120,RazónMuerte!$A:$A,RazónMuerte!D:D,"",0)</f>
        <v>No clasificado</v>
      </c>
      <c r="N120" s="4">
        <v>981020051568597</v>
      </c>
    </row>
    <row r="121" spans="1:14" x14ac:dyDescent="0.25">
      <c r="A121" t="s">
        <v>1838</v>
      </c>
      <c r="B121" t="str">
        <f t="shared" si="6"/>
        <v>30</v>
      </c>
      <c r="C121" t="str">
        <f t="shared" si="7"/>
        <v>MAYO</v>
      </c>
      <c r="D121" s="40"/>
      <c r="F121" t="s">
        <v>1839</v>
      </c>
      <c r="G121" s="4">
        <f t="shared" si="8"/>
        <v>0</v>
      </c>
      <c r="H121" t="s">
        <v>1840</v>
      </c>
      <c r="I121" t="s">
        <v>1879</v>
      </c>
      <c r="J121" t="str">
        <f>_xlfn.XLOOKUP($I121,RazónMuerte!$A:$A,RazónMuerte!B:B,"",0)</f>
        <v>Enfermedad degenerativa articular</v>
      </c>
      <c r="K121">
        <f>_xlfn.XLOOKUP($I121,RazónMuerte!$A:$A,RazónMuerte!C:C,"",0)</f>
        <v>0</v>
      </c>
      <c r="L121" t="str">
        <f>_xlfn.XLOOKUP($I121,RazónMuerte!$A:$A,RazónMuerte!D:D,"",0)</f>
        <v>No fatal injury (chronic/medical)</v>
      </c>
      <c r="N121" s="4">
        <v>981020049703296</v>
      </c>
    </row>
    <row r="122" spans="1:14" x14ac:dyDescent="0.25">
      <c r="A122" t="s">
        <v>1841</v>
      </c>
      <c r="B122" t="str">
        <f t="shared" si="6"/>
        <v>1</v>
      </c>
      <c r="C122" t="str">
        <f t="shared" si="7"/>
        <v>JUNIO</v>
      </c>
      <c r="D122" s="40"/>
      <c r="F122" t="s">
        <v>92</v>
      </c>
      <c r="G122" s="4">
        <f t="shared" si="8"/>
        <v>0</v>
      </c>
      <c r="H122" t="s">
        <v>1842</v>
      </c>
      <c r="I122" t="s">
        <v>1574</v>
      </c>
      <c r="J122" t="str">
        <f>_xlfn.XLOOKUP($I122,RazónMuerte!$A:$A,RazónMuerte!B:B,"",0)</f>
        <v>Fractura ósea</v>
      </c>
      <c r="K122" t="str">
        <f>_xlfn.XLOOKUP($I122,RazónMuerte!$A:$A,RazónMuerte!C:C,"",0)</f>
        <v>Caña / Cannon bone</v>
      </c>
      <c r="L122" t="str">
        <f>_xlfn.XLOOKUP($I122,RazónMuerte!$A:$A,RazónMuerte!D:D,"",0)</f>
        <v>Fatal injury</v>
      </c>
      <c r="N122" s="4">
        <v>981020055590596</v>
      </c>
    </row>
    <row r="123" spans="1:14" x14ac:dyDescent="0.25">
      <c r="A123" t="s">
        <v>1843</v>
      </c>
      <c r="B123" t="str">
        <f t="shared" si="6"/>
        <v>3</v>
      </c>
      <c r="C123" t="str">
        <f t="shared" si="7"/>
        <v>JUNIO</v>
      </c>
      <c r="D123" s="40"/>
      <c r="F123" t="s">
        <v>1584</v>
      </c>
      <c r="G123" s="4">
        <f t="shared" si="8"/>
        <v>0</v>
      </c>
      <c r="H123" t="s">
        <v>1844</v>
      </c>
      <c r="I123" t="s">
        <v>1845</v>
      </c>
      <c r="J123" t="str">
        <f>_xlfn.XLOOKUP($I123,RazónMuerte!$A:$A,RazónMuerte!B:B,"",0)</f>
        <v>Lesión de ligamentos/tendones</v>
      </c>
      <c r="K123">
        <f>_xlfn.XLOOKUP($I123,RazónMuerte!$A:$A,RazónMuerte!C:C,"",0)</f>
        <v>0</v>
      </c>
      <c r="L123" t="str">
        <f>_xlfn.XLOOKUP($I123,RazónMuerte!$A:$A,RazónMuerte!D:D,"",0)</f>
        <v>No clasificado</v>
      </c>
      <c r="N123" s="4">
        <v>981020041786797</v>
      </c>
    </row>
    <row r="124" spans="1:14" x14ac:dyDescent="0.25">
      <c r="A124" t="s">
        <v>1846</v>
      </c>
      <c r="B124" t="str">
        <f t="shared" si="6"/>
        <v>4</v>
      </c>
      <c r="C124" t="str">
        <f t="shared" si="7"/>
        <v>JUNIO</v>
      </c>
      <c r="D124" s="40"/>
      <c r="F124" t="s">
        <v>11</v>
      </c>
      <c r="G124" s="4">
        <f t="shared" si="8"/>
        <v>0</v>
      </c>
      <c r="H124" t="s">
        <v>1847</v>
      </c>
      <c r="I124" t="s">
        <v>1880</v>
      </c>
      <c r="J124" t="str">
        <f>_xlfn.XLOOKUP($I124,RazónMuerte!$A:$A,RazónMuerte!B:B,"",0)</f>
        <v>Enfermedad degenerativa articular</v>
      </c>
      <c r="K124">
        <f>_xlfn.XLOOKUP($I124,RazónMuerte!$A:$A,RazónMuerte!C:C,"",0)</f>
        <v>0</v>
      </c>
      <c r="L124" t="str">
        <f>_xlfn.XLOOKUP($I124,RazónMuerte!$A:$A,RazónMuerte!D:D,"",0)</f>
        <v>No fatal injury (chronic/medical)</v>
      </c>
      <c r="N124" s="4">
        <v>981020023505168</v>
      </c>
    </row>
    <row r="125" spans="1:14" x14ac:dyDescent="0.25">
      <c r="A125" t="s">
        <v>1846</v>
      </c>
      <c r="B125" t="str">
        <f t="shared" si="6"/>
        <v>4</v>
      </c>
      <c r="C125" t="str">
        <f t="shared" si="7"/>
        <v>JUNIO</v>
      </c>
      <c r="D125" s="40"/>
      <c r="F125" t="s">
        <v>1848</v>
      </c>
      <c r="G125" s="4">
        <f t="shared" si="8"/>
        <v>0</v>
      </c>
      <c r="H125" t="s">
        <v>1849</v>
      </c>
      <c r="I125" t="s">
        <v>1850</v>
      </c>
      <c r="J125" t="str">
        <f>_xlfn.XLOOKUP($I125,RazónMuerte!$A:$A,RazónMuerte!B:B,"",0)</f>
        <v>Fractura ósea</v>
      </c>
      <c r="K125" t="str">
        <f>_xlfn.XLOOKUP($I125,RazónMuerte!$A:$A,RazónMuerte!C:C,"",0)</f>
        <v>Rodilla / Carpal</v>
      </c>
      <c r="L125" t="str">
        <f>_xlfn.XLOOKUP($I125,RazónMuerte!$A:$A,RazónMuerte!D:D,"",0)</f>
        <v>No fatal injury (chronic/medical)</v>
      </c>
      <c r="N125" s="4">
        <v>981020051574959</v>
      </c>
    </row>
    <row r="126" spans="1:14" x14ac:dyDescent="0.25">
      <c r="A126" t="s">
        <v>1851</v>
      </c>
      <c r="B126" t="str">
        <f t="shared" si="6"/>
        <v>5</v>
      </c>
      <c r="C126" t="str">
        <f t="shared" si="7"/>
        <v>JUNIO</v>
      </c>
      <c r="D126" s="40"/>
      <c r="F126" t="s">
        <v>81</v>
      </c>
      <c r="G126" s="4">
        <f t="shared" si="8"/>
        <v>0</v>
      </c>
      <c r="H126" t="s">
        <v>1852</v>
      </c>
      <c r="I126" t="s">
        <v>1853</v>
      </c>
      <c r="J126" t="str">
        <f>_xlfn.XLOOKUP($I126,RazónMuerte!$A:$A,RazónMuerte!B:B,"",0)</f>
        <v>Fractura ósea</v>
      </c>
      <c r="K126" t="str">
        <f>_xlfn.XLOOKUP($I126,RazónMuerte!$A:$A,RazónMuerte!C:C,"",0)</f>
        <v>Sesamoideo</v>
      </c>
      <c r="L126" t="str">
        <f>_xlfn.XLOOKUP($I126,RazónMuerte!$A:$A,RazónMuerte!D:D,"",0)</f>
        <v>No fatal injury (chronic/medical)</v>
      </c>
      <c r="N126" s="4">
        <v>981020037343286</v>
      </c>
    </row>
    <row r="127" spans="1:14" x14ac:dyDescent="0.25">
      <c r="A127" t="s">
        <v>1854</v>
      </c>
      <c r="B127" t="str">
        <f t="shared" si="6"/>
        <v>6</v>
      </c>
      <c r="C127" t="str">
        <f t="shared" si="7"/>
        <v>JUNIO</v>
      </c>
      <c r="D127" s="40"/>
      <c r="F127" t="s">
        <v>39</v>
      </c>
      <c r="G127" s="4">
        <f t="shared" si="8"/>
        <v>0</v>
      </c>
      <c r="H127" t="s">
        <v>1855</v>
      </c>
      <c r="I127" t="s">
        <v>1881</v>
      </c>
      <c r="J127" t="str">
        <f>_xlfn.XLOOKUP($I127,RazónMuerte!$A:$A,RazónMuerte!B:B,"",0)</f>
        <v>Fractura ósea</v>
      </c>
      <c r="K127" t="str">
        <f>_xlfn.XLOOKUP($I127,RazónMuerte!$A:$A,RazónMuerte!C:C,"",0)</f>
        <v>Sesamoideo</v>
      </c>
      <c r="L127" t="str">
        <f>_xlfn.XLOOKUP($I127,RazónMuerte!$A:$A,RazónMuerte!D:D,"",0)</f>
        <v>No fatal injury (chronic/medical)</v>
      </c>
      <c r="N127" s="4">
        <v>981020033570622</v>
      </c>
    </row>
    <row r="128" spans="1:14" x14ac:dyDescent="0.25">
      <c r="A128" t="s">
        <v>1856</v>
      </c>
      <c r="B128" t="str">
        <f t="shared" si="6"/>
        <v>9</v>
      </c>
      <c r="C128" t="str">
        <f t="shared" si="7"/>
        <v>JUNIO</v>
      </c>
      <c r="D128" s="40"/>
      <c r="F128" t="s">
        <v>887</v>
      </c>
      <c r="G128" s="4">
        <f t="shared" si="8"/>
        <v>0</v>
      </c>
      <c r="H128" t="s">
        <v>1857</v>
      </c>
      <c r="I128" t="s">
        <v>1858</v>
      </c>
      <c r="J128" t="str">
        <f>_xlfn.XLOOKUP($I128,RazónMuerte!$A:$A,RazónMuerte!B:B,"",0)</f>
        <v>Fractura ósea</v>
      </c>
      <c r="K128" t="str">
        <f>_xlfn.XLOOKUP($I128,RazónMuerte!$A:$A,RazónMuerte!C:C,"",0)</f>
        <v>Sesamoideo</v>
      </c>
      <c r="L128" t="str">
        <f>_xlfn.XLOOKUP($I128,RazónMuerte!$A:$A,RazónMuerte!D:D,"",0)</f>
        <v>No fatal injury (chronic/medical)</v>
      </c>
      <c r="N128" s="4">
        <v>981020041813406</v>
      </c>
    </row>
    <row r="129" spans="1:14" x14ac:dyDescent="0.25">
      <c r="A129" t="s">
        <v>1859</v>
      </c>
      <c r="B129" t="str">
        <f t="shared" si="6"/>
        <v>11</v>
      </c>
      <c r="C129" t="str">
        <f t="shared" si="7"/>
        <v>JUNIO</v>
      </c>
      <c r="D129" s="40"/>
      <c r="F129" t="s">
        <v>1860</v>
      </c>
      <c r="G129" s="4">
        <f t="shared" si="8"/>
        <v>0</v>
      </c>
      <c r="H129" t="s">
        <v>1861</v>
      </c>
      <c r="I129" t="s">
        <v>671</v>
      </c>
      <c r="J129" t="str">
        <f>_xlfn.XLOOKUP($I129,RazónMuerte!$A:$A,RazónMuerte!B:B,"",0)</f>
        <v>Fractura ósea</v>
      </c>
      <c r="K129" t="str">
        <f>_xlfn.XLOOKUP($I129,RazónMuerte!$A:$A,RazónMuerte!C:C,"",0)</f>
        <v>Slab</v>
      </c>
      <c r="L129" t="str">
        <f>_xlfn.XLOOKUP($I129,RazónMuerte!$A:$A,RazónMuerte!D:D,"",0)</f>
        <v>Fatal injury</v>
      </c>
      <c r="N129" s="4">
        <v>981020051589337</v>
      </c>
    </row>
    <row r="130" spans="1:14" x14ac:dyDescent="0.25">
      <c r="A130" t="s">
        <v>1862</v>
      </c>
      <c r="B130" t="str">
        <f t="shared" si="6"/>
        <v>15</v>
      </c>
      <c r="C130" t="str">
        <f t="shared" si="7"/>
        <v>JUNIO</v>
      </c>
      <c r="D130" s="40"/>
      <c r="F130" t="s">
        <v>1863</v>
      </c>
      <c r="G130" s="4">
        <f t="shared" si="8"/>
        <v>0</v>
      </c>
      <c r="H130" t="s">
        <v>1864</v>
      </c>
      <c r="I130" t="s">
        <v>1865</v>
      </c>
      <c r="J130" t="str">
        <f>_xlfn.XLOOKUP($I130,RazónMuerte!$A:$A,RazónMuerte!B:B,"",0)</f>
        <v>Lesión de ligamentos/tendones</v>
      </c>
      <c r="K130">
        <f>_xlfn.XLOOKUP($I130,RazónMuerte!$A:$A,RazónMuerte!C:C,"",0)</f>
        <v>0</v>
      </c>
      <c r="L130" t="str">
        <f>_xlfn.XLOOKUP($I130,RazónMuerte!$A:$A,RazónMuerte!D:D,"",0)</f>
        <v>No clasificado</v>
      </c>
      <c r="N130" s="4">
        <v>933000220012971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BF24-8E74-4B4B-B096-9D3ECA6525AE}">
  <dimension ref="A1:A443"/>
  <sheetViews>
    <sheetView workbookViewId="0">
      <selection activeCell="A37" sqref="A37"/>
    </sheetView>
  </sheetViews>
  <sheetFormatPr defaultRowHeight="15" x14ac:dyDescent="0.25"/>
  <cols>
    <col min="1" max="1" width="156.7109375" bestFit="1" customWidth="1"/>
  </cols>
  <sheetData>
    <row r="1" spans="1:1" x14ac:dyDescent="0.25">
      <c r="A1" t="s">
        <v>3</v>
      </c>
    </row>
    <row r="2" spans="1:1" x14ac:dyDescent="0.25">
      <c r="A2" t="s">
        <v>122</v>
      </c>
    </row>
    <row r="3" spans="1:1" x14ac:dyDescent="0.25">
      <c r="A3" t="s">
        <v>8</v>
      </c>
    </row>
    <row r="4" spans="1:1" x14ac:dyDescent="0.25">
      <c r="A4" t="s">
        <v>50</v>
      </c>
    </row>
    <row r="5" spans="1:1" x14ac:dyDescent="0.25">
      <c r="A5" t="s">
        <v>131</v>
      </c>
    </row>
    <row r="6" spans="1:1" x14ac:dyDescent="0.25">
      <c r="A6" t="s">
        <v>134</v>
      </c>
    </row>
    <row r="7" spans="1:1" x14ac:dyDescent="0.25">
      <c r="A7" t="s">
        <v>137</v>
      </c>
    </row>
    <row r="8" spans="1:1" x14ac:dyDescent="0.25">
      <c r="A8" t="s">
        <v>145</v>
      </c>
    </row>
    <row r="9" spans="1:1" x14ac:dyDescent="0.25">
      <c r="A9" t="s">
        <v>46</v>
      </c>
    </row>
    <row r="10" spans="1:1" x14ac:dyDescent="0.25">
      <c r="A10" t="s">
        <v>49</v>
      </c>
    </row>
    <row r="11" spans="1:1" x14ac:dyDescent="0.25">
      <c r="A11" t="s">
        <v>149</v>
      </c>
    </row>
    <row r="12" spans="1:1" x14ac:dyDescent="0.25">
      <c r="A12" t="s">
        <v>14</v>
      </c>
    </row>
    <row r="13" spans="1:1" x14ac:dyDescent="0.25">
      <c r="A13" t="s">
        <v>157</v>
      </c>
    </row>
    <row r="14" spans="1:1" x14ac:dyDescent="0.25">
      <c r="A14" t="s">
        <v>112</v>
      </c>
    </row>
    <row r="15" spans="1:1" x14ac:dyDescent="0.25">
      <c r="A15" t="s">
        <v>165</v>
      </c>
    </row>
    <row r="16" spans="1:1" x14ac:dyDescent="0.25">
      <c r="A16" t="s">
        <v>95</v>
      </c>
    </row>
    <row r="17" spans="1:1" x14ac:dyDescent="0.25">
      <c r="A17" t="s">
        <v>171</v>
      </c>
    </row>
    <row r="18" spans="1:1" x14ac:dyDescent="0.25">
      <c r="A18" t="s">
        <v>176</v>
      </c>
    </row>
    <row r="19" spans="1:1" x14ac:dyDescent="0.25">
      <c r="A19" t="s">
        <v>180</v>
      </c>
    </row>
    <row r="20" spans="1:1" x14ac:dyDescent="0.25">
      <c r="A20" t="s">
        <v>183</v>
      </c>
    </row>
    <row r="21" spans="1:1" x14ac:dyDescent="0.25">
      <c r="A21" t="s">
        <v>95</v>
      </c>
    </row>
    <row r="22" spans="1:1" x14ac:dyDescent="0.25">
      <c r="A22" t="s">
        <v>189</v>
      </c>
    </row>
    <row r="23" spans="1:1" x14ac:dyDescent="0.25">
      <c r="A23" t="s">
        <v>193</v>
      </c>
    </row>
    <row r="24" spans="1:1" x14ac:dyDescent="0.25">
      <c r="A24" t="s">
        <v>197</v>
      </c>
    </row>
    <row r="25" spans="1:1" x14ac:dyDescent="0.25">
      <c r="A25" t="s">
        <v>203</v>
      </c>
    </row>
    <row r="26" spans="1:1" x14ac:dyDescent="0.25">
      <c r="A26" t="s">
        <v>208</v>
      </c>
    </row>
    <row r="27" spans="1:1" x14ac:dyDescent="0.25">
      <c r="A27" t="s">
        <v>211</v>
      </c>
    </row>
    <row r="28" spans="1:1" x14ac:dyDescent="0.25">
      <c r="A28" t="s">
        <v>114</v>
      </c>
    </row>
    <row r="29" spans="1:1" x14ac:dyDescent="0.25">
      <c r="A29" t="s">
        <v>171</v>
      </c>
    </row>
    <row r="30" spans="1:1" x14ac:dyDescent="0.25">
      <c r="A30" t="s">
        <v>14</v>
      </c>
    </row>
    <row r="31" spans="1:1" x14ac:dyDescent="0.25">
      <c r="A31" t="s">
        <v>19</v>
      </c>
    </row>
    <row r="32" spans="1:1" x14ac:dyDescent="0.25">
      <c r="A32" t="s">
        <v>222</v>
      </c>
    </row>
    <row r="33" spans="1:1" x14ac:dyDescent="0.25">
      <c r="A33" t="s">
        <v>224</v>
      </c>
    </row>
    <row r="34" spans="1:1" x14ac:dyDescent="0.25">
      <c r="A34" t="s">
        <v>14</v>
      </c>
    </row>
    <row r="35" spans="1:1" x14ac:dyDescent="0.25">
      <c r="A35" t="s">
        <v>228</v>
      </c>
    </row>
    <row r="36" spans="1:1" x14ac:dyDescent="0.25">
      <c r="A36" t="s">
        <v>23</v>
      </c>
    </row>
    <row r="37" spans="1:1" x14ac:dyDescent="0.25">
      <c r="A37" t="s">
        <v>231</v>
      </c>
    </row>
    <row r="38" spans="1:1" x14ac:dyDescent="0.25">
      <c r="A38" t="s">
        <v>237</v>
      </c>
    </row>
    <row r="39" spans="1:1" x14ac:dyDescent="0.25">
      <c r="A39" t="s">
        <v>235</v>
      </c>
    </row>
    <row r="40" spans="1:1" x14ac:dyDescent="0.25">
      <c r="A40" t="s">
        <v>235</v>
      </c>
    </row>
    <row r="41" spans="1:1" x14ac:dyDescent="0.25">
      <c r="A41" t="s">
        <v>243</v>
      </c>
    </row>
    <row r="42" spans="1:1" x14ac:dyDescent="0.25">
      <c r="A42" t="s">
        <v>87</v>
      </c>
    </row>
    <row r="43" spans="1:1" x14ac:dyDescent="0.25">
      <c r="A43" t="s">
        <v>246</v>
      </c>
    </row>
    <row r="44" spans="1:1" x14ac:dyDescent="0.25">
      <c r="A44" t="s">
        <v>251</v>
      </c>
    </row>
    <row r="45" spans="1:1" x14ac:dyDescent="0.25">
      <c r="A45" t="s">
        <v>258</v>
      </c>
    </row>
    <row r="46" spans="1:1" x14ac:dyDescent="0.25">
      <c r="A46" t="s">
        <v>255</v>
      </c>
    </row>
    <row r="47" spans="1:1" x14ac:dyDescent="0.25">
      <c r="A47" t="s">
        <v>263</v>
      </c>
    </row>
    <row r="48" spans="1:1" x14ac:dyDescent="0.25">
      <c r="A48" t="s">
        <v>264</v>
      </c>
    </row>
    <row r="49" spans="1:1" x14ac:dyDescent="0.25">
      <c r="A49" t="s">
        <v>267</v>
      </c>
    </row>
    <row r="50" spans="1:1" x14ac:dyDescent="0.25">
      <c r="A50" t="s">
        <v>271</v>
      </c>
    </row>
    <row r="51" spans="1:1" x14ac:dyDescent="0.25">
      <c r="A51" t="s">
        <v>275</v>
      </c>
    </row>
    <row r="52" spans="1:1" x14ac:dyDescent="0.25">
      <c r="A52" t="s">
        <v>276</v>
      </c>
    </row>
    <row r="53" spans="1:1" x14ac:dyDescent="0.25">
      <c r="A53" t="s">
        <v>280</v>
      </c>
    </row>
    <row r="54" spans="1:1" x14ac:dyDescent="0.25">
      <c r="A54" t="s">
        <v>283</v>
      </c>
    </row>
    <row r="55" spans="1:1" x14ac:dyDescent="0.25">
      <c r="A55" t="s">
        <v>286</v>
      </c>
    </row>
    <row r="56" spans="1:1" x14ac:dyDescent="0.25">
      <c r="A56" t="s">
        <v>289</v>
      </c>
    </row>
    <row r="57" spans="1:1" x14ac:dyDescent="0.25">
      <c r="A57" t="s">
        <v>292</v>
      </c>
    </row>
    <row r="58" spans="1:1" x14ac:dyDescent="0.25">
      <c r="A58" t="s">
        <v>87</v>
      </c>
    </row>
    <row r="59" spans="1:1" x14ac:dyDescent="0.25">
      <c r="A59" t="s">
        <v>298</v>
      </c>
    </row>
    <row r="60" spans="1:1" x14ac:dyDescent="0.25">
      <c r="A60" t="s">
        <v>101</v>
      </c>
    </row>
    <row r="61" spans="1:1" x14ac:dyDescent="0.25">
      <c r="A61" t="s">
        <v>304</v>
      </c>
    </row>
    <row r="62" spans="1:1" x14ac:dyDescent="0.25">
      <c r="A62" t="s">
        <v>308</v>
      </c>
    </row>
    <row r="63" spans="1:1" x14ac:dyDescent="0.25">
      <c r="A63" t="s">
        <v>320</v>
      </c>
    </row>
    <row r="64" spans="1:1" x14ac:dyDescent="0.25">
      <c r="A64" t="s">
        <v>317</v>
      </c>
    </row>
    <row r="65" spans="1:1" x14ac:dyDescent="0.25">
      <c r="A65" t="s">
        <v>313</v>
      </c>
    </row>
    <row r="66" spans="1:1" x14ac:dyDescent="0.25">
      <c r="A66" t="s">
        <v>78</v>
      </c>
    </row>
    <row r="67" spans="1:1" x14ac:dyDescent="0.25">
      <c r="A67" t="s">
        <v>321</v>
      </c>
    </row>
    <row r="68" spans="1:1" x14ac:dyDescent="0.25">
      <c r="A68" t="s">
        <v>325</v>
      </c>
    </row>
    <row r="69" spans="1:1" x14ac:dyDescent="0.25">
      <c r="A69" t="s">
        <v>385</v>
      </c>
    </row>
    <row r="70" spans="1:1" x14ac:dyDescent="0.25">
      <c r="A70" t="s">
        <v>78</v>
      </c>
    </row>
    <row r="71" spans="1:1" x14ac:dyDescent="0.25">
      <c r="A71" t="s">
        <v>60</v>
      </c>
    </row>
    <row r="72" spans="1:1" x14ac:dyDescent="0.25">
      <c r="A72" t="s">
        <v>334</v>
      </c>
    </row>
    <row r="73" spans="1:1" x14ac:dyDescent="0.25">
      <c r="A73" t="s">
        <v>337</v>
      </c>
    </row>
    <row r="74" spans="1:1" x14ac:dyDescent="0.25">
      <c r="A74" t="s">
        <v>340</v>
      </c>
    </row>
    <row r="75" spans="1:1" x14ac:dyDescent="0.25">
      <c r="A75" t="s">
        <v>345</v>
      </c>
    </row>
    <row r="76" spans="1:1" x14ac:dyDescent="0.25">
      <c r="A76" t="s">
        <v>78</v>
      </c>
    </row>
    <row r="77" spans="1:1" x14ac:dyDescent="0.25">
      <c r="A77" t="s">
        <v>348</v>
      </c>
    </row>
    <row r="78" spans="1:1" x14ac:dyDescent="0.25">
      <c r="A78" t="s">
        <v>351</v>
      </c>
    </row>
    <row r="79" spans="1:1" x14ac:dyDescent="0.25">
      <c r="A79" t="s">
        <v>354</v>
      </c>
    </row>
    <row r="80" spans="1:1" x14ac:dyDescent="0.25">
      <c r="A80" t="s">
        <v>358</v>
      </c>
    </row>
    <row r="81" spans="1:1" x14ac:dyDescent="0.25">
      <c r="A81" t="s">
        <v>362</v>
      </c>
    </row>
    <row r="82" spans="1:1" x14ac:dyDescent="0.25">
      <c r="A82" t="s">
        <v>365</v>
      </c>
    </row>
    <row r="83" spans="1:1" x14ac:dyDescent="0.25">
      <c r="A83" t="s">
        <v>367</v>
      </c>
    </row>
    <row r="84" spans="1:1" x14ac:dyDescent="0.25">
      <c r="A84" t="s">
        <v>370</v>
      </c>
    </row>
    <row r="85" spans="1:1" x14ac:dyDescent="0.25">
      <c r="A85" t="s">
        <v>373</v>
      </c>
    </row>
    <row r="86" spans="1:1" x14ac:dyDescent="0.25">
      <c r="A86" t="s">
        <v>374</v>
      </c>
    </row>
    <row r="87" spans="1:1" x14ac:dyDescent="0.25">
      <c r="A87" t="s">
        <v>379</v>
      </c>
    </row>
    <row r="88" spans="1:1" x14ac:dyDescent="0.25">
      <c r="A88" t="s">
        <v>381</v>
      </c>
    </row>
    <row r="89" spans="1:1" x14ac:dyDescent="0.25">
      <c r="A89" t="s">
        <v>78</v>
      </c>
    </row>
    <row r="90" spans="1:1" x14ac:dyDescent="0.25">
      <c r="A90" t="s">
        <v>391</v>
      </c>
    </row>
    <row r="91" spans="1:1" x14ac:dyDescent="0.25">
      <c r="A91" t="s">
        <v>394</v>
      </c>
    </row>
    <row r="92" spans="1:1" x14ac:dyDescent="0.25">
      <c r="A92" t="s">
        <v>78</v>
      </c>
    </row>
    <row r="93" spans="1:1" x14ac:dyDescent="0.25">
      <c r="A93" t="s">
        <v>398</v>
      </c>
    </row>
    <row r="94" spans="1:1" x14ac:dyDescent="0.25">
      <c r="A94" t="s">
        <v>402</v>
      </c>
    </row>
    <row r="95" spans="1:1" x14ac:dyDescent="0.25">
      <c r="A95" t="s">
        <v>78</v>
      </c>
    </row>
    <row r="96" spans="1:1" x14ac:dyDescent="0.25">
      <c r="A96" t="s">
        <v>405</v>
      </c>
    </row>
    <row r="97" spans="1:1" x14ac:dyDescent="0.25">
      <c r="A97" t="s">
        <v>413</v>
      </c>
    </row>
    <row r="98" spans="1:1" x14ac:dyDescent="0.25">
      <c r="A98" t="s">
        <v>409</v>
      </c>
    </row>
    <row r="99" spans="1:1" x14ac:dyDescent="0.25">
      <c r="A99" t="s">
        <v>411</v>
      </c>
    </row>
    <row r="100" spans="1:1" x14ac:dyDescent="0.25">
      <c r="A100" t="s">
        <v>425</v>
      </c>
    </row>
    <row r="101" spans="1:1" x14ac:dyDescent="0.25">
      <c r="A101" t="s">
        <v>417</v>
      </c>
    </row>
    <row r="102" spans="1:1" x14ac:dyDescent="0.25">
      <c r="A102" t="s">
        <v>419</v>
      </c>
    </row>
    <row r="103" spans="1:1" x14ac:dyDescent="0.25">
      <c r="A103" t="s">
        <v>421</v>
      </c>
    </row>
    <row r="104" spans="1:1" x14ac:dyDescent="0.25">
      <c r="A104" t="s">
        <v>428</v>
      </c>
    </row>
    <row r="105" spans="1:1" x14ac:dyDescent="0.25">
      <c r="A105" t="s">
        <v>430</v>
      </c>
    </row>
    <row r="106" spans="1:1" x14ac:dyDescent="0.25">
      <c r="A106" t="s">
        <v>433</v>
      </c>
    </row>
    <row r="107" spans="1:1" x14ac:dyDescent="0.25">
      <c r="A107" t="s">
        <v>438</v>
      </c>
    </row>
    <row r="108" spans="1:1" x14ac:dyDescent="0.25">
      <c r="A108" t="s">
        <v>439</v>
      </c>
    </row>
    <row r="109" spans="1:1" x14ac:dyDescent="0.25">
      <c r="A109" t="s">
        <v>255</v>
      </c>
    </row>
    <row r="110" spans="1:1" x14ac:dyDescent="0.25">
      <c r="A110" t="s">
        <v>444</v>
      </c>
    </row>
    <row r="111" spans="1:1" x14ac:dyDescent="0.25">
      <c r="A111" t="s">
        <v>447</v>
      </c>
    </row>
    <row r="112" spans="1:1" x14ac:dyDescent="0.25">
      <c r="A112" t="s">
        <v>450</v>
      </c>
    </row>
    <row r="113" spans="1:1" x14ac:dyDescent="0.25">
      <c r="A113" t="s">
        <v>451</v>
      </c>
    </row>
    <row r="114" spans="1:1" x14ac:dyDescent="0.25">
      <c r="A114" t="s">
        <v>455</v>
      </c>
    </row>
    <row r="115" spans="1:1" x14ac:dyDescent="0.25">
      <c r="A115" t="s">
        <v>459</v>
      </c>
    </row>
    <row r="116" spans="1:1" x14ac:dyDescent="0.25">
      <c r="A116" t="s">
        <v>461</v>
      </c>
    </row>
    <row r="117" spans="1:1" x14ac:dyDescent="0.25">
      <c r="A117" t="s">
        <v>57</v>
      </c>
    </row>
    <row r="118" spans="1:1" x14ac:dyDescent="0.25">
      <c r="A118" t="s">
        <v>255</v>
      </c>
    </row>
    <row r="119" spans="1:1" x14ac:dyDescent="0.25">
      <c r="A119" t="s">
        <v>468</v>
      </c>
    </row>
    <row r="120" spans="1:1" x14ac:dyDescent="0.25">
      <c r="A120" t="s">
        <v>472</v>
      </c>
    </row>
    <row r="121" spans="1:1" x14ac:dyDescent="0.25">
      <c r="A121" t="s">
        <v>475</v>
      </c>
    </row>
    <row r="122" spans="1:1" x14ac:dyDescent="0.25">
      <c r="A122" t="s">
        <v>478</v>
      </c>
    </row>
    <row r="123" spans="1:1" x14ac:dyDescent="0.25">
      <c r="A123" t="s">
        <v>78</v>
      </c>
    </row>
    <row r="124" spans="1:1" x14ac:dyDescent="0.25">
      <c r="A124" t="s">
        <v>482</v>
      </c>
    </row>
    <row r="125" spans="1:1" x14ac:dyDescent="0.25">
      <c r="A125" t="s">
        <v>488</v>
      </c>
    </row>
    <row r="126" spans="1:1" x14ac:dyDescent="0.25">
      <c r="A126" t="s">
        <v>491</v>
      </c>
    </row>
    <row r="127" spans="1:1" x14ac:dyDescent="0.25">
      <c r="A127" t="s">
        <v>495</v>
      </c>
    </row>
    <row r="128" spans="1:1" x14ac:dyDescent="0.25">
      <c r="A128" t="s">
        <v>498</v>
      </c>
    </row>
    <row r="129" spans="1:1" x14ac:dyDescent="0.25">
      <c r="A129" t="s">
        <v>501</v>
      </c>
    </row>
    <row r="130" spans="1:1" x14ac:dyDescent="0.25">
      <c r="A130" t="s">
        <v>502</v>
      </c>
    </row>
    <row r="131" spans="1:1" x14ac:dyDescent="0.25">
      <c r="A131" t="s">
        <v>255</v>
      </c>
    </row>
    <row r="132" spans="1:1" x14ac:dyDescent="0.25">
      <c r="A132" t="s">
        <v>539</v>
      </c>
    </row>
    <row r="133" spans="1:1" x14ac:dyDescent="0.25">
      <c r="A133" t="s">
        <v>543</v>
      </c>
    </row>
    <row r="134" spans="1:1" x14ac:dyDescent="0.25">
      <c r="A134" t="s">
        <v>101</v>
      </c>
    </row>
    <row r="135" spans="1:1" x14ac:dyDescent="0.25">
      <c r="A135" t="s">
        <v>511</v>
      </c>
    </row>
    <row r="136" spans="1:1" x14ac:dyDescent="0.25">
      <c r="A136" t="s">
        <v>514</v>
      </c>
    </row>
    <row r="137" spans="1:1" x14ac:dyDescent="0.25">
      <c r="A137" t="s">
        <v>518</v>
      </c>
    </row>
    <row r="138" spans="1:1" x14ac:dyDescent="0.25">
      <c r="A138" t="s">
        <v>519</v>
      </c>
    </row>
    <row r="139" spans="1:1" x14ac:dyDescent="0.25">
      <c r="A139" t="s">
        <v>523</v>
      </c>
    </row>
    <row r="140" spans="1:1" x14ac:dyDescent="0.25">
      <c r="A140" t="s">
        <v>526</v>
      </c>
    </row>
    <row r="141" spans="1:1" x14ac:dyDescent="0.25">
      <c r="A141" t="s">
        <v>527</v>
      </c>
    </row>
    <row r="142" spans="1:1" x14ac:dyDescent="0.25">
      <c r="A142" t="s">
        <v>532</v>
      </c>
    </row>
    <row r="143" spans="1:1" x14ac:dyDescent="0.25">
      <c r="A143" t="s">
        <v>535</v>
      </c>
    </row>
    <row r="144" spans="1:1" x14ac:dyDescent="0.25">
      <c r="A144" t="s">
        <v>588</v>
      </c>
    </row>
    <row r="145" spans="1:1" x14ac:dyDescent="0.25">
      <c r="A145" t="s">
        <v>586</v>
      </c>
    </row>
    <row r="146" spans="1:1" x14ac:dyDescent="0.25">
      <c r="A146" t="s">
        <v>546</v>
      </c>
    </row>
    <row r="147" spans="1:1" x14ac:dyDescent="0.25">
      <c r="A147" t="s">
        <v>551</v>
      </c>
    </row>
    <row r="148" spans="1:1" x14ac:dyDescent="0.25">
      <c r="A148" t="s">
        <v>56</v>
      </c>
    </row>
    <row r="149" spans="1:1" x14ac:dyDescent="0.25">
      <c r="A149" t="s">
        <v>554</v>
      </c>
    </row>
    <row r="150" spans="1:1" x14ac:dyDescent="0.25">
      <c r="A150" t="s">
        <v>556</v>
      </c>
    </row>
    <row r="151" spans="1:1" x14ac:dyDescent="0.25">
      <c r="A151" t="s">
        <v>560</v>
      </c>
    </row>
    <row r="152" spans="1:1" x14ac:dyDescent="0.25">
      <c r="A152" t="s">
        <v>564</v>
      </c>
    </row>
    <row r="153" spans="1:1" x14ac:dyDescent="0.25">
      <c r="A153" t="s">
        <v>101</v>
      </c>
    </row>
    <row r="154" spans="1:1" x14ac:dyDescent="0.25">
      <c r="A154" t="s">
        <v>566</v>
      </c>
    </row>
    <row r="155" spans="1:1" x14ac:dyDescent="0.25">
      <c r="A155" t="s">
        <v>570</v>
      </c>
    </row>
    <row r="156" spans="1:1" x14ac:dyDescent="0.25">
      <c r="A156" t="s">
        <v>78</v>
      </c>
    </row>
    <row r="157" spans="1:1" x14ac:dyDescent="0.25">
      <c r="A157" t="s">
        <v>574</v>
      </c>
    </row>
    <row r="158" spans="1:1" x14ac:dyDescent="0.25">
      <c r="A158" t="s">
        <v>579</v>
      </c>
    </row>
    <row r="159" spans="1:1" x14ac:dyDescent="0.25">
      <c r="A159" t="s">
        <v>583</v>
      </c>
    </row>
    <row r="160" spans="1:1" x14ac:dyDescent="0.25">
      <c r="A160" t="s">
        <v>591</v>
      </c>
    </row>
    <row r="161" spans="1:1" x14ac:dyDescent="0.25">
      <c r="A161" t="s">
        <v>595</v>
      </c>
    </row>
    <row r="162" spans="1:1" x14ac:dyDescent="0.25">
      <c r="A162" t="s">
        <v>523</v>
      </c>
    </row>
    <row r="163" spans="1:1" x14ac:dyDescent="0.25">
      <c r="A163" t="s">
        <v>599</v>
      </c>
    </row>
    <row r="164" spans="1:1" x14ac:dyDescent="0.25">
      <c r="A164" t="s">
        <v>605</v>
      </c>
    </row>
    <row r="165" spans="1:1" x14ac:dyDescent="0.25">
      <c r="A165" t="s">
        <v>54</v>
      </c>
    </row>
    <row r="166" spans="1:1" x14ac:dyDescent="0.25">
      <c r="A166" t="s">
        <v>612</v>
      </c>
    </row>
    <row r="167" spans="1:1" x14ac:dyDescent="0.25">
      <c r="A167" t="s">
        <v>91</v>
      </c>
    </row>
    <row r="168" spans="1:1" x14ac:dyDescent="0.25">
      <c r="A168" t="s">
        <v>615</v>
      </c>
    </row>
    <row r="169" spans="1:1" x14ac:dyDescent="0.25">
      <c r="A169" t="s">
        <v>616</v>
      </c>
    </row>
    <row r="170" spans="1:1" x14ac:dyDescent="0.25">
      <c r="A170" t="s">
        <v>621</v>
      </c>
    </row>
    <row r="171" spans="1:1" x14ac:dyDescent="0.25">
      <c r="A171" t="s">
        <v>622</v>
      </c>
    </row>
    <row r="172" spans="1:1" x14ac:dyDescent="0.25">
      <c r="A172" t="s">
        <v>628</v>
      </c>
    </row>
    <row r="173" spans="1:1" x14ac:dyDescent="0.25">
      <c r="A173" t="s">
        <v>629</v>
      </c>
    </row>
    <row r="174" spans="1:1" x14ac:dyDescent="0.25">
      <c r="A174" t="s">
        <v>634</v>
      </c>
    </row>
    <row r="175" spans="1:1" x14ac:dyDescent="0.25">
      <c r="A175" t="s">
        <v>101</v>
      </c>
    </row>
    <row r="176" spans="1:1" x14ac:dyDescent="0.25">
      <c r="A176" t="s">
        <v>639</v>
      </c>
    </row>
    <row r="177" spans="1:1" x14ac:dyDescent="0.25">
      <c r="A177" t="s">
        <v>642</v>
      </c>
    </row>
    <row r="178" spans="1:1" x14ac:dyDescent="0.25">
      <c r="A178" t="s">
        <v>643</v>
      </c>
    </row>
    <row r="179" spans="1:1" x14ac:dyDescent="0.25">
      <c r="A179" t="s">
        <v>648</v>
      </c>
    </row>
    <row r="180" spans="1:1" x14ac:dyDescent="0.25">
      <c r="A180" t="s">
        <v>87</v>
      </c>
    </row>
    <row r="181" spans="1:1" x14ac:dyDescent="0.25">
      <c r="A181" t="s">
        <v>653</v>
      </c>
    </row>
    <row r="182" spans="1:1" x14ac:dyDescent="0.25">
      <c r="A182" t="s">
        <v>656</v>
      </c>
    </row>
    <row r="183" spans="1:1" x14ac:dyDescent="0.25">
      <c r="A183" t="s">
        <v>657</v>
      </c>
    </row>
    <row r="184" spans="1:1" x14ac:dyDescent="0.25">
      <c r="A184" t="s">
        <v>661</v>
      </c>
    </row>
    <row r="185" spans="1:1" x14ac:dyDescent="0.25">
      <c r="A185" t="s">
        <v>664</v>
      </c>
    </row>
    <row r="186" spans="1:1" x14ac:dyDescent="0.25">
      <c r="A186" t="s">
        <v>667</v>
      </c>
    </row>
    <row r="187" spans="1:1" x14ac:dyDescent="0.25">
      <c r="A187" t="s">
        <v>78</v>
      </c>
    </row>
    <row r="188" spans="1:1" x14ac:dyDescent="0.25">
      <c r="A188" t="s">
        <v>671</v>
      </c>
    </row>
    <row r="189" spans="1:1" x14ac:dyDescent="0.25">
      <c r="A189" t="s">
        <v>672</v>
      </c>
    </row>
    <row r="190" spans="1:1" x14ac:dyDescent="0.25">
      <c r="A190" t="s">
        <v>677</v>
      </c>
    </row>
    <row r="191" spans="1:1" x14ac:dyDescent="0.25">
      <c r="A191" t="s">
        <v>678</v>
      </c>
    </row>
    <row r="192" spans="1:1" x14ac:dyDescent="0.25">
      <c r="A192" t="s">
        <v>682</v>
      </c>
    </row>
    <row r="193" spans="1:1" x14ac:dyDescent="0.25">
      <c r="A193" t="s">
        <v>57</v>
      </c>
    </row>
    <row r="194" spans="1:1" x14ac:dyDescent="0.25">
      <c r="A194" t="s">
        <v>686</v>
      </c>
    </row>
    <row r="195" spans="1:1" x14ac:dyDescent="0.25">
      <c r="A195" t="s">
        <v>690</v>
      </c>
    </row>
    <row r="196" spans="1:1" x14ac:dyDescent="0.25">
      <c r="A196" t="s">
        <v>694</v>
      </c>
    </row>
    <row r="197" spans="1:1" x14ac:dyDescent="0.25">
      <c r="A197" t="s">
        <v>695</v>
      </c>
    </row>
    <row r="198" spans="1:1" x14ac:dyDescent="0.25">
      <c r="A198" t="s">
        <v>721</v>
      </c>
    </row>
    <row r="199" spans="1:1" x14ac:dyDescent="0.25">
      <c r="A199" t="s">
        <v>724</v>
      </c>
    </row>
    <row r="200" spans="1:1" x14ac:dyDescent="0.25">
      <c r="A200" t="s">
        <v>700</v>
      </c>
    </row>
    <row r="201" spans="1:1" x14ac:dyDescent="0.25">
      <c r="A201" t="s">
        <v>703</v>
      </c>
    </row>
    <row r="202" spans="1:1" x14ac:dyDescent="0.25">
      <c r="A202" t="s">
        <v>727</v>
      </c>
    </row>
    <row r="203" spans="1:1" x14ac:dyDescent="0.25">
      <c r="A203" t="s">
        <v>706</v>
      </c>
    </row>
    <row r="204" spans="1:1" x14ac:dyDescent="0.25">
      <c r="A204" t="s">
        <v>695</v>
      </c>
    </row>
    <row r="205" spans="1:1" x14ac:dyDescent="0.25">
      <c r="A205" t="s">
        <v>711</v>
      </c>
    </row>
    <row r="206" spans="1:1" x14ac:dyDescent="0.25">
      <c r="A206" t="s">
        <v>714</v>
      </c>
    </row>
    <row r="207" spans="1:1" x14ac:dyDescent="0.25">
      <c r="A207" t="s">
        <v>718</v>
      </c>
    </row>
    <row r="208" spans="1:1" x14ac:dyDescent="0.25">
      <c r="A208" t="s">
        <v>275</v>
      </c>
    </row>
    <row r="209" spans="1:1" x14ac:dyDescent="0.25">
      <c r="A209" t="s">
        <v>734</v>
      </c>
    </row>
    <row r="210" spans="1:1" x14ac:dyDescent="0.25">
      <c r="A210" t="s">
        <v>737</v>
      </c>
    </row>
    <row r="211" spans="1:1" x14ac:dyDescent="0.25">
      <c r="A211" t="s">
        <v>740</v>
      </c>
    </row>
    <row r="212" spans="1:1" x14ac:dyDescent="0.25">
      <c r="A212" t="s">
        <v>743</v>
      </c>
    </row>
    <row r="213" spans="1:1" x14ac:dyDescent="0.25">
      <c r="A213" t="s">
        <v>748</v>
      </c>
    </row>
    <row r="214" spans="1:1" x14ac:dyDescent="0.25">
      <c r="A214" t="s">
        <v>747</v>
      </c>
    </row>
    <row r="215" spans="1:1" x14ac:dyDescent="0.25">
      <c r="A215" t="s">
        <v>752</v>
      </c>
    </row>
    <row r="216" spans="1:1" x14ac:dyDescent="0.25">
      <c r="A216" t="s">
        <v>755</v>
      </c>
    </row>
    <row r="217" spans="1:1" x14ac:dyDescent="0.25">
      <c r="A217" t="s">
        <v>766</v>
      </c>
    </row>
    <row r="218" spans="1:1" x14ac:dyDescent="0.25">
      <c r="A218" t="s">
        <v>767</v>
      </c>
    </row>
    <row r="219" spans="1:1" x14ac:dyDescent="0.25">
      <c r="A219" t="s">
        <v>761</v>
      </c>
    </row>
    <row r="220" spans="1:1" x14ac:dyDescent="0.25">
      <c r="A220" t="s">
        <v>759</v>
      </c>
    </row>
    <row r="221" spans="1:1" x14ac:dyDescent="0.25">
      <c r="A221" t="s">
        <v>771</v>
      </c>
    </row>
    <row r="222" spans="1:1" x14ac:dyDescent="0.25">
      <c r="A222" t="s">
        <v>773</v>
      </c>
    </row>
    <row r="223" spans="1:1" x14ac:dyDescent="0.25">
      <c r="A223" t="s">
        <v>776</v>
      </c>
    </row>
    <row r="224" spans="1:1" x14ac:dyDescent="0.25">
      <c r="A224" t="s">
        <v>78</v>
      </c>
    </row>
    <row r="225" spans="1:1" x14ac:dyDescent="0.25">
      <c r="A225" t="s">
        <v>780</v>
      </c>
    </row>
    <row r="226" spans="1:1" x14ac:dyDescent="0.25">
      <c r="A226" t="s">
        <v>781</v>
      </c>
    </row>
    <row r="227" spans="1:1" x14ac:dyDescent="0.25">
      <c r="A227" t="s">
        <v>796</v>
      </c>
    </row>
    <row r="228" spans="1:1" x14ac:dyDescent="0.25">
      <c r="A228" t="s">
        <v>799</v>
      </c>
    </row>
    <row r="229" spans="1:1" x14ac:dyDescent="0.25">
      <c r="A229" t="s">
        <v>800</v>
      </c>
    </row>
    <row r="230" spans="1:1" x14ac:dyDescent="0.25">
      <c r="A230" t="s">
        <v>54</v>
      </c>
    </row>
    <row r="231" spans="1:1" x14ac:dyDescent="0.25">
      <c r="A231" t="s">
        <v>805</v>
      </c>
    </row>
    <row r="232" spans="1:1" x14ac:dyDescent="0.25">
      <c r="A232" t="s">
        <v>809</v>
      </c>
    </row>
    <row r="233" spans="1:1" x14ac:dyDescent="0.25">
      <c r="A233" t="s">
        <v>810</v>
      </c>
    </row>
    <row r="234" spans="1:1" x14ac:dyDescent="0.25">
      <c r="A234" t="s">
        <v>87</v>
      </c>
    </row>
    <row r="235" spans="1:1" x14ac:dyDescent="0.25">
      <c r="A235" t="s">
        <v>91</v>
      </c>
    </row>
    <row r="236" spans="1:1" x14ac:dyDescent="0.25">
      <c r="A236" t="s">
        <v>819</v>
      </c>
    </row>
    <row r="237" spans="1:1" x14ac:dyDescent="0.25">
      <c r="A237" t="s">
        <v>228</v>
      </c>
    </row>
    <row r="238" spans="1:1" x14ac:dyDescent="0.25">
      <c r="A238" t="s">
        <v>653</v>
      </c>
    </row>
    <row r="239" spans="1:1" x14ac:dyDescent="0.25">
      <c r="A239" t="s">
        <v>824</v>
      </c>
    </row>
    <row r="240" spans="1:1" x14ac:dyDescent="0.25">
      <c r="A240" t="s">
        <v>829</v>
      </c>
    </row>
    <row r="241" spans="1:1" x14ac:dyDescent="0.25">
      <c r="A241" t="s">
        <v>830</v>
      </c>
    </row>
    <row r="242" spans="1:1" x14ac:dyDescent="0.25">
      <c r="A242" t="s">
        <v>834</v>
      </c>
    </row>
    <row r="243" spans="1:1" x14ac:dyDescent="0.25">
      <c r="A243" t="s">
        <v>835</v>
      </c>
    </row>
    <row r="244" spans="1:1" x14ac:dyDescent="0.25">
      <c r="A244" t="s">
        <v>842</v>
      </c>
    </row>
    <row r="245" spans="1:1" x14ac:dyDescent="0.25">
      <c r="A245" t="s">
        <v>54</v>
      </c>
    </row>
    <row r="246" spans="1:1" x14ac:dyDescent="0.25">
      <c r="A246" t="s">
        <v>846</v>
      </c>
    </row>
    <row r="247" spans="1:1" x14ac:dyDescent="0.25">
      <c r="A247" t="s">
        <v>847</v>
      </c>
    </row>
    <row r="248" spans="1:1" x14ac:dyDescent="0.25">
      <c r="A248" t="s">
        <v>84</v>
      </c>
    </row>
    <row r="249" spans="1:1" x14ac:dyDescent="0.25">
      <c r="A249" t="s">
        <v>791</v>
      </c>
    </row>
    <row r="250" spans="1:1" x14ac:dyDescent="0.25">
      <c r="A250" t="s">
        <v>171</v>
      </c>
    </row>
    <row r="251" spans="1:1" x14ac:dyDescent="0.25">
      <c r="A251" t="s">
        <v>852</v>
      </c>
    </row>
    <row r="252" spans="1:1" x14ac:dyDescent="0.25">
      <c r="A252" t="s">
        <v>856</v>
      </c>
    </row>
    <row r="253" spans="1:1" x14ac:dyDescent="0.25">
      <c r="A253" t="s">
        <v>859</v>
      </c>
    </row>
    <row r="254" spans="1:1" x14ac:dyDescent="0.25">
      <c r="A254" t="s">
        <v>863</v>
      </c>
    </row>
    <row r="255" spans="1:1" x14ac:dyDescent="0.25">
      <c r="A255" t="s">
        <v>866</v>
      </c>
    </row>
    <row r="256" spans="1:1" x14ac:dyDescent="0.25">
      <c r="A256" t="s">
        <v>870</v>
      </c>
    </row>
    <row r="257" spans="1:1" x14ac:dyDescent="0.25">
      <c r="A257" t="s">
        <v>101</v>
      </c>
    </row>
    <row r="258" spans="1:1" x14ac:dyDescent="0.25">
      <c r="A258" t="s">
        <v>657</v>
      </c>
    </row>
    <row r="259" spans="1:1" x14ac:dyDescent="0.25">
      <c r="A259" t="s">
        <v>878</v>
      </c>
    </row>
    <row r="260" spans="1:1" x14ac:dyDescent="0.25">
      <c r="A260" t="s">
        <v>882</v>
      </c>
    </row>
    <row r="261" spans="1:1" x14ac:dyDescent="0.25">
      <c r="A261" t="s">
        <v>880</v>
      </c>
    </row>
    <row r="262" spans="1:1" x14ac:dyDescent="0.25">
      <c r="A262" t="s">
        <v>885</v>
      </c>
    </row>
    <row r="263" spans="1:1" x14ac:dyDescent="0.25">
      <c r="A263" t="s">
        <v>889</v>
      </c>
    </row>
    <row r="264" spans="1:1" x14ac:dyDescent="0.25">
      <c r="A264" t="s">
        <v>893</v>
      </c>
    </row>
    <row r="265" spans="1:1" x14ac:dyDescent="0.25">
      <c r="A265" t="s">
        <v>892</v>
      </c>
    </row>
    <row r="266" spans="1:1" x14ac:dyDescent="0.25">
      <c r="A266" t="s">
        <v>898</v>
      </c>
    </row>
    <row r="267" spans="1:1" x14ac:dyDescent="0.25">
      <c r="A267" t="s">
        <v>899</v>
      </c>
    </row>
    <row r="268" spans="1:1" x14ac:dyDescent="0.25">
      <c r="A268" t="s">
        <v>902</v>
      </c>
    </row>
    <row r="269" spans="1:1" x14ac:dyDescent="0.25">
      <c r="A269" t="s">
        <v>906</v>
      </c>
    </row>
    <row r="270" spans="1:1" x14ac:dyDescent="0.25">
      <c r="A270" t="s">
        <v>907</v>
      </c>
    </row>
    <row r="271" spans="1:1" x14ac:dyDescent="0.25">
      <c r="A271" t="s">
        <v>912</v>
      </c>
    </row>
    <row r="272" spans="1:1" x14ac:dyDescent="0.25">
      <c r="A272" t="s">
        <v>913</v>
      </c>
    </row>
    <row r="273" spans="1:1" x14ac:dyDescent="0.25">
      <c r="A273" t="s">
        <v>916</v>
      </c>
    </row>
    <row r="274" spans="1:1" x14ac:dyDescent="0.25">
      <c r="A274" t="s">
        <v>917</v>
      </c>
    </row>
    <row r="275" spans="1:1" x14ac:dyDescent="0.25">
      <c r="A275" t="s">
        <v>921</v>
      </c>
    </row>
    <row r="276" spans="1:1" x14ac:dyDescent="0.25">
      <c r="A276" t="s">
        <v>922</v>
      </c>
    </row>
    <row r="277" spans="1:1" x14ac:dyDescent="0.25">
      <c r="A277" t="s">
        <v>928</v>
      </c>
    </row>
    <row r="278" spans="1:1" x14ac:dyDescent="0.25">
      <c r="A278" t="s">
        <v>931</v>
      </c>
    </row>
    <row r="279" spans="1:1" x14ac:dyDescent="0.25">
      <c r="A279" t="s">
        <v>810</v>
      </c>
    </row>
    <row r="280" spans="1:1" x14ac:dyDescent="0.25">
      <c r="A280" t="s">
        <v>936</v>
      </c>
    </row>
    <row r="281" spans="1:1" x14ac:dyDescent="0.25">
      <c r="A281" t="s">
        <v>937</v>
      </c>
    </row>
    <row r="282" spans="1:1" x14ac:dyDescent="0.25">
      <c r="A282" t="s">
        <v>940</v>
      </c>
    </row>
    <row r="283" spans="1:1" x14ac:dyDescent="0.25">
      <c r="A283" t="s">
        <v>944</v>
      </c>
    </row>
    <row r="284" spans="1:1" x14ac:dyDescent="0.25">
      <c r="A284" t="s">
        <v>977</v>
      </c>
    </row>
    <row r="285" spans="1:1" x14ac:dyDescent="0.25">
      <c r="A285" t="s">
        <v>947</v>
      </c>
    </row>
    <row r="286" spans="1:1" x14ac:dyDescent="0.25">
      <c r="A286" t="s">
        <v>951</v>
      </c>
    </row>
    <row r="287" spans="1:1" x14ac:dyDescent="0.25">
      <c r="A287" t="s">
        <v>954</v>
      </c>
    </row>
    <row r="288" spans="1:1" x14ac:dyDescent="0.25">
      <c r="A288" t="s">
        <v>957</v>
      </c>
    </row>
    <row r="289" spans="1:1" x14ac:dyDescent="0.25">
      <c r="A289" t="s">
        <v>958</v>
      </c>
    </row>
    <row r="290" spans="1:1" x14ac:dyDescent="0.25">
      <c r="A290" t="s">
        <v>661</v>
      </c>
    </row>
    <row r="291" spans="1:1" x14ac:dyDescent="0.25">
      <c r="A291" t="s">
        <v>966</v>
      </c>
    </row>
    <row r="292" spans="1:1" x14ac:dyDescent="0.25">
      <c r="A292" t="s">
        <v>967</v>
      </c>
    </row>
    <row r="293" spans="1:1" x14ac:dyDescent="0.25">
      <c r="A293" t="s">
        <v>968</v>
      </c>
    </row>
    <row r="294" spans="1:1" x14ac:dyDescent="0.25">
      <c r="A294" t="s">
        <v>980</v>
      </c>
    </row>
    <row r="295" spans="1:1" x14ac:dyDescent="0.25">
      <c r="A295" t="s">
        <v>981</v>
      </c>
    </row>
    <row r="296" spans="1:1" x14ac:dyDescent="0.25">
      <c r="A296" t="s">
        <v>989</v>
      </c>
    </row>
    <row r="297" spans="1:1" x14ac:dyDescent="0.25">
      <c r="A297" t="s">
        <v>986</v>
      </c>
    </row>
    <row r="298" spans="1:1" x14ac:dyDescent="0.25">
      <c r="A298" t="s">
        <v>966</v>
      </c>
    </row>
    <row r="299" spans="1:1" x14ac:dyDescent="0.25">
      <c r="A299" t="s">
        <v>993</v>
      </c>
    </row>
    <row r="300" spans="1:1" x14ac:dyDescent="0.25">
      <c r="A300" t="s">
        <v>998</v>
      </c>
    </row>
    <row r="301" spans="1:1" x14ac:dyDescent="0.25">
      <c r="A301" t="s">
        <v>999</v>
      </c>
    </row>
    <row r="302" spans="1:1" x14ac:dyDescent="0.25">
      <c r="A302" t="s">
        <v>1005</v>
      </c>
    </row>
    <row r="303" spans="1:1" x14ac:dyDescent="0.25">
      <c r="A303" t="s">
        <v>1006</v>
      </c>
    </row>
    <row r="304" spans="1:1" x14ac:dyDescent="0.25">
      <c r="A304" t="s">
        <v>1011</v>
      </c>
    </row>
    <row r="305" spans="1:1" x14ac:dyDescent="0.25">
      <c r="A305" t="s">
        <v>1014</v>
      </c>
    </row>
    <row r="306" spans="1:1" x14ac:dyDescent="0.25">
      <c r="A306" t="s">
        <v>1015</v>
      </c>
    </row>
    <row r="307" spans="1:1" x14ac:dyDescent="0.25">
      <c r="A307" t="s">
        <v>1020</v>
      </c>
    </row>
    <row r="308" spans="1:1" x14ac:dyDescent="0.25">
      <c r="A308" t="s">
        <v>1023</v>
      </c>
    </row>
    <row r="309" spans="1:1" x14ac:dyDescent="0.25">
      <c r="A309" t="s">
        <v>1024</v>
      </c>
    </row>
    <row r="310" spans="1:1" x14ac:dyDescent="0.25">
      <c r="A310" t="s">
        <v>1028</v>
      </c>
    </row>
    <row r="311" spans="1:1" x14ac:dyDescent="0.25">
      <c r="A311" t="s">
        <v>1029</v>
      </c>
    </row>
    <row r="312" spans="1:1" x14ac:dyDescent="0.25">
      <c r="A312" t="s">
        <v>1070</v>
      </c>
    </row>
    <row r="313" spans="1:1" x14ac:dyDescent="0.25">
      <c r="A313" t="s">
        <v>1034</v>
      </c>
    </row>
    <row r="314" spans="1:1" x14ac:dyDescent="0.25">
      <c r="A314" t="s">
        <v>653</v>
      </c>
    </row>
    <row r="315" spans="1:1" x14ac:dyDescent="0.25">
      <c r="A315" t="s">
        <v>1039</v>
      </c>
    </row>
    <row r="316" spans="1:1" x14ac:dyDescent="0.25">
      <c r="A316" t="s">
        <v>103</v>
      </c>
    </row>
    <row r="317" spans="1:1" x14ac:dyDescent="0.25">
      <c r="A317" t="s">
        <v>1042</v>
      </c>
    </row>
    <row r="318" spans="1:1" x14ac:dyDescent="0.25">
      <c r="A318" t="s">
        <v>1050</v>
      </c>
    </row>
    <row r="319" spans="1:1" x14ac:dyDescent="0.25">
      <c r="A319" t="s">
        <v>661</v>
      </c>
    </row>
    <row r="320" spans="1:1" x14ac:dyDescent="0.25">
      <c r="A320" t="s">
        <v>101</v>
      </c>
    </row>
    <row r="321" spans="1:1" x14ac:dyDescent="0.25">
      <c r="A321" t="s">
        <v>1054</v>
      </c>
    </row>
    <row r="322" spans="1:1" x14ac:dyDescent="0.25">
      <c r="A322" t="s">
        <v>966</v>
      </c>
    </row>
    <row r="323" spans="1:1" x14ac:dyDescent="0.25">
      <c r="A323" t="s">
        <v>1063</v>
      </c>
    </row>
    <row r="324" spans="1:1" x14ac:dyDescent="0.25">
      <c r="A324" t="s">
        <v>1064</v>
      </c>
    </row>
    <row r="325" spans="1:1" x14ac:dyDescent="0.25">
      <c r="A325" t="s">
        <v>1068</v>
      </c>
    </row>
    <row r="326" spans="1:1" x14ac:dyDescent="0.25">
      <c r="A326" t="s">
        <v>1073</v>
      </c>
    </row>
    <row r="327" spans="1:1" x14ac:dyDescent="0.25">
      <c r="A327" t="s">
        <v>966</v>
      </c>
    </row>
    <row r="328" spans="1:1" x14ac:dyDescent="0.25">
      <c r="A328" t="s">
        <v>1077</v>
      </c>
    </row>
    <row r="329" spans="1:1" x14ac:dyDescent="0.25">
      <c r="A329" t="s">
        <v>1081</v>
      </c>
    </row>
    <row r="330" spans="1:1" x14ac:dyDescent="0.25">
      <c r="A330" t="s">
        <v>1082</v>
      </c>
    </row>
    <row r="331" spans="1:1" x14ac:dyDescent="0.25">
      <c r="A331" t="s">
        <v>1086</v>
      </c>
    </row>
    <row r="332" spans="1:1" x14ac:dyDescent="0.25">
      <c r="A332" t="s">
        <v>1087</v>
      </c>
    </row>
    <row r="333" spans="1:1" x14ac:dyDescent="0.25">
      <c r="A333" t="s">
        <v>1092</v>
      </c>
    </row>
    <row r="334" spans="1:1" x14ac:dyDescent="0.25">
      <c r="A334" t="s">
        <v>1093</v>
      </c>
    </row>
    <row r="335" spans="1:1" x14ac:dyDescent="0.25">
      <c r="A335" t="s">
        <v>1098</v>
      </c>
    </row>
    <row r="336" spans="1:1" x14ac:dyDescent="0.25">
      <c r="A336" t="s">
        <v>1104</v>
      </c>
    </row>
    <row r="337" spans="1:1" x14ac:dyDescent="0.25">
      <c r="A337" t="s">
        <v>661</v>
      </c>
    </row>
    <row r="338" spans="1:1" x14ac:dyDescent="0.25">
      <c r="A338" t="s">
        <v>564</v>
      </c>
    </row>
    <row r="339" spans="1:1" x14ac:dyDescent="0.25">
      <c r="A339" t="s">
        <v>1107</v>
      </c>
    </row>
    <row r="340" spans="1:1" x14ac:dyDescent="0.25">
      <c r="A340" t="s">
        <v>1112</v>
      </c>
    </row>
    <row r="341" spans="1:1" x14ac:dyDescent="0.25">
      <c r="A341" t="s">
        <v>1113</v>
      </c>
    </row>
    <row r="342" spans="1:1" x14ac:dyDescent="0.25">
      <c r="A342" t="s">
        <v>1116</v>
      </c>
    </row>
    <row r="343" spans="1:1" x14ac:dyDescent="0.25">
      <c r="A343" t="s">
        <v>1122</v>
      </c>
    </row>
    <row r="344" spans="1:1" x14ac:dyDescent="0.25">
      <c r="A344" t="s">
        <v>1123</v>
      </c>
    </row>
    <row r="345" spans="1:1" x14ac:dyDescent="0.25">
      <c r="A345" t="s">
        <v>1129</v>
      </c>
    </row>
    <row r="346" spans="1:1" x14ac:dyDescent="0.25">
      <c r="A346" t="s">
        <v>1130</v>
      </c>
    </row>
    <row r="347" spans="1:1" x14ac:dyDescent="0.25">
      <c r="A347" t="s">
        <v>1135</v>
      </c>
    </row>
    <row r="348" spans="1:1" x14ac:dyDescent="0.25">
      <c r="A348" t="s">
        <v>1034</v>
      </c>
    </row>
    <row r="349" spans="1:1" x14ac:dyDescent="0.25">
      <c r="A349" t="s">
        <v>255</v>
      </c>
    </row>
    <row r="350" spans="1:1" x14ac:dyDescent="0.25">
      <c r="A350" t="s">
        <v>100</v>
      </c>
    </row>
    <row r="351" spans="1:1" x14ac:dyDescent="0.25">
      <c r="A351" t="s">
        <v>981</v>
      </c>
    </row>
    <row r="352" spans="1:1" x14ac:dyDescent="0.25">
      <c r="A352" t="s">
        <v>1145</v>
      </c>
    </row>
    <row r="353" spans="1:1" x14ac:dyDescent="0.25">
      <c r="A353" t="s">
        <v>1024</v>
      </c>
    </row>
    <row r="354" spans="1:1" x14ac:dyDescent="0.25">
      <c r="A354" t="s">
        <v>1151</v>
      </c>
    </row>
    <row r="355" spans="1:1" x14ac:dyDescent="0.25">
      <c r="A355" t="s">
        <v>1157</v>
      </c>
    </row>
    <row r="356" spans="1:1" x14ac:dyDescent="0.25">
      <c r="A356" t="s">
        <v>1161</v>
      </c>
    </row>
    <row r="357" spans="1:1" x14ac:dyDescent="0.25">
      <c r="A357" t="s">
        <v>937</v>
      </c>
    </row>
    <row r="358" spans="1:1" x14ac:dyDescent="0.25">
      <c r="A358" t="s">
        <v>1158</v>
      </c>
    </row>
    <row r="359" spans="1:1" x14ac:dyDescent="0.25">
      <c r="A359" t="s">
        <v>1024</v>
      </c>
    </row>
    <row r="360" spans="1:1" x14ac:dyDescent="0.25">
      <c r="A360" t="s">
        <v>1178</v>
      </c>
    </row>
    <row r="361" spans="1:1" x14ac:dyDescent="0.25">
      <c r="A361" t="s">
        <v>255</v>
      </c>
    </row>
    <row r="362" spans="1:1" x14ac:dyDescent="0.25">
      <c r="A362" t="s">
        <v>255</v>
      </c>
    </row>
    <row r="363" spans="1:1" x14ac:dyDescent="0.25">
      <c r="A363" t="s">
        <v>1170</v>
      </c>
    </row>
    <row r="364" spans="1:1" x14ac:dyDescent="0.25">
      <c r="A364" t="s">
        <v>101</v>
      </c>
    </row>
    <row r="365" spans="1:1" x14ac:dyDescent="0.25">
      <c r="A365" t="s">
        <v>1173</v>
      </c>
    </row>
    <row r="366" spans="1:1" x14ac:dyDescent="0.25">
      <c r="A366" t="s">
        <v>1180</v>
      </c>
    </row>
    <row r="367" spans="1:1" x14ac:dyDescent="0.25">
      <c r="A367" t="s">
        <v>1181</v>
      </c>
    </row>
    <row r="368" spans="1:1" x14ac:dyDescent="0.25">
      <c r="A368" t="s">
        <v>1187</v>
      </c>
    </row>
    <row r="369" spans="1:1" x14ac:dyDescent="0.25">
      <c r="A369" t="s">
        <v>1190</v>
      </c>
    </row>
    <row r="370" spans="1:1" x14ac:dyDescent="0.25">
      <c r="A370" t="s">
        <v>1211</v>
      </c>
    </row>
    <row r="371" spans="1:1" x14ac:dyDescent="0.25">
      <c r="A371" t="s">
        <v>1212</v>
      </c>
    </row>
    <row r="372" spans="1:1" x14ac:dyDescent="0.25">
      <c r="A372" t="s">
        <v>1213</v>
      </c>
    </row>
    <row r="373" spans="1:1" x14ac:dyDescent="0.25">
      <c r="A373" t="s">
        <v>1191</v>
      </c>
    </row>
    <row r="374" spans="1:1" x14ac:dyDescent="0.25">
      <c r="A374" t="s">
        <v>255</v>
      </c>
    </row>
    <row r="375" spans="1:1" x14ac:dyDescent="0.25">
      <c r="A375" t="s">
        <v>1216</v>
      </c>
    </row>
    <row r="376" spans="1:1" x14ac:dyDescent="0.25">
      <c r="A376" t="s">
        <v>255</v>
      </c>
    </row>
    <row r="377" spans="1:1" x14ac:dyDescent="0.25">
      <c r="A377" t="s">
        <v>1209</v>
      </c>
    </row>
    <row r="378" spans="1:1" x14ac:dyDescent="0.25">
      <c r="A378" t="s">
        <v>103</v>
      </c>
    </row>
    <row r="379" spans="1:1" x14ac:dyDescent="0.25">
      <c r="A379" t="s">
        <v>1220</v>
      </c>
    </row>
    <row r="380" spans="1:1" x14ac:dyDescent="0.25">
      <c r="A380" t="s">
        <v>1291</v>
      </c>
    </row>
    <row r="381" spans="1:1" x14ac:dyDescent="0.25">
      <c r="A381" t="s">
        <v>1224</v>
      </c>
    </row>
    <row r="382" spans="1:1" x14ac:dyDescent="0.25">
      <c r="A382" t="s">
        <v>661</v>
      </c>
    </row>
    <row r="383" spans="1:1" x14ac:dyDescent="0.25">
      <c r="A383" t="s">
        <v>1228</v>
      </c>
    </row>
    <row r="384" spans="1:1" x14ac:dyDescent="0.25">
      <c r="A384" t="s">
        <v>1232</v>
      </c>
    </row>
    <row r="385" spans="1:1" x14ac:dyDescent="0.25">
      <c r="A385" t="s">
        <v>1239</v>
      </c>
    </row>
    <row r="386" spans="1:1" x14ac:dyDescent="0.25">
      <c r="A386" t="s">
        <v>171</v>
      </c>
    </row>
    <row r="387" spans="1:1" x14ac:dyDescent="0.25">
      <c r="A387" t="s">
        <v>1241</v>
      </c>
    </row>
    <row r="388" spans="1:1" x14ac:dyDescent="0.25">
      <c r="A388" t="s">
        <v>1245</v>
      </c>
    </row>
    <row r="389" spans="1:1" x14ac:dyDescent="0.25">
      <c r="A389" t="s">
        <v>1236</v>
      </c>
    </row>
    <row r="390" spans="1:1" x14ac:dyDescent="0.25">
      <c r="A390" t="s">
        <v>1295</v>
      </c>
    </row>
    <row r="391" spans="1:1" x14ac:dyDescent="0.25">
      <c r="A391" t="s">
        <v>57</v>
      </c>
    </row>
    <row r="392" spans="1:1" x14ac:dyDescent="0.25">
      <c r="A392" t="s">
        <v>1250</v>
      </c>
    </row>
    <row r="393" spans="1:1" x14ac:dyDescent="0.25">
      <c r="A393" t="s">
        <v>1251</v>
      </c>
    </row>
    <row r="394" spans="1:1" x14ac:dyDescent="0.25">
      <c r="A394" t="s">
        <v>1256</v>
      </c>
    </row>
    <row r="395" spans="1:1" x14ac:dyDescent="0.25">
      <c r="A395" t="s">
        <v>1257</v>
      </c>
    </row>
    <row r="396" spans="1:1" x14ac:dyDescent="0.25">
      <c r="A396" t="s">
        <v>1260</v>
      </c>
    </row>
    <row r="397" spans="1:1" x14ac:dyDescent="0.25">
      <c r="A397" t="s">
        <v>1261</v>
      </c>
    </row>
    <row r="398" spans="1:1" x14ac:dyDescent="0.25">
      <c r="A398" t="s">
        <v>255</v>
      </c>
    </row>
    <row r="399" spans="1:1" x14ac:dyDescent="0.25">
      <c r="A399" t="s">
        <v>1266</v>
      </c>
    </row>
    <row r="400" spans="1:1" x14ac:dyDescent="0.25">
      <c r="A400" t="s">
        <v>1271</v>
      </c>
    </row>
    <row r="401" spans="1:1" x14ac:dyDescent="0.25">
      <c r="A401" t="s">
        <v>100</v>
      </c>
    </row>
    <row r="402" spans="1:1" x14ac:dyDescent="0.25">
      <c r="A402" t="s">
        <v>1275</v>
      </c>
    </row>
    <row r="403" spans="1:1" x14ac:dyDescent="0.25">
      <c r="A403" t="s">
        <v>1280</v>
      </c>
    </row>
    <row r="404" spans="1:1" x14ac:dyDescent="0.25">
      <c r="A404" t="s">
        <v>1281</v>
      </c>
    </row>
    <row r="405" spans="1:1" x14ac:dyDescent="0.25">
      <c r="A405" t="s">
        <v>1285</v>
      </c>
    </row>
    <row r="406" spans="1:1" x14ac:dyDescent="0.25">
      <c r="A406" t="s">
        <v>1294</v>
      </c>
    </row>
    <row r="407" spans="1:1" x14ac:dyDescent="0.25">
      <c r="A407" t="s">
        <v>1297</v>
      </c>
    </row>
    <row r="408" spans="1:1" x14ac:dyDescent="0.25">
      <c r="A408" t="s">
        <v>1299</v>
      </c>
    </row>
    <row r="409" spans="1:1" x14ac:dyDescent="0.25">
      <c r="A409" t="s">
        <v>1302</v>
      </c>
    </row>
    <row r="410" spans="1:1" x14ac:dyDescent="0.25">
      <c r="A410" t="s">
        <v>255</v>
      </c>
    </row>
    <row r="411" spans="1:1" x14ac:dyDescent="0.25">
      <c r="A411" t="s">
        <v>255</v>
      </c>
    </row>
    <row r="412" spans="1:1" x14ac:dyDescent="0.25">
      <c r="A412" t="s">
        <v>1307</v>
      </c>
    </row>
    <row r="413" spans="1:1" x14ac:dyDescent="0.25">
      <c r="A413" t="s">
        <v>966</v>
      </c>
    </row>
    <row r="414" spans="1:1" x14ac:dyDescent="0.25">
      <c r="A414" t="s">
        <v>1311</v>
      </c>
    </row>
    <row r="415" spans="1:1" x14ac:dyDescent="0.25">
      <c r="A415" t="s">
        <v>255</v>
      </c>
    </row>
    <row r="416" spans="1:1" x14ac:dyDescent="0.25">
      <c r="A416" t="s">
        <v>657</v>
      </c>
    </row>
    <row r="417" spans="1:1" x14ac:dyDescent="0.25">
      <c r="A417" t="s">
        <v>1319</v>
      </c>
    </row>
    <row r="418" spans="1:1" x14ac:dyDescent="0.25">
      <c r="A418" t="s">
        <v>1323</v>
      </c>
    </row>
    <row r="419" spans="1:1" x14ac:dyDescent="0.25">
      <c r="A419" t="s">
        <v>1271</v>
      </c>
    </row>
    <row r="420" spans="1:1" x14ac:dyDescent="0.25">
      <c r="A420" t="s">
        <v>1327</v>
      </c>
    </row>
    <row r="421" spans="1:1" x14ac:dyDescent="0.25">
      <c r="A421" t="s">
        <v>1332</v>
      </c>
    </row>
    <row r="422" spans="1:1" x14ac:dyDescent="0.25">
      <c r="A422" t="s">
        <v>1335</v>
      </c>
    </row>
    <row r="423" spans="1:1" x14ac:dyDescent="0.25">
      <c r="A423" t="s">
        <v>57</v>
      </c>
    </row>
    <row r="424" spans="1:1" x14ac:dyDescent="0.25">
      <c r="A424" t="s">
        <v>87</v>
      </c>
    </row>
    <row r="425" spans="1:1" x14ac:dyDescent="0.25">
      <c r="A425" t="s">
        <v>667</v>
      </c>
    </row>
    <row r="426" spans="1:1" x14ac:dyDescent="0.25">
      <c r="A426" t="s">
        <v>1344</v>
      </c>
    </row>
    <row r="427" spans="1:1" x14ac:dyDescent="0.25">
      <c r="A427" t="s">
        <v>1345</v>
      </c>
    </row>
    <row r="428" spans="1:1" x14ac:dyDescent="0.25">
      <c r="A428" t="s">
        <v>1349</v>
      </c>
    </row>
    <row r="429" spans="1:1" x14ac:dyDescent="0.25">
      <c r="A429" t="s">
        <v>1353</v>
      </c>
    </row>
    <row r="430" spans="1:1" x14ac:dyDescent="0.25">
      <c r="A430" t="s">
        <v>1357</v>
      </c>
    </row>
    <row r="431" spans="1:1" x14ac:dyDescent="0.25">
      <c r="A431" t="s">
        <v>653</v>
      </c>
    </row>
    <row r="432" spans="1:1" x14ac:dyDescent="0.25">
      <c r="A432" t="s">
        <v>1362</v>
      </c>
    </row>
    <row r="433" spans="1:1" x14ac:dyDescent="0.25">
      <c r="A433" t="s">
        <v>1362</v>
      </c>
    </row>
    <row r="434" spans="1:1" x14ac:dyDescent="0.25">
      <c r="A434" t="s">
        <v>1367</v>
      </c>
    </row>
    <row r="435" spans="1:1" x14ac:dyDescent="0.25">
      <c r="A435" t="s">
        <v>1374</v>
      </c>
    </row>
    <row r="436" spans="1:1" x14ac:dyDescent="0.25">
      <c r="A436" t="s">
        <v>1375</v>
      </c>
    </row>
    <row r="437" spans="1:1" x14ac:dyDescent="0.25">
      <c r="A437" t="s">
        <v>1370</v>
      </c>
    </row>
    <row r="438" spans="1:1" x14ac:dyDescent="0.25">
      <c r="A438" t="s">
        <v>1379</v>
      </c>
    </row>
    <row r="439" spans="1:1" x14ac:dyDescent="0.25">
      <c r="A439" t="s">
        <v>1271</v>
      </c>
    </row>
    <row r="440" spans="1:1" x14ac:dyDescent="0.25">
      <c r="A440" t="s">
        <v>1388</v>
      </c>
    </row>
    <row r="441" spans="1:1" x14ac:dyDescent="0.25">
      <c r="A441" t="s">
        <v>1389</v>
      </c>
    </row>
    <row r="442" spans="1:1" x14ac:dyDescent="0.25">
      <c r="A442" t="s">
        <v>1384</v>
      </c>
    </row>
    <row r="443" spans="1:1" x14ac:dyDescent="0.25">
      <c r="A443" t="s">
        <v>1393</v>
      </c>
    </row>
  </sheetData>
  <autoFilter ref="A1:A443" xr:uid="{2A88BF24-8E74-4B4B-B096-9D3ECA6525AE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6DAD-09D0-45A5-A5E3-EE321A838D56}">
  <dimension ref="A1:D557"/>
  <sheetViews>
    <sheetView workbookViewId="0">
      <selection activeCell="A13" sqref="A13"/>
    </sheetView>
  </sheetViews>
  <sheetFormatPr defaultRowHeight="15" x14ac:dyDescent="0.25"/>
  <cols>
    <col min="1" max="1" width="156.7109375" bestFit="1" customWidth="1"/>
    <col min="2" max="2" width="32.42578125" bestFit="1" customWidth="1"/>
    <col min="3" max="3" width="19" bestFit="1" customWidth="1"/>
    <col min="4" max="4" width="30.42578125" bestFit="1" customWidth="1"/>
  </cols>
  <sheetData>
    <row r="1" spans="1:4" x14ac:dyDescent="0.25">
      <c r="A1" s="17" t="s">
        <v>1415</v>
      </c>
      <c r="B1" s="17" t="s">
        <v>1416</v>
      </c>
      <c r="C1" s="17" t="s">
        <v>1417</v>
      </c>
      <c r="D1" s="17" t="s">
        <v>1430</v>
      </c>
    </row>
    <row r="2" spans="1:4" x14ac:dyDescent="0.25">
      <c r="A2" t="s">
        <v>122</v>
      </c>
      <c r="B2" t="s">
        <v>1418</v>
      </c>
      <c r="D2" t="s">
        <v>1430</v>
      </c>
    </row>
    <row r="3" spans="1:4" x14ac:dyDescent="0.25">
      <c r="A3" t="s">
        <v>8</v>
      </c>
      <c r="B3" t="s">
        <v>1419</v>
      </c>
      <c r="C3" t="s">
        <v>1420</v>
      </c>
      <c r="D3" t="s">
        <v>1430</v>
      </c>
    </row>
    <row r="4" spans="1:4" x14ac:dyDescent="0.25">
      <c r="A4" t="s">
        <v>50</v>
      </c>
      <c r="B4" t="s">
        <v>1419</v>
      </c>
      <c r="C4" t="s">
        <v>1421</v>
      </c>
      <c r="D4" t="s">
        <v>1430</v>
      </c>
    </row>
    <row r="5" spans="1:4" x14ac:dyDescent="0.25">
      <c r="A5" t="s">
        <v>131</v>
      </c>
      <c r="B5" t="s">
        <v>1418</v>
      </c>
      <c r="D5" t="s">
        <v>1431</v>
      </c>
    </row>
    <row r="6" spans="1:4" x14ac:dyDescent="0.25">
      <c r="A6" t="s">
        <v>134</v>
      </c>
      <c r="B6" t="s">
        <v>1419</v>
      </c>
      <c r="C6" t="s">
        <v>1422</v>
      </c>
      <c r="D6" t="s">
        <v>1430</v>
      </c>
    </row>
    <row r="7" spans="1:4" x14ac:dyDescent="0.25">
      <c r="A7" t="s">
        <v>137</v>
      </c>
      <c r="B7" t="s">
        <v>1419</v>
      </c>
      <c r="C7" t="s">
        <v>1423</v>
      </c>
      <c r="D7" t="s">
        <v>1430</v>
      </c>
    </row>
    <row r="8" spans="1:4" x14ac:dyDescent="0.25">
      <c r="A8" t="s">
        <v>145</v>
      </c>
      <c r="B8" t="s">
        <v>1424</v>
      </c>
      <c r="D8" t="s">
        <v>1430</v>
      </c>
    </row>
    <row r="9" spans="1:4" x14ac:dyDescent="0.25">
      <c r="A9" t="s">
        <v>46</v>
      </c>
      <c r="B9" t="s">
        <v>1424</v>
      </c>
      <c r="D9" t="s">
        <v>1432</v>
      </c>
    </row>
    <row r="10" spans="1:4" x14ac:dyDescent="0.25">
      <c r="A10" t="s">
        <v>49</v>
      </c>
      <c r="B10" t="s">
        <v>1424</v>
      </c>
      <c r="D10" t="s">
        <v>1432</v>
      </c>
    </row>
    <row r="11" spans="1:4" x14ac:dyDescent="0.25">
      <c r="A11" t="s">
        <v>149</v>
      </c>
      <c r="B11" t="s">
        <v>1425</v>
      </c>
      <c r="D11" t="s">
        <v>1432</v>
      </c>
    </row>
    <row r="12" spans="1:4" x14ac:dyDescent="0.25">
      <c r="A12" t="s">
        <v>14</v>
      </c>
      <c r="B12" t="s">
        <v>1419</v>
      </c>
      <c r="C12" t="s">
        <v>1420</v>
      </c>
      <c r="D12" t="s">
        <v>1430</v>
      </c>
    </row>
    <row r="13" spans="1:4" x14ac:dyDescent="0.25">
      <c r="A13" t="s">
        <v>157</v>
      </c>
      <c r="B13" t="s">
        <v>1419</v>
      </c>
      <c r="C13" t="s">
        <v>1426</v>
      </c>
      <c r="D13" t="s">
        <v>1430</v>
      </c>
    </row>
    <row r="14" spans="1:4" x14ac:dyDescent="0.25">
      <c r="A14" t="s">
        <v>112</v>
      </c>
      <c r="B14" t="s">
        <v>1419</v>
      </c>
      <c r="C14" t="s">
        <v>1420</v>
      </c>
      <c r="D14" t="s">
        <v>1430</v>
      </c>
    </row>
    <row r="15" spans="1:4" x14ac:dyDescent="0.25">
      <c r="A15" t="s">
        <v>165</v>
      </c>
      <c r="B15" t="s">
        <v>1424</v>
      </c>
      <c r="D15" t="s">
        <v>1430</v>
      </c>
    </row>
    <row r="16" spans="1:4" x14ac:dyDescent="0.25">
      <c r="A16" t="s">
        <v>95</v>
      </c>
      <c r="B16" t="s">
        <v>1419</v>
      </c>
      <c r="C16" t="s">
        <v>1420</v>
      </c>
      <c r="D16" t="s">
        <v>1430</v>
      </c>
    </row>
    <row r="17" spans="1:4" x14ac:dyDescent="0.25">
      <c r="A17" t="s">
        <v>171</v>
      </c>
      <c r="B17" t="s">
        <v>1418</v>
      </c>
      <c r="D17" t="s">
        <v>1431</v>
      </c>
    </row>
    <row r="18" spans="1:4" x14ac:dyDescent="0.25">
      <c r="A18" t="s">
        <v>176</v>
      </c>
      <c r="B18" t="s">
        <v>1424</v>
      </c>
      <c r="D18" t="s">
        <v>1432</v>
      </c>
    </row>
    <row r="19" spans="1:4" x14ac:dyDescent="0.25">
      <c r="A19" t="s">
        <v>180</v>
      </c>
      <c r="B19" t="s">
        <v>1418</v>
      </c>
      <c r="D19" t="s">
        <v>1431</v>
      </c>
    </row>
    <row r="20" spans="1:4" x14ac:dyDescent="0.25">
      <c r="A20" t="s">
        <v>183</v>
      </c>
      <c r="B20" t="s">
        <v>1419</v>
      </c>
      <c r="C20" t="s">
        <v>1427</v>
      </c>
      <c r="D20" t="s">
        <v>1430</v>
      </c>
    </row>
    <row r="21" spans="1:4" x14ac:dyDescent="0.25">
      <c r="A21" t="s">
        <v>95</v>
      </c>
      <c r="B21" t="s">
        <v>1419</v>
      </c>
      <c r="C21" t="s">
        <v>1420</v>
      </c>
      <c r="D21" t="s">
        <v>1430</v>
      </c>
    </row>
    <row r="22" spans="1:4" x14ac:dyDescent="0.25">
      <c r="A22" t="s">
        <v>189</v>
      </c>
      <c r="B22" t="s">
        <v>1424</v>
      </c>
      <c r="D22" t="s">
        <v>1432</v>
      </c>
    </row>
    <row r="23" spans="1:4" x14ac:dyDescent="0.25">
      <c r="A23" t="s">
        <v>193</v>
      </c>
      <c r="B23" t="s">
        <v>1419</v>
      </c>
      <c r="C23" t="s">
        <v>1426</v>
      </c>
      <c r="D23" t="s">
        <v>1430</v>
      </c>
    </row>
    <row r="24" spans="1:4" x14ac:dyDescent="0.25">
      <c r="A24" t="s">
        <v>197</v>
      </c>
      <c r="B24" t="s">
        <v>1425</v>
      </c>
      <c r="D24" t="s">
        <v>1432</v>
      </c>
    </row>
    <row r="25" spans="1:4" x14ac:dyDescent="0.25">
      <c r="A25" t="s">
        <v>203</v>
      </c>
      <c r="B25" t="s">
        <v>1418</v>
      </c>
      <c r="D25" t="s">
        <v>1431</v>
      </c>
    </row>
    <row r="26" spans="1:4" x14ac:dyDescent="0.25">
      <c r="A26" t="s">
        <v>208</v>
      </c>
      <c r="B26" t="s">
        <v>1424</v>
      </c>
      <c r="D26" t="s">
        <v>1432</v>
      </c>
    </row>
    <row r="27" spans="1:4" x14ac:dyDescent="0.25">
      <c r="A27" t="s">
        <v>211</v>
      </c>
      <c r="B27" t="s">
        <v>1418</v>
      </c>
      <c r="D27" t="s">
        <v>1431</v>
      </c>
    </row>
    <row r="28" spans="1:4" x14ac:dyDescent="0.25">
      <c r="A28" t="s">
        <v>114</v>
      </c>
      <c r="B28" t="s">
        <v>1418</v>
      </c>
      <c r="D28" t="s">
        <v>1431</v>
      </c>
    </row>
    <row r="29" spans="1:4" x14ac:dyDescent="0.25">
      <c r="A29" t="s">
        <v>171</v>
      </c>
      <c r="B29" t="s">
        <v>1418</v>
      </c>
      <c r="D29" t="s">
        <v>1431</v>
      </c>
    </row>
    <row r="30" spans="1:4" x14ac:dyDescent="0.25">
      <c r="A30" t="s">
        <v>14</v>
      </c>
      <c r="B30" t="s">
        <v>1419</v>
      </c>
      <c r="C30" t="s">
        <v>1420</v>
      </c>
      <c r="D30" t="s">
        <v>1430</v>
      </c>
    </row>
    <row r="31" spans="1:4" x14ac:dyDescent="0.25">
      <c r="A31" t="s">
        <v>19</v>
      </c>
      <c r="B31" t="s">
        <v>1418</v>
      </c>
      <c r="D31" t="s">
        <v>1430</v>
      </c>
    </row>
    <row r="32" spans="1:4" x14ac:dyDescent="0.25">
      <c r="A32" t="s">
        <v>222</v>
      </c>
      <c r="B32" t="s">
        <v>1425</v>
      </c>
      <c r="D32" t="s">
        <v>1432</v>
      </c>
    </row>
    <row r="33" spans="1:4" x14ac:dyDescent="0.25">
      <c r="A33" t="s">
        <v>224</v>
      </c>
      <c r="B33" t="s">
        <v>1419</v>
      </c>
      <c r="C33" t="s">
        <v>1427</v>
      </c>
      <c r="D33" t="s">
        <v>1430</v>
      </c>
    </row>
    <row r="34" spans="1:4" x14ac:dyDescent="0.25">
      <c r="A34" t="s">
        <v>14</v>
      </c>
      <c r="B34" t="s">
        <v>1419</v>
      </c>
      <c r="C34" t="s">
        <v>1420</v>
      </c>
      <c r="D34" t="s">
        <v>1430</v>
      </c>
    </row>
    <row r="35" spans="1:4" x14ac:dyDescent="0.25">
      <c r="A35" t="s">
        <v>228</v>
      </c>
      <c r="B35" t="s">
        <v>1418</v>
      </c>
      <c r="D35" t="s">
        <v>1430</v>
      </c>
    </row>
    <row r="36" spans="1:4" x14ac:dyDescent="0.25">
      <c r="A36" t="s">
        <v>23</v>
      </c>
      <c r="B36" t="s">
        <v>1419</v>
      </c>
      <c r="C36" t="s">
        <v>1427</v>
      </c>
      <c r="D36" t="s">
        <v>1430</v>
      </c>
    </row>
    <row r="37" spans="1:4" x14ac:dyDescent="0.25">
      <c r="A37" t="s">
        <v>231</v>
      </c>
      <c r="B37" t="s">
        <v>1424</v>
      </c>
      <c r="D37" t="s">
        <v>1432</v>
      </c>
    </row>
    <row r="38" spans="1:4" x14ac:dyDescent="0.25">
      <c r="A38" t="s">
        <v>237</v>
      </c>
      <c r="B38" t="s">
        <v>1424</v>
      </c>
      <c r="D38" t="s">
        <v>1432</v>
      </c>
    </row>
    <row r="39" spans="1:4" x14ac:dyDescent="0.25">
      <c r="A39" t="s">
        <v>235</v>
      </c>
      <c r="B39" t="s">
        <v>1419</v>
      </c>
      <c r="C39" t="s">
        <v>1420</v>
      </c>
      <c r="D39" t="s">
        <v>1430</v>
      </c>
    </row>
    <row r="40" spans="1:4" x14ac:dyDescent="0.25">
      <c r="A40" t="s">
        <v>235</v>
      </c>
      <c r="B40" t="s">
        <v>1419</v>
      </c>
      <c r="C40" t="s">
        <v>1420</v>
      </c>
      <c r="D40" t="s">
        <v>1430</v>
      </c>
    </row>
    <row r="41" spans="1:4" x14ac:dyDescent="0.25">
      <c r="A41" t="s">
        <v>243</v>
      </c>
      <c r="B41" t="s">
        <v>1424</v>
      </c>
      <c r="D41" t="s">
        <v>1430</v>
      </c>
    </row>
    <row r="42" spans="1:4" x14ac:dyDescent="0.25">
      <c r="A42" t="s">
        <v>87</v>
      </c>
      <c r="B42" t="s">
        <v>1424</v>
      </c>
      <c r="D42" t="s">
        <v>1432</v>
      </c>
    </row>
    <row r="43" spans="1:4" x14ac:dyDescent="0.25">
      <c r="A43" t="s">
        <v>246</v>
      </c>
      <c r="B43" t="s">
        <v>1424</v>
      </c>
      <c r="D43" t="s">
        <v>1432</v>
      </c>
    </row>
    <row r="44" spans="1:4" x14ac:dyDescent="0.25">
      <c r="A44" t="s">
        <v>251</v>
      </c>
      <c r="B44" t="s">
        <v>1419</v>
      </c>
      <c r="C44" t="s">
        <v>1427</v>
      </c>
      <c r="D44" t="s">
        <v>1430</v>
      </c>
    </row>
    <row r="45" spans="1:4" x14ac:dyDescent="0.25">
      <c r="A45" t="s">
        <v>258</v>
      </c>
      <c r="B45" t="s">
        <v>1424</v>
      </c>
      <c r="D45" t="s">
        <v>1430</v>
      </c>
    </row>
    <row r="46" spans="1:4" x14ac:dyDescent="0.25">
      <c r="A46" t="s">
        <v>255</v>
      </c>
      <c r="B46" t="s">
        <v>1419</v>
      </c>
      <c r="C46" t="s">
        <v>1420</v>
      </c>
      <c r="D46" t="s">
        <v>1430</v>
      </c>
    </row>
    <row r="47" spans="1:4" x14ac:dyDescent="0.25">
      <c r="A47" t="s">
        <v>263</v>
      </c>
      <c r="B47" t="s">
        <v>1419</v>
      </c>
      <c r="C47" t="s">
        <v>1427</v>
      </c>
      <c r="D47" t="s">
        <v>1430</v>
      </c>
    </row>
    <row r="48" spans="1:4" x14ac:dyDescent="0.25">
      <c r="A48" t="s">
        <v>264</v>
      </c>
      <c r="B48" t="s">
        <v>1424</v>
      </c>
      <c r="D48" t="s">
        <v>1432</v>
      </c>
    </row>
    <row r="49" spans="1:4" x14ac:dyDescent="0.25">
      <c r="A49" t="s">
        <v>267</v>
      </c>
      <c r="B49" t="s">
        <v>1424</v>
      </c>
      <c r="D49" t="s">
        <v>1432</v>
      </c>
    </row>
    <row r="50" spans="1:4" x14ac:dyDescent="0.25">
      <c r="A50" t="s">
        <v>271</v>
      </c>
      <c r="B50" t="s">
        <v>1424</v>
      </c>
      <c r="D50" t="s">
        <v>1430</v>
      </c>
    </row>
    <row r="51" spans="1:4" x14ac:dyDescent="0.25">
      <c r="A51" t="s">
        <v>275</v>
      </c>
      <c r="B51" t="s">
        <v>1419</v>
      </c>
      <c r="C51" t="s">
        <v>1422</v>
      </c>
      <c r="D51" t="s">
        <v>1430</v>
      </c>
    </row>
    <row r="52" spans="1:4" x14ac:dyDescent="0.25">
      <c r="A52" t="s">
        <v>276</v>
      </c>
      <c r="B52" t="s">
        <v>1419</v>
      </c>
      <c r="C52" t="s">
        <v>1426</v>
      </c>
      <c r="D52" t="s">
        <v>1430</v>
      </c>
    </row>
    <row r="53" spans="1:4" x14ac:dyDescent="0.25">
      <c r="A53" t="s">
        <v>280</v>
      </c>
      <c r="B53" t="s">
        <v>1424</v>
      </c>
      <c r="D53" t="s">
        <v>1432</v>
      </c>
    </row>
    <row r="54" spans="1:4" x14ac:dyDescent="0.25">
      <c r="A54" t="s">
        <v>283</v>
      </c>
      <c r="B54" t="s">
        <v>1424</v>
      </c>
      <c r="D54" t="s">
        <v>1432</v>
      </c>
    </row>
    <row r="55" spans="1:4" x14ac:dyDescent="0.25">
      <c r="A55" t="s">
        <v>286</v>
      </c>
      <c r="B55" t="s">
        <v>1419</v>
      </c>
      <c r="C55" t="s">
        <v>1423</v>
      </c>
      <c r="D55" t="s">
        <v>1430</v>
      </c>
    </row>
    <row r="56" spans="1:4" x14ac:dyDescent="0.25">
      <c r="A56" t="s">
        <v>289</v>
      </c>
      <c r="B56" t="s">
        <v>1424</v>
      </c>
      <c r="D56" t="s">
        <v>1432</v>
      </c>
    </row>
    <row r="57" spans="1:4" x14ac:dyDescent="0.25">
      <c r="A57" t="s">
        <v>292</v>
      </c>
      <c r="B57" t="s">
        <v>1424</v>
      </c>
      <c r="D57" t="s">
        <v>1432</v>
      </c>
    </row>
    <row r="58" spans="1:4" x14ac:dyDescent="0.25">
      <c r="A58" t="s">
        <v>87</v>
      </c>
      <c r="B58" t="s">
        <v>1424</v>
      </c>
      <c r="D58" t="s">
        <v>1432</v>
      </c>
    </row>
    <row r="59" spans="1:4" x14ac:dyDescent="0.25">
      <c r="A59" t="s">
        <v>298</v>
      </c>
      <c r="B59" t="s">
        <v>1419</v>
      </c>
      <c r="C59" t="s">
        <v>1422</v>
      </c>
      <c r="D59" t="s">
        <v>1430</v>
      </c>
    </row>
    <row r="60" spans="1:4" x14ac:dyDescent="0.25">
      <c r="A60" t="s">
        <v>101</v>
      </c>
      <c r="B60" t="s">
        <v>1419</v>
      </c>
      <c r="C60" t="s">
        <v>1420</v>
      </c>
      <c r="D60" t="s">
        <v>1430</v>
      </c>
    </row>
    <row r="61" spans="1:4" x14ac:dyDescent="0.25">
      <c r="A61" t="s">
        <v>304</v>
      </c>
      <c r="B61" t="s">
        <v>1419</v>
      </c>
      <c r="C61" t="s">
        <v>1422</v>
      </c>
      <c r="D61" t="s">
        <v>1430</v>
      </c>
    </row>
    <row r="62" spans="1:4" x14ac:dyDescent="0.25">
      <c r="A62" t="s">
        <v>308</v>
      </c>
      <c r="B62" t="s">
        <v>1419</v>
      </c>
      <c r="C62" t="s">
        <v>1423</v>
      </c>
      <c r="D62" t="s">
        <v>1430</v>
      </c>
    </row>
    <row r="63" spans="1:4" x14ac:dyDescent="0.25">
      <c r="A63" t="s">
        <v>320</v>
      </c>
      <c r="B63" t="s">
        <v>1419</v>
      </c>
      <c r="C63" t="s">
        <v>1426</v>
      </c>
      <c r="D63" t="s">
        <v>1430</v>
      </c>
    </row>
    <row r="64" spans="1:4" x14ac:dyDescent="0.25">
      <c r="A64" t="s">
        <v>317</v>
      </c>
      <c r="B64" t="s">
        <v>1424</v>
      </c>
      <c r="D64" t="s">
        <v>1432</v>
      </c>
    </row>
    <row r="65" spans="1:4" x14ac:dyDescent="0.25">
      <c r="A65" t="s">
        <v>313</v>
      </c>
      <c r="B65" t="s">
        <v>1419</v>
      </c>
      <c r="C65" t="s">
        <v>1420</v>
      </c>
      <c r="D65" t="s">
        <v>1430</v>
      </c>
    </row>
    <row r="66" spans="1:4" x14ac:dyDescent="0.25">
      <c r="A66" t="s">
        <v>78</v>
      </c>
      <c r="B66" t="s">
        <v>1419</v>
      </c>
      <c r="C66" t="s">
        <v>1420</v>
      </c>
      <c r="D66" t="s">
        <v>1430</v>
      </c>
    </row>
    <row r="67" spans="1:4" x14ac:dyDescent="0.25">
      <c r="A67" t="s">
        <v>321</v>
      </c>
      <c r="B67" t="s">
        <v>1424</v>
      </c>
      <c r="D67" t="s">
        <v>1432</v>
      </c>
    </row>
    <row r="68" spans="1:4" x14ac:dyDescent="0.25">
      <c r="A68" t="s">
        <v>325</v>
      </c>
      <c r="B68" t="s">
        <v>1419</v>
      </c>
      <c r="C68" t="s">
        <v>1420</v>
      </c>
      <c r="D68" t="s">
        <v>1430</v>
      </c>
    </row>
    <row r="69" spans="1:4" x14ac:dyDescent="0.25">
      <c r="A69" t="s">
        <v>385</v>
      </c>
      <c r="B69" t="s">
        <v>1424</v>
      </c>
      <c r="D69" t="s">
        <v>1432</v>
      </c>
    </row>
    <row r="70" spans="1:4" x14ac:dyDescent="0.25">
      <c r="A70" t="s">
        <v>78</v>
      </c>
      <c r="B70" t="s">
        <v>1419</v>
      </c>
      <c r="C70" t="s">
        <v>1420</v>
      </c>
      <c r="D70" t="s">
        <v>1430</v>
      </c>
    </row>
    <row r="71" spans="1:4" x14ac:dyDescent="0.25">
      <c r="A71" t="s">
        <v>60</v>
      </c>
      <c r="B71" t="s">
        <v>1419</v>
      </c>
      <c r="C71" t="s">
        <v>1422</v>
      </c>
      <c r="D71" t="s">
        <v>1430</v>
      </c>
    </row>
    <row r="72" spans="1:4" x14ac:dyDescent="0.25">
      <c r="A72" t="s">
        <v>334</v>
      </c>
      <c r="B72" t="s">
        <v>1424</v>
      </c>
      <c r="D72" t="s">
        <v>1431</v>
      </c>
    </row>
    <row r="73" spans="1:4" x14ac:dyDescent="0.25">
      <c r="A73" t="s">
        <v>337</v>
      </c>
      <c r="B73" t="s">
        <v>1419</v>
      </c>
      <c r="C73" t="s">
        <v>1420</v>
      </c>
      <c r="D73" t="s">
        <v>1430</v>
      </c>
    </row>
    <row r="74" spans="1:4" x14ac:dyDescent="0.25">
      <c r="A74" t="s">
        <v>340</v>
      </c>
      <c r="B74" t="s">
        <v>1419</v>
      </c>
      <c r="C74" t="s">
        <v>1420</v>
      </c>
      <c r="D74" t="s">
        <v>1430</v>
      </c>
    </row>
    <row r="75" spans="1:4" x14ac:dyDescent="0.25">
      <c r="A75" t="s">
        <v>345</v>
      </c>
      <c r="B75" t="s">
        <v>1419</v>
      </c>
      <c r="C75" t="s">
        <v>1427</v>
      </c>
      <c r="D75" t="s">
        <v>1430</v>
      </c>
    </row>
    <row r="76" spans="1:4" x14ac:dyDescent="0.25">
      <c r="A76" t="s">
        <v>78</v>
      </c>
      <c r="B76" t="s">
        <v>1419</v>
      </c>
      <c r="C76" t="s">
        <v>1420</v>
      </c>
      <c r="D76" t="s">
        <v>1430</v>
      </c>
    </row>
    <row r="77" spans="1:4" x14ac:dyDescent="0.25">
      <c r="A77" t="s">
        <v>348</v>
      </c>
      <c r="B77" t="s">
        <v>1424</v>
      </c>
      <c r="D77" t="s">
        <v>1432</v>
      </c>
    </row>
    <row r="78" spans="1:4" x14ac:dyDescent="0.25">
      <c r="A78" t="s">
        <v>351</v>
      </c>
      <c r="B78" t="s">
        <v>1419</v>
      </c>
      <c r="C78" t="s">
        <v>1426</v>
      </c>
      <c r="D78" t="s">
        <v>1430</v>
      </c>
    </row>
    <row r="79" spans="1:4" x14ac:dyDescent="0.25">
      <c r="A79" t="s">
        <v>354</v>
      </c>
      <c r="B79" t="s">
        <v>1419</v>
      </c>
      <c r="C79" t="s">
        <v>1420</v>
      </c>
      <c r="D79" t="s">
        <v>1430</v>
      </c>
    </row>
    <row r="80" spans="1:4" x14ac:dyDescent="0.25">
      <c r="A80" t="s">
        <v>358</v>
      </c>
      <c r="B80" t="s">
        <v>1424</v>
      </c>
      <c r="D80" t="s">
        <v>1432</v>
      </c>
    </row>
    <row r="81" spans="1:4" x14ac:dyDescent="0.25">
      <c r="A81" t="s">
        <v>362</v>
      </c>
      <c r="B81" t="s">
        <v>1424</v>
      </c>
      <c r="D81" t="s">
        <v>1432</v>
      </c>
    </row>
    <row r="82" spans="1:4" x14ac:dyDescent="0.25">
      <c r="A82" t="s">
        <v>365</v>
      </c>
      <c r="B82" t="s">
        <v>1419</v>
      </c>
      <c r="C82" t="s">
        <v>1426</v>
      </c>
      <c r="D82" t="s">
        <v>1430</v>
      </c>
    </row>
    <row r="83" spans="1:4" x14ac:dyDescent="0.25">
      <c r="A83" t="s">
        <v>367</v>
      </c>
      <c r="B83" t="s">
        <v>1419</v>
      </c>
      <c r="C83" t="s">
        <v>1420</v>
      </c>
      <c r="D83" t="s">
        <v>1430</v>
      </c>
    </row>
    <row r="84" spans="1:4" x14ac:dyDescent="0.25">
      <c r="A84" t="s">
        <v>370</v>
      </c>
      <c r="B84" t="s">
        <v>1418</v>
      </c>
      <c r="D84" t="s">
        <v>1431</v>
      </c>
    </row>
    <row r="85" spans="1:4" x14ac:dyDescent="0.25">
      <c r="A85" t="s">
        <v>373</v>
      </c>
      <c r="B85" t="s">
        <v>1419</v>
      </c>
      <c r="C85" t="s">
        <v>1422</v>
      </c>
      <c r="D85" t="s">
        <v>1430</v>
      </c>
    </row>
    <row r="86" spans="1:4" x14ac:dyDescent="0.25">
      <c r="A86" t="s">
        <v>374</v>
      </c>
      <c r="B86" t="s">
        <v>1418</v>
      </c>
      <c r="D86" t="s">
        <v>1430</v>
      </c>
    </row>
    <row r="87" spans="1:4" x14ac:dyDescent="0.25">
      <c r="A87" t="s">
        <v>379</v>
      </c>
      <c r="B87" t="s">
        <v>1419</v>
      </c>
      <c r="C87" t="s">
        <v>1427</v>
      </c>
      <c r="D87" t="s">
        <v>1430</v>
      </c>
    </row>
    <row r="88" spans="1:4" x14ac:dyDescent="0.25">
      <c r="A88" t="s">
        <v>381</v>
      </c>
      <c r="B88" t="s">
        <v>1419</v>
      </c>
      <c r="C88" t="s">
        <v>1427</v>
      </c>
      <c r="D88" t="s">
        <v>1430</v>
      </c>
    </row>
    <row r="89" spans="1:4" x14ac:dyDescent="0.25">
      <c r="A89" t="s">
        <v>78</v>
      </c>
      <c r="B89" t="s">
        <v>1419</v>
      </c>
      <c r="C89" t="s">
        <v>1420</v>
      </c>
      <c r="D89" t="s">
        <v>1430</v>
      </c>
    </row>
    <row r="90" spans="1:4" x14ac:dyDescent="0.25">
      <c r="A90" t="s">
        <v>391</v>
      </c>
      <c r="B90" t="s">
        <v>1419</v>
      </c>
      <c r="C90" t="s">
        <v>1426</v>
      </c>
      <c r="D90" t="s">
        <v>1430</v>
      </c>
    </row>
    <row r="91" spans="1:4" x14ac:dyDescent="0.25">
      <c r="A91" t="s">
        <v>394</v>
      </c>
      <c r="B91" t="s">
        <v>1419</v>
      </c>
      <c r="C91" t="s">
        <v>1427</v>
      </c>
      <c r="D91" t="s">
        <v>1430</v>
      </c>
    </row>
    <row r="92" spans="1:4" x14ac:dyDescent="0.25">
      <c r="A92" t="s">
        <v>78</v>
      </c>
      <c r="B92" t="s">
        <v>1419</v>
      </c>
      <c r="C92" t="s">
        <v>1420</v>
      </c>
      <c r="D92" t="s">
        <v>1430</v>
      </c>
    </row>
    <row r="93" spans="1:4" x14ac:dyDescent="0.25">
      <c r="A93" t="s">
        <v>398</v>
      </c>
      <c r="B93" t="s">
        <v>1419</v>
      </c>
      <c r="C93" t="s">
        <v>1420</v>
      </c>
      <c r="D93" t="s">
        <v>1430</v>
      </c>
    </row>
    <row r="94" spans="1:4" x14ac:dyDescent="0.25">
      <c r="A94" t="s">
        <v>402</v>
      </c>
      <c r="B94" t="s">
        <v>1424</v>
      </c>
      <c r="D94" t="s">
        <v>1430</v>
      </c>
    </row>
    <row r="95" spans="1:4" x14ac:dyDescent="0.25">
      <c r="A95" t="s">
        <v>78</v>
      </c>
      <c r="B95" t="s">
        <v>1419</v>
      </c>
      <c r="C95" t="s">
        <v>1420</v>
      </c>
      <c r="D95" t="s">
        <v>1430</v>
      </c>
    </row>
    <row r="96" spans="1:4" x14ac:dyDescent="0.25">
      <c r="A96" t="s">
        <v>405</v>
      </c>
      <c r="B96" t="s">
        <v>1424</v>
      </c>
      <c r="D96" t="s">
        <v>1432</v>
      </c>
    </row>
    <row r="97" spans="1:4" x14ac:dyDescent="0.25">
      <c r="A97" t="s">
        <v>413</v>
      </c>
      <c r="B97" t="s">
        <v>1419</v>
      </c>
      <c r="C97" t="s">
        <v>1422</v>
      </c>
      <c r="D97" t="s">
        <v>1430</v>
      </c>
    </row>
    <row r="98" spans="1:4" x14ac:dyDescent="0.25">
      <c r="A98" t="s">
        <v>409</v>
      </c>
      <c r="B98" t="s">
        <v>1424</v>
      </c>
      <c r="D98" t="s">
        <v>1431</v>
      </c>
    </row>
    <row r="99" spans="1:4" x14ac:dyDescent="0.25">
      <c r="A99" t="s">
        <v>411</v>
      </c>
      <c r="B99" t="s">
        <v>1424</v>
      </c>
      <c r="D99" t="s">
        <v>1432</v>
      </c>
    </row>
    <row r="100" spans="1:4" x14ac:dyDescent="0.25">
      <c r="A100" t="s">
        <v>425</v>
      </c>
      <c r="B100" t="s">
        <v>1425</v>
      </c>
      <c r="D100" t="s">
        <v>1430</v>
      </c>
    </row>
    <row r="101" spans="1:4" x14ac:dyDescent="0.25">
      <c r="A101" t="s">
        <v>417</v>
      </c>
      <c r="B101" t="s">
        <v>1425</v>
      </c>
      <c r="D101" t="s">
        <v>1432</v>
      </c>
    </row>
    <row r="102" spans="1:4" x14ac:dyDescent="0.25">
      <c r="A102" t="s">
        <v>419</v>
      </c>
      <c r="B102" t="s">
        <v>1419</v>
      </c>
      <c r="C102" t="s">
        <v>1420</v>
      </c>
      <c r="D102" t="s">
        <v>1430</v>
      </c>
    </row>
    <row r="103" spans="1:4" x14ac:dyDescent="0.25">
      <c r="A103" t="s">
        <v>421</v>
      </c>
      <c r="B103" t="s">
        <v>1424</v>
      </c>
      <c r="D103" t="s">
        <v>1432</v>
      </c>
    </row>
    <row r="104" spans="1:4" x14ac:dyDescent="0.25">
      <c r="A104" t="s">
        <v>428</v>
      </c>
      <c r="B104" t="s">
        <v>1418</v>
      </c>
      <c r="D104" t="s">
        <v>1431</v>
      </c>
    </row>
    <row r="105" spans="1:4" x14ac:dyDescent="0.25">
      <c r="A105" t="s">
        <v>430</v>
      </c>
      <c r="B105" t="s">
        <v>1419</v>
      </c>
      <c r="C105" t="s">
        <v>1426</v>
      </c>
      <c r="D105" t="s">
        <v>1430</v>
      </c>
    </row>
    <row r="106" spans="1:4" x14ac:dyDescent="0.25">
      <c r="A106" t="s">
        <v>433</v>
      </c>
      <c r="B106" t="s">
        <v>1419</v>
      </c>
      <c r="C106" t="s">
        <v>1426</v>
      </c>
      <c r="D106" t="s">
        <v>1430</v>
      </c>
    </row>
    <row r="107" spans="1:4" x14ac:dyDescent="0.25">
      <c r="A107" t="s">
        <v>438</v>
      </c>
      <c r="B107" t="s">
        <v>1418</v>
      </c>
      <c r="D107" t="s">
        <v>1431</v>
      </c>
    </row>
    <row r="108" spans="1:4" x14ac:dyDescent="0.25">
      <c r="A108" t="s">
        <v>439</v>
      </c>
      <c r="B108" t="s">
        <v>1419</v>
      </c>
      <c r="C108" t="s">
        <v>1426</v>
      </c>
      <c r="D108" t="s">
        <v>1430</v>
      </c>
    </row>
    <row r="109" spans="1:4" x14ac:dyDescent="0.25">
      <c r="A109" t="s">
        <v>255</v>
      </c>
      <c r="B109" t="s">
        <v>1419</v>
      </c>
      <c r="C109" t="s">
        <v>1420</v>
      </c>
      <c r="D109" t="s">
        <v>1430</v>
      </c>
    </row>
    <row r="110" spans="1:4" x14ac:dyDescent="0.25">
      <c r="A110" t="s">
        <v>444</v>
      </c>
      <c r="B110" t="s">
        <v>1424</v>
      </c>
      <c r="D110" t="s">
        <v>1430</v>
      </c>
    </row>
    <row r="111" spans="1:4" x14ac:dyDescent="0.25">
      <c r="A111" t="s">
        <v>447</v>
      </c>
      <c r="B111" t="s">
        <v>1419</v>
      </c>
      <c r="C111" t="s">
        <v>1426</v>
      </c>
      <c r="D111" t="s">
        <v>1430</v>
      </c>
    </row>
    <row r="112" spans="1:4" x14ac:dyDescent="0.25">
      <c r="A112" t="s">
        <v>450</v>
      </c>
      <c r="B112" t="s">
        <v>1418</v>
      </c>
      <c r="D112" t="s">
        <v>1431</v>
      </c>
    </row>
    <row r="113" spans="1:4" x14ac:dyDescent="0.25">
      <c r="A113" t="s">
        <v>451</v>
      </c>
      <c r="B113" t="s">
        <v>1419</v>
      </c>
      <c r="C113" t="s">
        <v>1427</v>
      </c>
      <c r="D113" t="s">
        <v>1430</v>
      </c>
    </row>
    <row r="114" spans="1:4" x14ac:dyDescent="0.25">
      <c r="A114" t="s">
        <v>455</v>
      </c>
      <c r="B114" t="s">
        <v>1418</v>
      </c>
      <c r="D114" t="s">
        <v>1430</v>
      </c>
    </row>
    <row r="115" spans="1:4" x14ac:dyDescent="0.25">
      <c r="A115" t="s">
        <v>459</v>
      </c>
      <c r="B115" t="s">
        <v>1419</v>
      </c>
      <c r="C115" t="s">
        <v>1423</v>
      </c>
      <c r="D115" t="s">
        <v>1430</v>
      </c>
    </row>
    <row r="116" spans="1:4" x14ac:dyDescent="0.25">
      <c r="A116" t="s">
        <v>461</v>
      </c>
      <c r="B116" t="s">
        <v>1419</v>
      </c>
      <c r="C116" t="s">
        <v>1423</v>
      </c>
      <c r="D116" t="s">
        <v>1430</v>
      </c>
    </row>
    <row r="117" spans="1:4" x14ac:dyDescent="0.25">
      <c r="A117" t="s">
        <v>57</v>
      </c>
      <c r="B117" t="s">
        <v>1424</v>
      </c>
      <c r="D117" t="s">
        <v>1432</v>
      </c>
    </row>
    <row r="118" spans="1:4" x14ac:dyDescent="0.25">
      <c r="A118" t="s">
        <v>255</v>
      </c>
      <c r="B118" t="s">
        <v>1419</v>
      </c>
      <c r="C118" t="s">
        <v>1420</v>
      </c>
      <c r="D118" t="s">
        <v>1430</v>
      </c>
    </row>
    <row r="119" spans="1:4" x14ac:dyDescent="0.25">
      <c r="A119" t="s">
        <v>468</v>
      </c>
      <c r="B119" t="s">
        <v>1418</v>
      </c>
      <c r="D119" t="s">
        <v>1430</v>
      </c>
    </row>
    <row r="120" spans="1:4" x14ac:dyDescent="0.25">
      <c r="A120" t="s">
        <v>472</v>
      </c>
      <c r="B120" t="s">
        <v>1424</v>
      </c>
      <c r="D120" t="s">
        <v>1432</v>
      </c>
    </row>
    <row r="121" spans="1:4" x14ac:dyDescent="0.25">
      <c r="A121" t="s">
        <v>475</v>
      </c>
      <c r="B121" t="s">
        <v>1424</v>
      </c>
      <c r="D121" t="s">
        <v>1432</v>
      </c>
    </row>
    <row r="122" spans="1:4" x14ac:dyDescent="0.25">
      <c r="A122" t="s">
        <v>478</v>
      </c>
      <c r="B122" t="s">
        <v>1418</v>
      </c>
      <c r="D122" t="s">
        <v>1431</v>
      </c>
    </row>
    <row r="123" spans="1:4" x14ac:dyDescent="0.25">
      <c r="A123" t="s">
        <v>78</v>
      </c>
      <c r="B123" t="s">
        <v>1419</v>
      </c>
      <c r="C123" t="s">
        <v>1420</v>
      </c>
      <c r="D123" t="s">
        <v>1430</v>
      </c>
    </row>
    <row r="124" spans="1:4" x14ac:dyDescent="0.25">
      <c r="A124" t="s">
        <v>482</v>
      </c>
      <c r="B124" t="s">
        <v>1418</v>
      </c>
      <c r="D124" t="s">
        <v>1431</v>
      </c>
    </row>
    <row r="125" spans="1:4" x14ac:dyDescent="0.25">
      <c r="A125" t="s">
        <v>488</v>
      </c>
      <c r="B125" t="s">
        <v>1419</v>
      </c>
      <c r="C125" t="s">
        <v>1427</v>
      </c>
      <c r="D125" t="s">
        <v>1430</v>
      </c>
    </row>
    <row r="126" spans="1:4" x14ac:dyDescent="0.25">
      <c r="A126" t="s">
        <v>491</v>
      </c>
      <c r="B126" t="s">
        <v>1419</v>
      </c>
      <c r="C126" t="s">
        <v>1427</v>
      </c>
      <c r="D126" t="s">
        <v>1430</v>
      </c>
    </row>
    <row r="127" spans="1:4" x14ac:dyDescent="0.25">
      <c r="A127" t="s">
        <v>495</v>
      </c>
      <c r="B127" t="s">
        <v>1419</v>
      </c>
      <c r="C127" t="s">
        <v>1426</v>
      </c>
      <c r="D127" t="s">
        <v>1430</v>
      </c>
    </row>
    <row r="128" spans="1:4" x14ac:dyDescent="0.25">
      <c r="A128" t="s">
        <v>498</v>
      </c>
      <c r="B128" t="s">
        <v>1419</v>
      </c>
      <c r="C128" t="s">
        <v>1420</v>
      </c>
      <c r="D128" t="s">
        <v>1430</v>
      </c>
    </row>
    <row r="129" spans="1:4" x14ac:dyDescent="0.25">
      <c r="A129" t="s">
        <v>501</v>
      </c>
      <c r="B129" t="s">
        <v>1419</v>
      </c>
      <c r="C129" t="s">
        <v>1426</v>
      </c>
      <c r="D129" t="s">
        <v>1430</v>
      </c>
    </row>
    <row r="130" spans="1:4" x14ac:dyDescent="0.25">
      <c r="A130" t="s">
        <v>502</v>
      </c>
      <c r="B130" t="s">
        <v>1418</v>
      </c>
      <c r="D130" t="s">
        <v>1431</v>
      </c>
    </row>
    <row r="131" spans="1:4" x14ac:dyDescent="0.25">
      <c r="A131" t="s">
        <v>255</v>
      </c>
      <c r="B131" t="s">
        <v>1419</v>
      </c>
      <c r="C131" t="s">
        <v>1420</v>
      </c>
      <c r="D131" t="s">
        <v>1430</v>
      </c>
    </row>
    <row r="132" spans="1:4" x14ac:dyDescent="0.25">
      <c r="A132" t="s">
        <v>539</v>
      </c>
      <c r="B132" t="s">
        <v>1424</v>
      </c>
      <c r="D132" t="s">
        <v>1432</v>
      </c>
    </row>
    <row r="133" spans="1:4" x14ac:dyDescent="0.25">
      <c r="A133" t="s">
        <v>543</v>
      </c>
      <c r="B133" t="s">
        <v>1419</v>
      </c>
      <c r="C133" t="s">
        <v>1426</v>
      </c>
      <c r="D133" t="s">
        <v>1430</v>
      </c>
    </row>
    <row r="134" spans="1:4" x14ac:dyDescent="0.25">
      <c r="A134" t="s">
        <v>101</v>
      </c>
      <c r="B134" t="s">
        <v>1419</v>
      </c>
      <c r="C134" t="s">
        <v>1420</v>
      </c>
      <c r="D134" t="s">
        <v>1430</v>
      </c>
    </row>
    <row r="135" spans="1:4" x14ac:dyDescent="0.25">
      <c r="A135" t="s">
        <v>511</v>
      </c>
      <c r="B135" t="s">
        <v>1419</v>
      </c>
      <c r="C135" t="s">
        <v>1420</v>
      </c>
      <c r="D135" t="s">
        <v>1430</v>
      </c>
    </row>
    <row r="136" spans="1:4" x14ac:dyDescent="0.25">
      <c r="A136" t="s">
        <v>514</v>
      </c>
      <c r="B136" t="s">
        <v>1418</v>
      </c>
      <c r="D136" t="s">
        <v>1431</v>
      </c>
    </row>
    <row r="137" spans="1:4" x14ac:dyDescent="0.25">
      <c r="A137" t="s">
        <v>518</v>
      </c>
      <c r="B137" t="s">
        <v>1424</v>
      </c>
      <c r="D137" t="s">
        <v>1432</v>
      </c>
    </row>
    <row r="138" spans="1:4" x14ac:dyDescent="0.25">
      <c r="A138" t="s">
        <v>519</v>
      </c>
      <c r="B138" t="s">
        <v>1424</v>
      </c>
      <c r="D138" t="s">
        <v>1430</v>
      </c>
    </row>
    <row r="139" spans="1:4" x14ac:dyDescent="0.25">
      <c r="A139" t="s">
        <v>523</v>
      </c>
      <c r="B139" t="s">
        <v>1424</v>
      </c>
      <c r="D139" t="s">
        <v>1432</v>
      </c>
    </row>
    <row r="140" spans="1:4" x14ac:dyDescent="0.25">
      <c r="A140" t="s">
        <v>526</v>
      </c>
      <c r="B140" t="s">
        <v>1419</v>
      </c>
      <c r="C140" t="s">
        <v>1423</v>
      </c>
      <c r="D140" t="s">
        <v>1430</v>
      </c>
    </row>
    <row r="141" spans="1:4" x14ac:dyDescent="0.25">
      <c r="A141" t="s">
        <v>527</v>
      </c>
      <c r="B141" t="s">
        <v>1424</v>
      </c>
      <c r="D141" t="s">
        <v>1432</v>
      </c>
    </row>
    <row r="142" spans="1:4" x14ac:dyDescent="0.25">
      <c r="A142" t="s">
        <v>532</v>
      </c>
      <c r="B142" t="s">
        <v>1424</v>
      </c>
      <c r="D142" t="s">
        <v>1432</v>
      </c>
    </row>
    <row r="143" spans="1:4" x14ac:dyDescent="0.25">
      <c r="A143" t="s">
        <v>535</v>
      </c>
      <c r="B143" t="s">
        <v>1419</v>
      </c>
      <c r="C143" t="s">
        <v>1423</v>
      </c>
      <c r="D143" t="s">
        <v>1430</v>
      </c>
    </row>
    <row r="144" spans="1:4" x14ac:dyDescent="0.25">
      <c r="A144" t="s">
        <v>588</v>
      </c>
      <c r="B144" t="s">
        <v>1419</v>
      </c>
      <c r="C144" t="s">
        <v>1426</v>
      </c>
      <c r="D144" t="s">
        <v>1430</v>
      </c>
    </row>
    <row r="145" spans="1:4" x14ac:dyDescent="0.25">
      <c r="A145" t="s">
        <v>586</v>
      </c>
      <c r="B145" t="s">
        <v>1419</v>
      </c>
      <c r="C145" t="s">
        <v>1420</v>
      </c>
      <c r="D145" t="s">
        <v>1430</v>
      </c>
    </row>
    <row r="146" spans="1:4" x14ac:dyDescent="0.25">
      <c r="A146" t="s">
        <v>546</v>
      </c>
      <c r="B146" t="s">
        <v>1419</v>
      </c>
      <c r="C146" t="s">
        <v>1427</v>
      </c>
      <c r="D146" t="s">
        <v>1430</v>
      </c>
    </row>
    <row r="147" spans="1:4" x14ac:dyDescent="0.25">
      <c r="A147" t="s">
        <v>551</v>
      </c>
      <c r="B147" t="s">
        <v>1424</v>
      </c>
      <c r="D147" t="s">
        <v>1432</v>
      </c>
    </row>
    <row r="148" spans="1:4" x14ac:dyDescent="0.25">
      <c r="A148" t="s">
        <v>56</v>
      </c>
      <c r="B148" t="s">
        <v>1424</v>
      </c>
      <c r="D148" t="s">
        <v>1432</v>
      </c>
    </row>
    <row r="149" spans="1:4" x14ac:dyDescent="0.25">
      <c r="A149" t="s">
        <v>554</v>
      </c>
      <c r="B149" t="s">
        <v>1419</v>
      </c>
      <c r="C149" t="s">
        <v>1420</v>
      </c>
      <c r="D149" t="s">
        <v>1430</v>
      </c>
    </row>
    <row r="150" spans="1:4" x14ac:dyDescent="0.25">
      <c r="A150" t="s">
        <v>556</v>
      </c>
      <c r="B150" t="s">
        <v>1419</v>
      </c>
      <c r="C150" t="s">
        <v>1427</v>
      </c>
      <c r="D150" t="s">
        <v>1430</v>
      </c>
    </row>
    <row r="151" spans="1:4" x14ac:dyDescent="0.25">
      <c r="A151" t="s">
        <v>560</v>
      </c>
      <c r="B151" t="s">
        <v>1424</v>
      </c>
      <c r="D151" t="s">
        <v>1430</v>
      </c>
    </row>
    <row r="152" spans="1:4" x14ac:dyDescent="0.25">
      <c r="A152" t="s">
        <v>564</v>
      </c>
      <c r="B152" t="s">
        <v>1419</v>
      </c>
      <c r="C152" t="s">
        <v>1427</v>
      </c>
      <c r="D152" t="s">
        <v>1430</v>
      </c>
    </row>
    <row r="153" spans="1:4" x14ac:dyDescent="0.25">
      <c r="A153" t="s">
        <v>101</v>
      </c>
      <c r="B153" t="s">
        <v>1419</v>
      </c>
      <c r="C153" t="s">
        <v>1420</v>
      </c>
      <c r="D153" t="s">
        <v>1430</v>
      </c>
    </row>
    <row r="154" spans="1:4" x14ac:dyDescent="0.25">
      <c r="A154" t="s">
        <v>566</v>
      </c>
      <c r="B154" t="s">
        <v>1419</v>
      </c>
      <c r="C154" t="s">
        <v>1427</v>
      </c>
      <c r="D154" t="s">
        <v>1430</v>
      </c>
    </row>
    <row r="155" spans="1:4" x14ac:dyDescent="0.25">
      <c r="A155" t="s">
        <v>570</v>
      </c>
      <c r="B155" t="s">
        <v>1424</v>
      </c>
      <c r="D155" t="s">
        <v>1432</v>
      </c>
    </row>
    <row r="156" spans="1:4" x14ac:dyDescent="0.25">
      <c r="A156" t="s">
        <v>78</v>
      </c>
      <c r="B156" t="s">
        <v>1419</v>
      </c>
      <c r="C156" t="s">
        <v>1420</v>
      </c>
      <c r="D156" t="s">
        <v>1430</v>
      </c>
    </row>
    <row r="157" spans="1:4" x14ac:dyDescent="0.25">
      <c r="A157" t="s">
        <v>574</v>
      </c>
      <c r="B157" t="s">
        <v>1419</v>
      </c>
      <c r="C157" t="s">
        <v>1427</v>
      </c>
      <c r="D157" t="s">
        <v>1430</v>
      </c>
    </row>
    <row r="158" spans="1:4" x14ac:dyDescent="0.25">
      <c r="A158" t="s">
        <v>579</v>
      </c>
      <c r="B158" t="s">
        <v>1419</v>
      </c>
      <c r="C158" t="s">
        <v>1427</v>
      </c>
      <c r="D158" t="s">
        <v>1430</v>
      </c>
    </row>
    <row r="159" spans="1:4" x14ac:dyDescent="0.25">
      <c r="A159" t="s">
        <v>583</v>
      </c>
      <c r="B159" t="s">
        <v>1424</v>
      </c>
      <c r="D159" t="s">
        <v>1432</v>
      </c>
    </row>
    <row r="160" spans="1:4" x14ac:dyDescent="0.25">
      <c r="A160" t="s">
        <v>591</v>
      </c>
      <c r="B160" t="s">
        <v>1419</v>
      </c>
      <c r="C160" t="s">
        <v>1427</v>
      </c>
      <c r="D160" t="s">
        <v>1430</v>
      </c>
    </row>
    <row r="161" spans="1:4" x14ac:dyDescent="0.25">
      <c r="A161" t="s">
        <v>595</v>
      </c>
      <c r="B161" t="s">
        <v>1424</v>
      </c>
      <c r="D161" t="s">
        <v>1432</v>
      </c>
    </row>
    <row r="162" spans="1:4" x14ac:dyDescent="0.25">
      <c r="A162" t="s">
        <v>523</v>
      </c>
      <c r="B162" t="s">
        <v>1424</v>
      </c>
      <c r="D162" t="s">
        <v>1432</v>
      </c>
    </row>
    <row r="163" spans="1:4" x14ac:dyDescent="0.25">
      <c r="A163" t="s">
        <v>599</v>
      </c>
      <c r="B163" t="s">
        <v>1419</v>
      </c>
      <c r="C163" t="s">
        <v>1427</v>
      </c>
      <c r="D163" t="s">
        <v>1430</v>
      </c>
    </row>
    <row r="164" spans="1:4" x14ac:dyDescent="0.25">
      <c r="A164" t="s">
        <v>605</v>
      </c>
      <c r="B164" t="s">
        <v>1419</v>
      </c>
      <c r="C164" t="s">
        <v>1423</v>
      </c>
      <c r="D164" t="s">
        <v>1430</v>
      </c>
    </row>
    <row r="165" spans="1:4" x14ac:dyDescent="0.25">
      <c r="A165" t="s">
        <v>54</v>
      </c>
      <c r="B165" t="s">
        <v>1419</v>
      </c>
      <c r="C165" t="s">
        <v>1420</v>
      </c>
      <c r="D165" t="s">
        <v>1430</v>
      </c>
    </row>
    <row r="166" spans="1:4" x14ac:dyDescent="0.25">
      <c r="A166" t="s">
        <v>612</v>
      </c>
      <c r="B166" t="s">
        <v>1419</v>
      </c>
      <c r="C166" t="s">
        <v>1420</v>
      </c>
      <c r="D166" t="s">
        <v>1430</v>
      </c>
    </row>
    <row r="167" spans="1:4" x14ac:dyDescent="0.25">
      <c r="A167" t="s">
        <v>91</v>
      </c>
      <c r="B167" t="s">
        <v>1419</v>
      </c>
      <c r="C167" t="s">
        <v>1427</v>
      </c>
      <c r="D167" t="s">
        <v>1430</v>
      </c>
    </row>
    <row r="168" spans="1:4" x14ac:dyDescent="0.25">
      <c r="A168" t="s">
        <v>615</v>
      </c>
      <c r="B168" t="s">
        <v>1419</v>
      </c>
      <c r="C168" t="s">
        <v>1426</v>
      </c>
      <c r="D168" t="s">
        <v>1430</v>
      </c>
    </row>
    <row r="169" spans="1:4" x14ac:dyDescent="0.25">
      <c r="A169" t="s">
        <v>616</v>
      </c>
      <c r="B169" t="s">
        <v>1419</v>
      </c>
      <c r="C169" t="s">
        <v>1426</v>
      </c>
      <c r="D169" t="s">
        <v>1430</v>
      </c>
    </row>
    <row r="170" spans="1:4" x14ac:dyDescent="0.25">
      <c r="A170" t="s">
        <v>621</v>
      </c>
      <c r="B170" t="s">
        <v>1424</v>
      </c>
      <c r="D170" t="s">
        <v>1432</v>
      </c>
    </row>
    <row r="171" spans="1:4" x14ac:dyDescent="0.25">
      <c r="A171" t="s">
        <v>622</v>
      </c>
      <c r="B171" t="s">
        <v>1419</v>
      </c>
      <c r="C171" t="s">
        <v>1426</v>
      </c>
      <c r="D171" t="s">
        <v>1430</v>
      </c>
    </row>
    <row r="172" spans="1:4" x14ac:dyDescent="0.25">
      <c r="A172" t="s">
        <v>628</v>
      </c>
      <c r="B172" t="s">
        <v>1419</v>
      </c>
      <c r="C172" t="s">
        <v>1420</v>
      </c>
      <c r="D172" t="s">
        <v>1430</v>
      </c>
    </row>
    <row r="173" spans="1:4" x14ac:dyDescent="0.25">
      <c r="A173" t="s">
        <v>629</v>
      </c>
      <c r="B173" t="s">
        <v>1418</v>
      </c>
      <c r="D173" t="s">
        <v>1430</v>
      </c>
    </row>
    <row r="174" spans="1:4" x14ac:dyDescent="0.25">
      <c r="A174" t="s">
        <v>634</v>
      </c>
      <c r="B174" t="s">
        <v>1424</v>
      </c>
      <c r="D174" t="s">
        <v>1432</v>
      </c>
    </row>
    <row r="175" spans="1:4" x14ac:dyDescent="0.25">
      <c r="A175" t="s">
        <v>101</v>
      </c>
      <c r="B175" t="s">
        <v>1419</v>
      </c>
      <c r="C175" t="s">
        <v>1420</v>
      </c>
      <c r="D175" t="s">
        <v>1430</v>
      </c>
    </row>
    <row r="176" spans="1:4" x14ac:dyDescent="0.25">
      <c r="A176" t="s">
        <v>639</v>
      </c>
      <c r="B176" t="s">
        <v>1418</v>
      </c>
      <c r="D176" t="s">
        <v>1431</v>
      </c>
    </row>
    <row r="177" spans="1:4" x14ac:dyDescent="0.25">
      <c r="A177" t="s">
        <v>642</v>
      </c>
      <c r="B177" t="s">
        <v>1419</v>
      </c>
      <c r="C177" t="s">
        <v>1426</v>
      </c>
      <c r="D177" t="s">
        <v>1430</v>
      </c>
    </row>
    <row r="178" spans="1:4" x14ac:dyDescent="0.25">
      <c r="A178" t="s">
        <v>643</v>
      </c>
      <c r="B178" t="s">
        <v>1419</v>
      </c>
      <c r="C178" t="s">
        <v>1428</v>
      </c>
      <c r="D178" t="s">
        <v>1430</v>
      </c>
    </row>
    <row r="179" spans="1:4" x14ac:dyDescent="0.25">
      <c r="A179" t="s">
        <v>648</v>
      </c>
      <c r="B179" t="s">
        <v>1418</v>
      </c>
      <c r="D179" t="s">
        <v>1430</v>
      </c>
    </row>
    <row r="180" spans="1:4" x14ac:dyDescent="0.25">
      <c r="A180" t="s">
        <v>87</v>
      </c>
      <c r="B180" t="s">
        <v>1424</v>
      </c>
      <c r="D180" t="s">
        <v>1432</v>
      </c>
    </row>
    <row r="181" spans="1:4" x14ac:dyDescent="0.25">
      <c r="A181" t="s">
        <v>653</v>
      </c>
      <c r="B181" t="s">
        <v>1424</v>
      </c>
      <c r="D181" t="s">
        <v>1432</v>
      </c>
    </row>
    <row r="182" spans="1:4" x14ac:dyDescent="0.25">
      <c r="A182" t="s">
        <v>656</v>
      </c>
      <c r="B182" t="s">
        <v>1419</v>
      </c>
      <c r="C182" t="s">
        <v>1420</v>
      </c>
      <c r="D182" t="s">
        <v>1430</v>
      </c>
    </row>
    <row r="183" spans="1:4" x14ac:dyDescent="0.25">
      <c r="A183" t="s">
        <v>657</v>
      </c>
      <c r="B183" t="s">
        <v>1418</v>
      </c>
      <c r="D183" t="s">
        <v>1431</v>
      </c>
    </row>
    <row r="184" spans="1:4" x14ac:dyDescent="0.25">
      <c r="A184" t="s">
        <v>661</v>
      </c>
      <c r="B184" t="s">
        <v>1419</v>
      </c>
      <c r="C184" t="s">
        <v>1420</v>
      </c>
      <c r="D184" t="s">
        <v>1430</v>
      </c>
    </row>
    <row r="185" spans="1:4" x14ac:dyDescent="0.25">
      <c r="A185" t="s">
        <v>664</v>
      </c>
      <c r="B185" t="s">
        <v>1419</v>
      </c>
      <c r="C185" t="s">
        <v>1420</v>
      </c>
      <c r="D185" t="s">
        <v>1430</v>
      </c>
    </row>
    <row r="186" spans="1:4" x14ac:dyDescent="0.25">
      <c r="A186" t="s">
        <v>667</v>
      </c>
      <c r="B186" t="s">
        <v>1418</v>
      </c>
      <c r="D186" t="s">
        <v>1431</v>
      </c>
    </row>
    <row r="187" spans="1:4" x14ac:dyDescent="0.25">
      <c r="A187" t="s">
        <v>78</v>
      </c>
      <c r="B187" t="s">
        <v>1419</v>
      </c>
      <c r="C187" t="s">
        <v>1420</v>
      </c>
      <c r="D187" t="s">
        <v>1430</v>
      </c>
    </row>
    <row r="188" spans="1:4" x14ac:dyDescent="0.25">
      <c r="A188" t="s">
        <v>671</v>
      </c>
      <c r="B188" t="s">
        <v>1419</v>
      </c>
      <c r="C188" t="s">
        <v>1423</v>
      </c>
      <c r="D188" t="s">
        <v>1430</v>
      </c>
    </row>
    <row r="189" spans="1:4" x14ac:dyDescent="0.25">
      <c r="A189" t="s">
        <v>672</v>
      </c>
      <c r="B189" t="s">
        <v>1418</v>
      </c>
      <c r="D189" t="s">
        <v>1431</v>
      </c>
    </row>
    <row r="190" spans="1:4" x14ac:dyDescent="0.25">
      <c r="A190" t="s">
        <v>677</v>
      </c>
      <c r="B190" t="s">
        <v>1418</v>
      </c>
      <c r="D190" t="s">
        <v>1430</v>
      </c>
    </row>
    <row r="191" spans="1:4" x14ac:dyDescent="0.25">
      <c r="A191" t="s">
        <v>678</v>
      </c>
      <c r="B191" t="s">
        <v>1419</v>
      </c>
      <c r="C191" t="s">
        <v>1420</v>
      </c>
      <c r="D191" t="s">
        <v>1430</v>
      </c>
    </row>
    <row r="192" spans="1:4" x14ac:dyDescent="0.25">
      <c r="A192" t="s">
        <v>682</v>
      </c>
      <c r="B192" t="s">
        <v>1424</v>
      </c>
      <c r="D192" t="s">
        <v>1432</v>
      </c>
    </row>
    <row r="193" spans="1:4" x14ac:dyDescent="0.25">
      <c r="A193" t="s">
        <v>57</v>
      </c>
      <c r="B193" t="s">
        <v>1424</v>
      </c>
      <c r="D193" t="s">
        <v>1432</v>
      </c>
    </row>
    <row r="194" spans="1:4" x14ac:dyDescent="0.25">
      <c r="A194" t="s">
        <v>686</v>
      </c>
      <c r="B194" t="s">
        <v>1424</v>
      </c>
      <c r="D194" t="s">
        <v>1432</v>
      </c>
    </row>
    <row r="195" spans="1:4" x14ac:dyDescent="0.25">
      <c r="A195" t="s">
        <v>690</v>
      </c>
      <c r="B195" t="s">
        <v>1418</v>
      </c>
      <c r="D195" t="s">
        <v>1431</v>
      </c>
    </row>
    <row r="196" spans="1:4" x14ac:dyDescent="0.25">
      <c r="A196" t="s">
        <v>694</v>
      </c>
      <c r="B196" t="s">
        <v>1425</v>
      </c>
      <c r="D196" t="s">
        <v>1432</v>
      </c>
    </row>
    <row r="197" spans="1:4" x14ac:dyDescent="0.25">
      <c r="A197" t="s">
        <v>695</v>
      </c>
      <c r="B197" t="s">
        <v>1419</v>
      </c>
      <c r="C197" t="s">
        <v>1423</v>
      </c>
      <c r="D197" t="s">
        <v>1430</v>
      </c>
    </row>
    <row r="198" spans="1:4" x14ac:dyDescent="0.25">
      <c r="A198" t="s">
        <v>721</v>
      </c>
      <c r="B198" t="s">
        <v>1419</v>
      </c>
      <c r="C198" t="s">
        <v>1426</v>
      </c>
      <c r="D198" t="s">
        <v>1430</v>
      </c>
    </row>
    <row r="199" spans="1:4" x14ac:dyDescent="0.25">
      <c r="A199" t="s">
        <v>724</v>
      </c>
      <c r="B199" t="s">
        <v>1424</v>
      </c>
      <c r="D199" t="s">
        <v>1432</v>
      </c>
    </row>
    <row r="200" spans="1:4" x14ac:dyDescent="0.25">
      <c r="A200" t="s">
        <v>700</v>
      </c>
      <c r="B200" t="s">
        <v>1424</v>
      </c>
      <c r="D200" t="s">
        <v>1430</v>
      </c>
    </row>
    <row r="201" spans="1:4" x14ac:dyDescent="0.25">
      <c r="A201" t="s">
        <v>703</v>
      </c>
      <c r="B201" t="s">
        <v>1424</v>
      </c>
      <c r="D201" t="s">
        <v>1432</v>
      </c>
    </row>
    <row r="202" spans="1:4" x14ac:dyDescent="0.25">
      <c r="A202" t="s">
        <v>727</v>
      </c>
      <c r="B202" t="s">
        <v>1419</v>
      </c>
      <c r="C202" t="s">
        <v>1422</v>
      </c>
      <c r="D202" t="s">
        <v>1430</v>
      </c>
    </row>
    <row r="203" spans="1:4" x14ac:dyDescent="0.25">
      <c r="A203" t="s">
        <v>706</v>
      </c>
      <c r="B203" t="s">
        <v>1424</v>
      </c>
      <c r="D203" t="s">
        <v>1432</v>
      </c>
    </row>
    <row r="204" spans="1:4" x14ac:dyDescent="0.25">
      <c r="A204" t="s">
        <v>695</v>
      </c>
      <c r="B204" t="s">
        <v>1419</v>
      </c>
      <c r="C204" t="s">
        <v>1423</v>
      </c>
      <c r="D204" t="s">
        <v>1430</v>
      </c>
    </row>
    <row r="205" spans="1:4" x14ac:dyDescent="0.25">
      <c r="A205" t="s">
        <v>711</v>
      </c>
      <c r="B205" t="s">
        <v>1418</v>
      </c>
      <c r="D205" t="s">
        <v>1431</v>
      </c>
    </row>
    <row r="206" spans="1:4" x14ac:dyDescent="0.25">
      <c r="A206" t="s">
        <v>714</v>
      </c>
      <c r="B206" t="s">
        <v>1419</v>
      </c>
      <c r="C206" t="s">
        <v>1422</v>
      </c>
      <c r="D206" t="s">
        <v>1430</v>
      </c>
    </row>
    <row r="207" spans="1:4" x14ac:dyDescent="0.25">
      <c r="A207" t="s">
        <v>718</v>
      </c>
      <c r="B207" t="s">
        <v>1419</v>
      </c>
      <c r="C207" t="s">
        <v>1423</v>
      </c>
      <c r="D207" t="s">
        <v>1430</v>
      </c>
    </row>
    <row r="208" spans="1:4" x14ac:dyDescent="0.25">
      <c r="A208" t="s">
        <v>275</v>
      </c>
      <c r="B208" t="s">
        <v>1419</v>
      </c>
      <c r="C208" t="s">
        <v>1422</v>
      </c>
      <c r="D208" t="s">
        <v>1430</v>
      </c>
    </row>
    <row r="209" spans="1:4" x14ac:dyDescent="0.25">
      <c r="A209" t="s">
        <v>734</v>
      </c>
      <c r="B209" t="s">
        <v>1418</v>
      </c>
      <c r="D209" t="s">
        <v>1430</v>
      </c>
    </row>
    <row r="210" spans="1:4" x14ac:dyDescent="0.25">
      <c r="A210" t="s">
        <v>737</v>
      </c>
      <c r="B210" t="s">
        <v>1424</v>
      </c>
      <c r="D210" t="s">
        <v>1432</v>
      </c>
    </row>
    <row r="211" spans="1:4" x14ac:dyDescent="0.25">
      <c r="A211" t="s">
        <v>740</v>
      </c>
      <c r="B211" t="s">
        <v>1419</v>
      </c>
      <c r="C211" t="s">
        <v>1423</v>
      </c>
      <c r="D211" t="s">
        <v>1430</v>
      </c>
    </row>
    <row r="212" spans="1:4" x14ac:dyDescent="0.25">
      <c r="A212" t="s">
        <v>743</v>
      </c>
      <c r="B212" t="s">
        <v>1424</v>
      </c>
      <c r="D212" t="s">
        <v>1432</v>
      </c>
    </row>
    <row r="213" spans="1:4" x14ac:dyDescent="0.25">
      <c r="A213" t="s">
        <v>748</v>
      </c>
      <c r="B213" t="s">
        <v>1419</v>
      </c>
      <c r="C213" t="s">
        <v>1428</v>
      </c>
      <c r="D213" t="s">
        <v>1430</v>
      </c>
    </row>
    <row r="214" spans="1:4" x14ac:dyDescent="0.25">
      <c r="A214" t="s">
        <v>747</v>
      </c>
      <c r="B214" t="s">
        <v>1424</v>
      </c>
      <c r="D214" t="s">
        <v>1430</v>
      </c>
    </row>
    <row r="215" spans="1:4" x14ac:dyDescent="0.25">
      <c r="A215" t="s">
        <v>752</v>
      </c>
      <c r="B215" t="s">
        <v>1418</v>
      </c>
      <c r="D215" t="s">
        <v>1430</v>
      </c>
    </row>
    <row r="216" spans="1:4" x14ac:dyDescent="0.25">
      <c r="A216" t="s">
        <v>755</v>
      </c>
      <c r="B216" t="s">
        <v>1419</v>
      </c>
      <c r="C216" t="s">
        <v>1420</v>
      </c>
      <c r="D216" t="s">
        <v>1430</v>
      </c>
    </row>
    <row r="217" spans="1:4" x14ac:dyDescent="0.25">
      <c r="A217" t="s">
        <v>766</v>
      </c>
      <c r="B217" t="s">
        <v>1424</v>
      </c>
      <c r="D217" t="s">
        <v>1432</v>
      </c>
    </row>
    <row r="218" spans="1:4" x14ac:dyDescent="0.25">
      <c r="A218" t="s">
        <v>767</v>
      </c>
      <c r="B218" t="s">
        <v>1424</v>
      </c>
      <c r="D218" t="s">
        <v>1432</v>
      </c>
    </row>
    <row r="219" spans="1:4" x14ac:dyDescent="0.25">
      <c r="A219" t="s">
        <v>761</v>
      </c>
      <c r="B219" t="s">
        <v>1424</v>
      </c>
      <c r="D219" t="s">
        <v>1432</v>
      </c>
    </row>
    <row r="220" spans="1:4" x14ac:dyDescent="0.25">
      <c r="A220" t="s">
        <v>759</v>
      </c>
      <c r="B220" t="s">
        <v>1418</v>
      </c>
      <c r="D220" t="s">
        <v>1430</v>
      </c>
    </row>
    <row r="221" spans="1:4" x14ac:dyDescent="0.25">
      <c r="A221" t="s">
        <v>771</v>
      </c>
      <c r="B221" t="s">
        <v>1419</v>
      </c>
      <c r="C221" t="s">
        <v>1420</v>
      </c>
      <c r="D221" t="s">
        <v>1430</v>
      </c>
    </row>
    <row r="222" spans="1:4" x14ac:dyDescent="0.25">
      <c r="A222" t="s">
        <v>773</v>
      </c>
      <c r="B222" t="s">
        <v>1419</v>
      </c>
      <c r="C222" t="s">
        <v>1423</v>
      </c>
      <c r="D222" t="s">
        <v>1430</v>
      </c>
    </row>
    <row r="223" spans="1:4" x14ac:dyDescent="0.25">
      <c r="A223" t="s">
        <v>776</v>
      </c>
      <c r="B223" t="s">
        <v>1419</v>
      </c>
      <c r="C223" t="s">
        <v>1426</v>
      </c>
      <c r="D223" t="s">
        <v>1430</v>
      </c>
    </row>
    <row r="224" spans="1:4" x14ac:dyDescent="0.25">
      <c r="A224" t="s">
        <v>78</v>
      </c>
      <c r="B224" t="s">
        <v>1419</v>
      </c>
      <c r="C224" t="s">
        <v>1420</v>
      </c>
      <c r="D224" t="s">
        <v>1430</v>
      </c>
    </row>
    <row r="225" spans="1:4" x14ac:dyDescent="0.25">
      <c r="A225" t="s">
        <v>780</v>
      </c>
      <c r="B225" t="s">
        <v>1424</v>
      </c>
      <c r="D225" t="s">
        <v>1431</v>
      </c>
    </row>
    <row r="226" spans="1:4" x14ac:dyDescent="0.25">
      <c r="A226" t="s">
        <v>781</v>
      </c>
      <c r="B226" t="s">
        <v>1425</v>
      </c>
      <c r="D226" t="s">
        <v>1431</v>
      </c>
    </row>
    <row r="227" spans="1:4" x14ac:dyDescent="0.25">
      <c r="A227" t="s">
        <v>796</v>
      </c>
      <c r="B227" t="s">
        <v>1419</v>
      </c>
      <c r="C227" t="s">
        <v>1420</v>
      </c>
      <c r="D227" t="s">
        <v>1430</v>
      </c>
    </row>
    <row r="228" spans="1:4" x14ac:dyDescent="0.25">
      <c r="A228" t="s">
        <v>799</v>
      </c>
      <c r="B228" t="s">
        <v>1419</v>
      </c>
      <c r="C228" t="s">
        <v>1429</v>
      </c>
      <c r="D228" t="s">
        <v>1430</v>
      </c>
    </row>
    <row r="229" spans="1:4" x14ac:dyDescent="0.25">
      <c r="A229" t="s">
        <v>800</v>
      </c>
      <c r="B229" t="s">
        <v>1419</v>
      </c>
      <c r="C229" t="s">
        <v>1426</v>
      </c>
      <c r="D229" t="s">
        <v>1430</v>
      </c>
    </row>
    <row r="230" spans="1:4" x14ac:dyDescent="0.25">
      <c r="A230" t="s">
        <v>54</v>
      </c>
      <c r="B230" t="s">
        <v>1419</v>
      </c>
      <c r="C230" t="s">
        <v>1420</v>
      </c>
      <c r="D230" t="s">
        <v>1430</v>
      </c>
    </row>
    <row r="231" spans="1:4" x14ac:dyDescent="0.25">
      <c r="A231" t="s">
        <v>805</v>
      </c>
      <c r="B231" t="s">
        <v>1419</v>
      </c>
      <c r="C231" t="s">
        <v>1426</v>
      </c>
      <c r="D231" t="s">
        <v>1430</v>
      </c>
    </row>
    <row r="232" spans="1:4" x14ac:dyDescent="0.25">
      <c r="A232" t="s">
        <v>809</v>
      </c>
      <c r="B232" t="s">
        <v>1419</v>
      </c>
      <c r="C232" t="s">
        <v>1422</v>
      </c>
      <c r="D232" t="s">
        <v>1430</v>
      </c>
    </row>
    <row r="233" spans="1:4" x14ac:dyDescent="0.25">
      <c r="A233" t="s">
        <v>810</v>
      </c>
      <c r="B233" t="s">
        <v>1419</v>
      </c>
      <c r="C233" t="s">
        <v>1426</v>
      </c>
      <c r="D233" t="s">
        <v>1430</v>
      </c>
    </row>
    <row r="234" spans="1:4" x14ac:dyDescent="0.25">
      <c r="A234" t="s">
        <v>87</v>
      </c>
      <c r="B234" t="s">
        <v>1424</v>
      </c>
      <c r="D234" t="s">
        <v>1432</v>
      </c>
    </row>
    <row r="235" spans="1:4" x14ac:dyDescent="0.25">
      <c r="A235" t="s">
        <v>91</v>
      </c>
      <c r="B235" t="s">
        <v>1419</v>
      </c>
      <c r="C235" t="s">
        <v>1427</v>
      </c>
      <c r="D235" t="s">
        <v>1430</v>
      </c>
    </row>
    <row r="236" spans="1:4" x14ac:dyDescent="0.25">
      <c r="A236" t="s">
        <v>819</v>
      </c>
      <c r="B236" t="s">
        <v>1425</v>
      </c>
      <c r="D236" t="s">
        <v>1431</v>
      </c>
    </row>
    <row r="237" spans="1:4" x14ac:dyDescent="0.25">
      <c r="A237" t="s">
        <v>228</v>
      </c>
      <c r="B237" t="s">
        <v>1418</v>
      </c>
      <c r="D237" t="s">
        <v>1430</v>
      </c>
    </row>
    <row r="238" spans="1:4" x14ac:dyDescent="0.25">
      <c r="A238" t="s">
        <v>653</v>
      </c>
      <c r="B238" t="s">
        <v>1424</v>
      </c>
      <c r="D238" t="s">
        <v>1432</v>
      </c>
    </row>
    <row r="239" spans="1:4" x14ac:dyDescent="0.25">
      <c r="A239" t="s">
        <v>824</v>
      </c>
      <c r="B239" t="s">
        <v>1424</v>
      </c>
      <c r="D239" t="s">
        <v>1430</v>
      </c>
    </row>
    <row r="240" spans="1:4" x14ac:dyDescent="0.25">
      <c r="A240" t="s">
        <v>829</v>
      </c>
      <c r="B240" t="s">
        <v>1425</v>
      </c>
      <c r="D240" t="s">
        <v>1431</v>
      </c>
    </row>
    <row r="241" spans="1:4" x14ac:dyDescent="0.25">
      <c r="A241" t="s">
        <v>830</v>
      </c>
      <c r="B241" t="s">
        <v>1419</v>
      </c>
      <c r="C241" t="s">
        <v>1426</v>
      </c>
      <c r="D241" t="s">
        <v>1430</v>
      </c>
    </row>
    <row r="242" spans="1:4" x14ac:dyDescent="0.25">
      <c r="A242" t="s">
        <v>834</v>
      </c>
      <c r="B242" t="s">
        <v>1419</v>
      </c>
      <c r="C242" t="s">
        <v>1422</v>
      </c>
      <c r="D242" t="s">
        <v>1430</v>
      </c>
    </row>
    <row r="243" spans="1:4" x14ac:dyDescent="0.25">
      <c r="A243" t="s">
        <v>835</v>
      </c>
      <c r="B243" t="s">
        <v>1419</v>
      </c>
      <c r="C243" t="s">
        <v>1426</v>
      </c>
      <c r="D243" t="s">
        <v>1430</v>
      </c>
    </row>
    <row r="244" spans="1:4" x14ac:dyDescent="0.25">
      <c r="A244" t="s">
        <v>842</v>
      </c>
      <c r="B244" t="s">
        <v>1419</v>
      </c>
      <c r="C244" t="s">
        <v>1420</v>
      </c>
      <c r="D244" t="s">
        <v>1430</v>
      </c>
    </row>
    <row r="245" spans="1:4" x14ac:dyDescent="0.25">
      <c r="A245" t="s">
        <v>54</v>
      </c>
      <c r="B245" t="s">
        <v>1419</v>
      </c>
      <c r="C245" t="s">
        <v>1420</v>
      </c>
      <c r="D245" t="s">
        <v>1430</v>
      </c>
    </row>
    <row r="246" spans="1:4" x14ac:dyDescent="0.25">
      <c r="A246" t="s">
        <v>846</v>
      </c>
      <c r="B246" t="s">
        <v>1419</v>
      </c>
      <c r="C246" t="s">
        <v>1427</v>
      </c>
      <c r="D246" t="s">
        <v>1430</v>
      </c>
    </row>
    <row r="247" spans="1:4" x14ac:dyDescent="0.25">
      <c r="A247" t="s">
        <v>847</v>
      </c>
      <c r="B247" t="s">
        <v>1419</v>
      </c>
      <c r="C247" t="s">
        <v>1426</v>
      </c>
      <c r="D247" t="s">
        <v>1430</v>
      </c>
    </row>
    <row r="248" spans="1:4" x14ac:dyDescent="0.25">
      <c r="A248" t="s">
        <v>84</v>
      </c>
      <c r="B248" t="s">
        <v>1419</v>
      </c>
      <c r="C248" t="s">
        <v>1420</v>
      </c>
      <c r="D248" t="s">
        <v>1430</v>
      </c>
    </row>
    <row r="249" spans="1:4" x14ac:dyDescent="0.25">
      <c r="A249" t="s">
        <v>791</v>
      </c>
      <c r="B249" t="s">
        <v>1419</v>
      </c>
      <c r="C249" t="s">
        <v>1421</v>
      </c>
      <c r="D249" t="s">
        <v>1430</v>
      </c>
    </row>
    <row r="250" spans="1:4" x14ac:dyDescent="0.25">
      <c r="A250" t="s">
        <v>171</v>
      </c>
      <c r="B250" t="s">
        <v>1418</v>
      </c>
      <c r="D250" t="s">
        <v>1431</v>
      </c>
    </row>
    <row r="251" spans="1:4" x14ac:dyDescent="0.25">
      <c r="A251" t="s">
        <v>852</v>
      </c>
      <c r="B251" t="s">
        <v>1419</v>
      </c>
      <c r="C251" t="s">
        <v>1426</v>
      </c>
      <c r="D251" t="s">
        <v>1430</v>
      </c>
    </row>
    <row r="252" spans="1:4" x14ac:dyDescent="0.25">
      <c r="A252" t="s">
        <v>856</v>
      </c>
      <c r="B252" t="s">
        <v>1424</v>
      </c>
      <c r="D252" t="s">
        <v>1430</v>
      </c>
    </row>
    <row r="253" spans="1:4" x14ac:dyDescent="0.25">
      <c r="A253" t="s">
        <v>859</v>
      </c>
      <c r="B253" t="s">
        <v>1419</v>
      </c>
      <c r="C253" t="s">
        <v>1420</v>
      </c>
      <c r="D253" t="s">
        <v>1430</v>
      </c>
    </row>
    <row r="254" spans="1:4" x14ac:dyDescent="0.25">
      <c r="A254" t="s">
        <v>863</v>
      </c>
      <c r="B254" t="s">
        <v>1419</v>
      </c>
      <c r="C254" t="s">
        <v>1420</v>
      </c>
      <c r="D254" t="s">
        <v>1430</v>
      </c>
    </row>
    <row r="255" spans="1:4" x14ac:dyDescent="0.25">
      <c r="A255" t="s">
        <v>866</v>
      </c>
      <c r="B255" t="s">
        <v>1419</v>
      </c>
      <c r="C255" t="s">
        <v>1427</v>
      </c>
      <c r="D255" t="s">
        <v>1430</v>
      </c>
    </row>
    <row r="256" spans="1:4" x14ac:dyDescent="0.25">
      <c r="A256" t="s">
        <v>870</v>
      </c>
      <c r="B256" t="s">
        <v>1419</v>
      </c>
      <c r="C256" t="s">
        <v>1426</v>
      </c>
      <c r="D256" t="s">
        <v>1430</v>
      </c>
    </row>
    <row r="257" spans="1:4" x14ac:dyDescent="0.25">
      <c r="A257" t="s">
        <v>101</v>
      </c>
      <c r="B257" t="s">
        <v>1419</v>
      </c>
      <c r="C257" t="s">
        <v>1420</v>
      </c>
      <c r="D257" t="s">
        <v>1430</v>
      </c>
    </row>
    <row r="258" spans="1:4" x14ac:dyDescent="0.25">
      <c r="A258" t="s">
        <v>657</v>
      </c>
      <c r="B258" t="s">
        <v>1418</v>
      </c>
      <c r="D258" t="s">
        <v>1431</v>
      </c>
    </row>
    <row r="259" spans="1:4" x14ac:dyDescent="0.25">
      <c r="A259" t="s">
        <v>878</v>
      </c>
      <c r="B259" t="s">
        <v>1424</v>
      </c>
      <c r="D259" t="s">
        <v>1432</v>
      </c>
    </row>
    <row r="260" spans="1:4" x14ac:dyDescent="0.25">
      <c r="A260" t="s">
        <v>882</v>
      </c>
      <c r="B260" t="s">
        <v>1419</v>
      </c>
      <c r="C260" t="s">
        <v>1426</v>
      </c>
      <c r="D260" t="s">
        <v>1430</v>
      </c>
    </row>
    <row r="261" spans="1:4" x14ac:dyDescent="0.25">
      <c r="A261" t="s">
        <v>880</v>
      </c>
      <c r="B261" t="s">
        <v>1419</v>
      </c>
      <c r="C261" t="s">
        <v>1426</v>
      </c>
      <c r="D261" t="s">
        <v>1430</v>
      </c>
    </row>
    <row r="262" spans="1:4" x14ac:dyDescent="0.25">
      <c r="A262" t="s">
        <v>885</v>
      </c>
      <c r="B262" t="s">
        <v>1424</v>
      </c>
      <c r="D262" t="s">
        <v>1432</v>
      </c>
    </row>
    <row r="263" spans="1:4" x14ac:dyDescent="0.25">
      <c r="A263" t="s">
        <v>889</v>
      </c>
      <c r="B263" t="s">
        <v>1424</v>
      </c>
      <c r="D263" t="s">
        <v>1432</v>
      </c>
    </row>
    <row r="264" spans="1:4" x14ac:dyDescent="0.25">
      <c r="A264" t="s">
        <v>893</v>
      </c>
      <c r="B264" t="s">
        <v>1419</v>
      </c>
      <c r="C264" t="s">
        <v>1426</v>
      </c>
      <c r="D264" t="s">
        <v>1430</v>
      </c>
    </row>
    <row r="265" spans="1:4" x14ac:dyDescent="0.25">
      <c r="A265" t="s">
        <v>892</v>
      </c>
      <c r="B265" t="s">
        <v>1419</v>
      </c>
      <c r="C265" t="s">
        <v>1426</v>
      </c>
      <c r="D265" t="s">
        <v>1430</v>
      </c>
    </row>
    <row r="266" spans="1:4" x14ac:dyDescent="0.25">
      <c r="A266" t="s">
        <v>898</v>
      </c>
      <c r="B266" t="s">
        <v>1419</v>
      </c>
      <c r="C266" t="s">
        <v>1426</v>
      </c>
      <c r="D266" t="s">
        <v>1430</v>
      </c>
    </row>
    <row r="267" spans="1:4" x14ac:dyDescent="0.25">
      <c r="A267" t="s">
        <v>899</v>
      </c>
      <c r="B267" t="s">
        <v>1424</v>
      </c>
      <c r="D267" t="s">
        <v>1430</v>
      </c>
    </row>
    <row r="268" spans="1:4" x14ac:dyDescent="0.25">
      <c r="A268" t="s">
        <v>902</v>
      </c>
      <c r="B268" t="s">
        <v>1419</v>
      </c>
      <c r="C268" t="s">
        <v>1420</v>
      </c>
      <c r="D268" t="s">
        <v>1430</v>
      </c>
    </row>
    <row r="269" spans="1:4" x14ac:dyDescent="0.25">
      <c r="A269" t="s">
        <v>906</v>
      </c>
      <c r="B269" t="s">
        <v>1418</v>
      </c>
      <c r="D269" t="s">
        <v>1430</v>
      </c>
    </row>
    <row r="270" spans="1:4" x14ac:dyDescent="0.25">
      <c r="A270" t="s">
        <v>907</v>
      </c>
      <c r="B270" t="s">
        <v>1419</v>
      </c>
      <c r="C270" t="s">
        <v>1423</v>
      </c>
      <c r="D270" t="s">
        <v>1430</v>
      </c>
    </row>
    <row r="271" spans="1:4" x14ac:dyDescent="0.25">
      <c r="A271" t="s">
        <v>912</v>
      </c>
      <c r="B271" t="s">
        <v>1419</v>
      </c>
      <c r="C271" t="s">
        <v>1426</v>
      </c>
      <c r="D271" t="s">
        <v>1430</v>
      </c>
    </row>
    <row r="272" spans="1:4" x14ac:dyDescent="0.25">
      <c r="A272" t="s">
        <v>913</v>
      </c>
      <c r="B272" t="s">
        <v>1419</v>
      </c>
      <c r="C272" t="s">
        <v>1427</v>
      </c>
      <c r="D272" t="s">
        <v>1430</v>
      </c>
    </row>
    <row r="273" spans="1:4" x14ac:dyDescent="0.25">
      <c r="A273" t="s">
        <v>916</v>
      </c>
      <c r="B273" t="s">
        <v>1419</v>
      </c>
      <c r="C273" t="s">
        <v>1427</v>
      </c>
      <c r="D273" t="s">
        <v>1430</v>
      </c>
    </row>
    <row r="274" spans="1:4" x14ac:dyDescent="0.25">
      <c r="A274" t="s">
        <v>917</v>
      </c>
      <c r="B274" t="s">
        <v>1419</v>
      </c>
      <c r="C274" t="s">
        <v>1420</v>
      </c>
      <c r="D274" t="s">
        <v>1430</v>
      </c>
    </row>
    <row r="275" spans="1:4" x14ac:dyDescent="0.25">
      <c r="A275" t="s">
        <v>921</v>
      </c>
      <c r="B275" t="s">
        <v>1424</v>
      </c>
      <c r="D275" t="s">
        <v>1431</v>
      </c>
    </row>
    <row r="276" spans="1:4" x14ac:dyDescent="0.25">
      <c r="A276" t="s">
        <v>922</v>
      </c>
      <c r="B276" t="s">
        <v>1419</v>
      </c>
      <c r="C276" t="s">
        <v>1426</v>
      </c>
      <c r="D276" t="s">
        <v>1430</v>
      </c>
    </row>
    <row r="277" spans="1:4" x14ac:dyDescent="0.25">
      <c r="A277" t="s">
        <v>928</v>
      </c>
      <c r="B277" t="s">
        <v>1424</v>
      </c>
      <c r="D277" t="s">
        <v>1432</v>
      </c>
    </row>
    <row r="278" spans="1:4" x14ac:dyDescent="0.25">
      <c r="A278" t="s">
        <v>931</v>
      </c>
      <c r="B278" t="s">
        <v>1424</v>
      </c>
      <c r="D278" t="s">
        <v>1432</v>
      </c>
    </row>
    <row r="279" spans="1:4" x14ac:dyDescent="0.25">
      <c r="A279" t="s">
        <v>810</v>
      </c>
      <c r="B279" t="s">
        <v>1419</v>
      </c>
      <c r="C279" t="s">
        <v>1426</v>
      </c>
      <c r="D279" t="s">
        <v>1430</v>
      </c>
    </row>
    <row r="280" spans="1:4" x14ac:dyDescent="0.25">
      <c r="A280" t="s">
        <v>936</v>
      </c>
      <c r="B280" t="s">
        <v>1418</v>
      </c>
      <c r="D280" t="s">
        <v>1431</v>
      </c>
    </row>
    <row r="281" spans="1:4" x14ac:dyDescent="0.25">
      <c r="A281" t="s">
        <v>937</v>
      </c>
      <c r="B281" t="s">
        <v>1419</v>
      </c>
      <c r="C281" t="s">
        <v>1423</v>
      </c>
      <c r="D281" t="s">
        <v>1430</v>
      </c>
    </row>
    <row r="282" spans="1:4" x14ac:dyDescent="0.25">
      <c r="A282" t="s">
        <v>940</v>
      </c>
      <c r="B282" t="s">
        <v>1424</v>
      </c>
      <c r="D282" t="s">
        <v>1431</v>
      </c>
    </row>
    <row r="283" spans="1:4" x14ac:dyDescent="0.25">
      <c r="A283" t="s">
        <v>944</v>
      </c>
      <c r="B283" t="s">
        <v>1424</v>
      </c>
      <c r="D283" t="s">
        <v>1432</v>
      </c>
    </row>
    <row r="284" spans="1:4" x14ac:dyDescent="0.25">
      <c r="A284" t="s">
        <v>977</v>
      </c>
      <c r="B284" t="s">
        <v>1424</v>
      </c>
      <c r="D284" t="s">
        <v>1432</v>
      </c>
    </row>
    <row r="285" spans="1:4" x14ac:dyDescent="0.25">
      <c r="A285" t="s">
        <v>947</v>
      </c>
      <c r="B285" t="s">
        <v>1419</v>
      </c>
      <c r="C285" t="s">
        <v>1426</v>
      </c>
      <c r="D285" t="s">
        <v>1430</v>
      </c>
    </row>
    <row r="286" spans="1:4" x14ac:dyDescent="0.25">
      <c r="A286" t="s">
        <v>951</v>
      </c>
      <c r="B286" t="s">
        <v>1419</v>
      </c>
      <c r="C286" t="s">
        <v>1420</v>
      </c>
      <c r="D286" t="s">
        <v>1430</v>
      </c>
    </row>
    <row r="287" spans="1:4" x14ac:dyDescent="0.25">
      <c r="A287" t="s">
        <v>954</v>
      </c>
      <c r="B287" t="s">
        <v>1419</v>
      </c>
      <c r="C287" t="s">
        <v>1429</v>
      </c>
      <c r="D287" t="s">
        <v>1430</v>
      </c>
    </row>
    <row r="288" spans="1:4" x14ac:dyDescent="0.25">
      <c r="A288" t="s">
        <v>957</v>
      </c>
      <c r="B288" t="s">
        <v>1424</v>
      </c>
      <c r="D288" t="s">
        <v>1432</v>
      </c>
    </row>
    <row r="289" spans="1:4" x14ac:dyDescent="0.25">
      <c r="A289" t="s">
        <v>958</v>
      </c>
      <c r="B289" t="s">
        <v>1419</v>
      </c>
      <c r="C289" t="s">
        <v>1423</v>
      </c>
      <c r="D289" t="s">
        <v>1430</v>
      </c>
    </row>
    <row r="290" spans="1:4" x14ac:dyDescent="0.25">
      <c r="A290" t="s">
        <v>661</v>
      </c>
      <c r="B290" t="s">
        <v>1419</v>
      </c>
      <c r="C290" t="s">
        <v>1420</v>
      </c>
      <c r="D290" t="s">
        <v>1430</v>
      </c>
    </row>
    <row r="291" spans="1:4" x14ac:dyDescent="0.25">
      <c r="A291" t="s">
        <v>966</v>
      </c>
      <c r="B291" t="s">
        <v>1419</v>
      </c>
      <c r="C291" t="s">
        <v>1426</v>
      </c>
      <c r="D291" t="s">
        <v>1430</v>
      </c>
    </row>
    <row r="292" spans="1:4" x14ac:dyDescent="0.25">
      <c r="A292" t="s">
        <v>967</v>
      </c>
      <c r="B292" t="s">
        <v>1419</v>
      </c>
      <c r="C292" t="s">
        <v>1426</v>
      </c>
      <c r="D292" t="s">
        <v>1430</v>
      </c>
    </row>
    <row r="293" spans="1:4" x14ac:dyDescent="0.25">
      <c r="A293" t="s">
        <v>968</v>
      </c>
      <c r="B293" t="s">
        <v>1419</v>
      </c>
      <c r="C293" t="s">
        <v>1423</v>
      </c>
      <c r="D293" t="s">
        <v>1430</v>
      </c>
    </row>
    <row r="294" spans="1:4" x14ac:dyDescent="0.25">
      <c r="A294" t="s">
        <v>980</v>
      </c>
      <c r="B294" t="s">
        <v>1424</v>
      </c>
      <c r="D294" t="s">
        <v>1432</v>
      </c>
    </row>
    <row r="295" spans="1:4" x14ac:dyDescent="0.25">
      <c r="A295" t="s">
        <v>981</v>
      </c>
      <c r="B295" t="s">
        <v>1424</v>
      </c>
      <c r="D295" t="s">
        <v>1432</v>
      </c>
    </row>
    <row r="296" spans="1:4" x14ac:dyDescent="0.25">
      <c r="A296" t="s">
        <v>989</v>
      </c>
      <c r="B296" t="s">
        <v>1424</v>
      </c>
      <c r="D296" t="s">
        <v>1432</v>
      </c>
    </row>
    <row r="297" spans="1:4" x14ac:dyDescent="0.25">
      <c r="A297" t="s">
        <v>986</v>
      </c>
      <c r="B297" t="s">
        <v>1424</v>
      </c>
      <c r="D297" t="s">
        <v>1432</v>
      </c>
    </row>
    <row r="298" spans="1:4" x14ac:dyDescent="0.25">
      <c r="A298" t="s">
        <v>966</v>
      </c>
      <c r="B298" t="s">
        <v>1419</v>
      </c>
      <c r="C298" t="s">
        <v>1426</v>
      </c>
      <c r="D298" t="s">
        <v>1430</v>
      </c>
    </row>
    <row r="299" spans="1:4" x14ac:dyDescent="0.25">
      <c r="A299" t="s">
        <v>993</v>
      </c>
      <c r="B299" t="s">
        <v>1424</v>
      </c>
      <c r="D299" t="s">
        <v>1432</v>
      </c>
    </row>
    <row r="300" spans="1:4" x14ac:dyDescent="0.25">
      <c r="A300" t="s">
        <v>998</v>
      </c>
      <c r="B300" t="s">
        <v>1419</v>
      </c>
      <c r="C300" t="s">
        <v>1422</v>
      </c>
      <c r="D300" t="s">
        <v>1430</v>
      </c>
    </row>
    <row r="301" spans="1:4" x14ac:dyDescent="0.25">
      <c r="A301" t="s">
        <v>999</v>
      </c>
      <c r="B301" t="s">
        <v>1424</v>
      </c>
      <c r="D301" t="s">
        <v>1430</v>
      </c>
    </row>
    <row r="302" spans="1:4" x14ac:dyDescent="0.25">
      <c r="A302" t="s">
        <v>1005</v>
      </c>
      <c r="B302" t="s">
        <v>1419</v>
      </c>
      <c r="C302" t="s">
        <v>1426</v>
      </c>
      <c r="D302" t="s">
        <v>1430</v>
      </c>
    </row>
    <row r="303" spans="1:4" x14ac:dyDescent="0.25">
      <c r="A303" t="s">
        <v>1006</v>
      </c>
      <c r="B303" t="s">
        <v>1419</v>
      </c>
      <c r="C303" t="s">
        <v>1420</v>
      </c>
      <c r="D303" t="s">
        <v>1430</v>
      </c>
    </row>
    <row r="304" spans="1:4" x14ac:dyDescent="0.25">
      <c r="A304" t="s">
        <v>1011</v>
      </c>
      <c r="B304" t="s">
        <v>1419</v>
      </c>
      <c r="C304" t="s">
        <v>1423</v>
      </c>
      <c r="D304" t="s">
        <v>1430</v>
      </c>
    </row>
    <row r="305" spans="1:4" x14ac:dyDescent="0.25">
      <c r="A305" t="s">
        <v>1014</v>
      </c>
      <c r="B305" t="s">
        <v>1424</v>
      </c>
      <c r="D305" t="s">
        <v>1432</v>
      </c>
    </row>
    <row r="306" spans="1:4" x14ac:dyDescent="0.25">
      <c r="A306" t="s">
        <v>1015</v>
      </c>
      <c r="B306" t="s">
        <v>1425</v>
      </c>
      <c r="D306" t="s">
        <v>1432</v>
      </c>
    </row>
    <row r="307" spans="1:4" x14ac:dyDescent="0.25">
      <c r="A307" t="s">
        <v>1020</v>
      </c>
      <c r="B307" t="s">
        <v>1419</v>
      </c>
      <c r="C307" t="s">
        <v>1427</v>
      </c>
      <c r="D307" t="s">
        <v>1430</v>
      </c>
    </row>
    <row r="308" spans="1:4" x14ac:dyDescent="0.25">
      <c r="A308" t="s">
        <v>1023</v>
      </c>
      <c r="B308" t="s">
        <v>1418</v>
      </c>
      <c r="D308" t="s">
        <v>1430</v>
      </c>
    </row>
    <row r="309" spans="1:4" x14ac:dyDescent="0.25">
      <c r="A309" t="s">
        <v>1024</v>
      </c>
      <c r="B309" t="s">
        <v>1419</v>
      </c>
      <c r="C309" t="s">
        <v>1423</v>
      </c>
      <c r="D309" t="s">
        <v>1430</v>
      </c>
    </row>
    <row r="310" spans="1:4" x14ac:dyDescent="0.25">
      <c r="A310" t="s">
        <v>1028</v>
      </c>
      <c r="B310" t="s">
        <v>1424</v>
      </c>
      <c r="D310" t="s">
        <v>1432</v>
      </c>
    </row>
    <row r="311" spans="1:4" x14ac:dyDescent="0.25">
      <c r="A311" t="s">
        <v>1029</v>
      </c>
      <c r="B311" t="s">
        <v>1425</v>
      </c>
      <c r="D311" t="s">
        <v>1432</v>
      </c>
    </row>
    <row r="312" spans="1:4" x14ac:dyDescent="0.25">
      <c r="A312" t="s">
        <v>1070</v>
      </c>
      <c r="B312" t="s">
        <v>1424</v>
      </c>
      <c r="D312" t="s">
        <v>1432</v>
      </c>
    </row>
    <row r="313" spans="1:4" x14ac:dyDescent="0.25">
      <c r="A313" t="s">
        <v>1034</v>
      </c>
      <c r="B313" t="s">
        <v>1418</v>
      </c>
      <c r="D313" t="s">
        <v>1431</v>
      </c>
    </row>
    <row r="314" spans="1:4" x14ac:dyDescent="0.25">
      <c r="A314" t="s">
        <v>653</v>
      </c>
      <c r="B314" t="s">
        <v>1424</v>
      </c>
      <c r="D314" t="s">
        <v>1432</v>
      </c>
    </row>
    <row r="315" spans="1:4" x14ac:dyDescent="0.25">
      <c r="A315" t="s">
        <v>1039</v>
      </c>
      <c r="B315" t="s">
        <v>1419</v>
      </c>
      <c r="C315" t="s">
        <v>1427</v>
      </c>
      <c r="D315" t="s">
        <v>1430</v>
      </c>
    </row>
    <row r="316" spans="1:4" x14ac:dyDescent="0.25">
      <c r="A316" t="s">
        <v>103</v>
      </c>
      <c r="B316" t="s">
        <v>1419</v>
      </c>
      <c r="C316" t="s">
        <v>1427</v>
      </c>
      <c r="D316" t="s">
        <v>1430</v>
      </c>
    </row>
    <row r="317" spans="1:4" x14ac:dyDescent="0.25">
      <c r="A317" t="s">
        <v>1042</v>
      </c>
      <c r="B317" t="s">
        <v>1424</v>
      </c>
      <c r="D317" t="s">
        <v>1432</v>
      </c>
    </row>
    <row r="318" spans="1:4" x14ac:dyDescent="0.25">
      <c r="A318" t="s">
        <v>1050</v>
      </c>
      <c r="B318" t="s">
        <v>1419</v>
      </c>
      <c r="C318" t="s">
        <v>1421</v>
      </c>
      <c r="D318" t="s">
        <v>1430</v>
      </c>
    </row>
    <row r="319" spans="1:4" x14ac:dyDescent="0.25">
      <c r="A319" t="s">
        <v>661</v>
      </c>
      <c r="B319" t="s">
        <v>1419</v>
      </c>
      <c r="C319" t="s">
        <v>1420</v>
      </c>
      <c r="D319" t="s">
        <v>1430</v>
      </c>
    </row>
    <row r="320" spans="1:4" x14ac:dyDescent="0.25">
      <c r="A320" t="s">
        <v>101</v>
      </c>
      <c r="B320" t="s">
        <v>1419</v>
      </c>
      <c r="C320" t="s">
        <v>1420</v>
      </c>
      <c r="D320" t="s">
        <v>1430</v>
      </c>
    </row>
    <row r="321" spans="1:4" x14ac:dyDescent="0.25">
      <c r="A321" t="s">
        <v>1054</v>
      </c>
      <c r="B321" t="s">
        <v>1418</v>
      </c>
      <c r="D321" t="s">
        <v>1430</v>
      </c>
    </row>
    <row r="322" spans="1:4" x14ac:dyDescent="0.25">
      <c r="A322" t="s">
        <v>966</v>
      </c>
      <c r="B322" t="s">
        <v>1419</v>
      </c>
      <c r="C322" t="s">
        <v>1426</v>
      </c>
      <c r="D322" t="s">
        <v>1430</v>
      </c>
    </row>
    <row r="323" spans="1:4" x14ac:dyDescent="0.25">
      <c r="A323" t="s">
        <v>1063</v>
      </c>
      <c r="B323" t="s">
        <v>1419</v>
      </c>
      <c r="C323" t="s">
        <v>1420</v>
      </c>
      <c r="D323" t="s">
        <v>1430</v>
      </c>
    </row>
    <row r="324" spans="1:4" x14ac:dyDescent="0.25">
      <c r="A324" t="s">
        <v>1064</v>
      </c>
      <c r="B324" t="s">
        <v>1424</v>
      </c>
      <c r="D324" t="s">
        <v>1432</v>
      </c>
    </row>
    <row r="325" spans="1:4" x14ac:dyDescent="0.25">
      <c r="A325" t="s">
        <v>1068</v>
      </c>
      <c r="B325" t="s">
        <v>1419</v>
      </c>
      <c r="C325" t="s">
        <v>1427</v>
      </c>
      <c r="D325" t="s">
        <v>1430</v>
      </c>
    </row>
    <row r="326" spans="1:4" x14ac:dyDescent="0.25">
      <c r="A326" t="s">
        <v>1073</v>
      </c>
      <c r="B326" t="s">
        <v>1424</v>
      </c>
      <c r="D326" t="s">
        <v>1431</v>
      </c>
    </row>
    <row r="327" spans="1:4" x14ac:dyDescent="0.25">
      <c r="A327" t="s">
        <v>966</v>
      </c>
      <c r="B327" t="s">
        <v>1419</v>
      </c>
      <c r="C327" t="s">
        <v>1426</v>
      </c>
      <c r="D327" t="s">
        <v>1430</v>
      </c>
    </row>
    <row r="328" spans="1:4" x14ac:dyDescent="0.25">
      <c r="A328" t="s">
        <v>1077</v>
      </c>
      <c r="B328" t="s">
        <v>1419</v>
      </c>
      <c r="C328" t="s">
        <v>1427</v>
      </c>
      <c r="D328" t="s">
        <v>1430</v>
      </c>
    </row>
    <row r="329" spans="1:4" x14ac:dyDescent="0.25">
      <c r="A329" t="s">
        <v>1081</v>
      </c>
      <c r="B329" t="s">
        <v>1419</v>
      </c>
      <c r="C329" t="s">
        <v>1427</v>
      </c>
      <c r="D329" t="s">
        <v>1430</v>
      </c>
    </row>
    <row r="330" spans="1:4" x14ac:dyDescent="0.25">
      <c r="A330" t="s">
        <v>1082</v>
      </c>
      <c r="B330" t="s">
        <v>1424</v>
      </c>
      <c r="D330" t="s">
        <v>1432</v>
      </c>
    </row>
    <row r="331" spans="1:4" x14ac:dyDescent="0.25">
      <c r="A331" t="s">
        <v>1086</v>
      </c>
      <c r="B331" t="s">
        <v>1418</v>
      </c>
      <c r="D331" t="s">
        <v>1431</v>
      </c>
    </row>
    <row r="332" spans="1:4" x14ac:dyDescent="0.25">
      <c r="A332" t="s">
        <v>1087</v>
      </c>
      <c r="B332" t="s">
        <v>1419</v>
      </c>
      <c r="C332" t="s">
        <v>1429</v>
      </c>
      <c r="D332" t="s">
        <v>1430</v>
      </c>
    </row>
    <row r="333" spans="1:4" x14ac:dyDescent="0.25">
      <c r="A333" t="s">
        <v>1092</v>
      </c>
      <c r="B333" t="s">
        <v>1419</v>
      </c>
      <c r="C333" t="s">
        <v>1428</v>
      </c>
      <c r="D333" t="s">
        <v>1430</v>
      </c>
    </row>
    <row r="334" spans="1:4" x14ac:dyDescent="0.25">
      <c r="A334" t="s">
        <v>1093</v>
      </c>
      <c r="B334" t="s">
        <v>1424</v>
      </c>
      <c r="D334" t="s">
        <v>1431</v>
      </c>
    </row>
    <row r="335" spans="1:4" x14ac:dyDescent="0.25">
      <c r="A335" t="s">
        <v>1098</v>
      </c>
      <c r="B335" t="s">
        <v>1419</v>
      </c>
      <c r="C335" t="s">
        <v>1427</v>
      </c>
      <c r="D335" t="s">
        <v>1430</v>
      </c>
    </row>
    <row r="336" spans="1:4" x14ac:dyDescent="0.25">
      <c r="A336" t="s">
        <v>1104</v>
      </c>
      <c r="B336" t="s">
        <v>1419</v>
      </c>
      <c r="C336" t="s">
        <v>1426</v>
      </c>
      <c r="D336" t="s">
        <v>1430</v>
      </c>
    </row>
    <row r="337" spans="1:4" x14ac:dyDescent="0.25">
      <c r="A337" t="s">
        <v>661</v>
      </c>
      <c r="B337" t="s">
        <v>1419</v>
      </c>
      <c r="C337" t="s">
        <v>1420</v>
      </c>
      <c r="D337" t="s">
        <v>1430</v>
      </c>
    </row>
    <row r="338" spans="1:4" x14ac:dyDescent="0.25">
      <c r="A338" t="s">
        <v>564</v>
      </c>
      <c r="B338" t="s">
        <v>1419</v>
      </c>
      <c r="C338" t="s">
        <v>1427</v>
      </c>
      <c r="D338" t="s">
        <v>1430</v>
      </c>
    </row>
    <row r="339" spans="1:4" x14ac:dyDescent="0.25">
      <c r="A339" t="s">
        <v>1107</v>
      </c>
      <c r="B339" t="s">
        <v>1419</v>
      </c>
      <c r="C339" t="s">
        <v>1420</v>
      </c>
      <c r="D339" t="s">
        <v>1430</v>
      </c>
    </row>
    <row r="340" spans="1:4" x14ac:dyDescent="0.25">
      <c r="A340" t="s">
        <v>1112</v>
      </c>
      <c r="B340" t="s">
        <v>1419</v>
      </c>
      <c r="C340" t="s">
        <v>1423</v>
      </c>
      <c r="D340" t="s">
        <v>1430</v>
      </c>
    </row>
    <row r="341" spans="1:4" x14ac:dyDescent="0.25">
      <c r="A341" t="s">
        <v>1113</v>
      </c>
      <c r="B341" t="s">
        <v>1419</v>
      </c>
      <c r="C341" t="s">
        <v>1427</v>
      </c>
      <c r="D341" t="s">
        <v>1430</v>
      </c>
    </row>
    <row r="342" spans="1:4" x14ac:dyDescent="0.25">
      <c r="A342" t="s">
        <v>1116</v>
      </c>
      <c r="B342" t="s">
        <v>1424</v>
      </c>
      <c r="D342" t="s">
        <v>1432</v>
      </c>
    </row>
    <row r="343" spans="1:4" x14ac:dyDescent="0.25">
      <c r="A343" t="s">
        <v>1122</v>
      </c>
      <c r="B343" t="s">
        <v>1419</v>
      </c>
      <c r="C343" t="s">
        <v>1423</v>
      </c>
      <c r="D343" t="s">
        <v>1430</v>
      </c>
    </row>
    <row r="344" spans="1:4" x14ac:dyDescent="0.25">
      <c r="A344" t="s">
        <v>1123</v>
      </c>
      <c r="B344" t="s">
        <v>1419</v>
      </c>
      <c r="C344" t="s">
        <v>1420</v>
      </c>
      <c r="D344" t="s">
        <v>1430</v>
      </c>
    </row>
    <row r="345" spans="1:4" x14ac:dyDescent="0.25">
      <c r="A345" t="s">
        <v>1129</v>
      </c>
      <c r="B345" t="s">
        <v>1419</v>
      </c>
      <c r="C345" t="s">
        <v>1426</v>
      </c>
      <c r="D345" t="s">
        <v>1430</v>
      </c>
    </row>
    <row r="346" spans="1:4" x14ac:dyDescent="0.25">
      <c r="A346" t="s">
        <v>1130</v>
      </c>
      <c r="B346" t="s">
        <v>1424</v>
      </c>
      <c r="D346" t="s">
        <v>1432</v>
      </c>
    </row>
    <row r="347" spans="1:4" x14ac:dyDescent="0.25">
      <c r="A347" t="s">
        <v>1135</v>
      </c>
      <c r="B347" t="s">
        <v>1419</v>
      </c>
      <c r="C347" t="s">
        <v>1423</v>
      </c>
      <c r="D347" t="s">
        <v>1430</v>
      </c>
    </row>
    <row r="348" spans="1:4" x14ac:dyDescent="0.25">
      <c r="A348" t="s">
        <v>1034</v>
      </c>
      <c r="B348" t="s">
        <v>1418</v>
      </c>
      <c r="D348" t="s">
        <v>1431</v>
      </c>
    </row>
    <row r="349" spans="1:4" x14ac:dyDescent="0.25">
      <c r="A349" t="s">
        <v>255</v>
      </c>
      <c r="B349" t="s">
        <v>1419</v>
      </c>
      <c r="C349" t="s">
        <v>1420</v>
      </c>
      <c r="D349" t="s">
        <v>1430</v>
      </c>
    </row>
    <row r="350" spans="1:4" x14ac:dyDescent="0.25">
      <c r="A350" t="s">
        <v>100</v>
      </c>
      <c r="B350" t="s">
        <v>1419</v>
      </c>
      <c r="C350" t="s">
        <v>1420</v>
      </c>
      <c r="D350" t="s">
        <v>1430</v>
      </c>
    </row>
    <row r="351" spans="1:4" x14ac:dyDescent="0.25">
      <c r="A351" t="s">
        <v>981</v>
      </c>
      <c r="B351" t="s">
        <v>1424</v>
      </c>
      <c r="D351" t="s">
        <v>1432</v>
      </c>
    </row>
    <row r="352" spans="1:4" x14ac:dyDescent="0.25">
      <c r="A352" t="s">
        <v>1145</v>
      </c>
      <c r="B352" t="s">
        <v>1419</v>
      </c>
      <c r="C352" t="s">
        <v>1422</v>
      </c>
      <c r="D352" t="s">
        <v>1430</v>
      </c>
    </row>
    <row r="353" spans="1:4" x14ac:dyDescent="0.25">
      <c r="A353" t="s">
        <v>1024</v>
      </c>
      <c r="B353" t="s">
        <v>1419</v>
      </c>
      <c r="C353" t="s">
        <v>1423</v>
      </c>
      <c r="D353" t="s">
        <v>1430</v>
      </c>
    </row>
    <row r="354" spans="1:4" x14ac:dyDescent="0.25">
      <c r="A354" t="s">
        <v>1151</v>
      </c>
      <c r="B354" t="s">
        <v>1418</v>
      </c>
      <c r="D354" t="s">
        <v>1430</v>
      </c>
    </row>
    <row r="355" spans="1:4" x14ac:dyDescent="0.25">
      <c r="A355" t="s">
        <v>1157</v>
      </c>
      <c r="B355" t="s">
        <v>1424</v>
      </c>
      <c r="D355" t="s">
        <v>1432</v>
      </c>
    </row>
    <row r="356" spans="1:4" x14ac:dyDescent="0.25">
      <c r="A356" t="s">
        <v>1161</v>
      </c>
      <c r="B356" t="s">
        <v>1419</v>
      </c>
      <c r="C356" t="s">
        <v>1420</v>
      </c>
      <c r="D356" t="s">
        <v>1430</v>
      </c>
    </row>
    <row r="357" spans="1:4" x14ac:dyDescent="0.25">
      <c r="A357" t="s">
        <v>937</v>
      </c>
      <c r="B357" t="s">
        <v>1419</v>
      </c>
      <c r="C357" t="s">
        <v>1423</v>
      </c>
      <c r="D357" t="s">
        <v>1430</v>
      </c>
    </row>
    <row r="358" spans="1:4" x14ac:dyDescent="0.25">
      <c r="A358" t="s">
        <v>1158</v>
      </c>
      <c r="B358" t="s">
        <v>1419</v>
      </c>
      <c r="C358" t="s">
        <v>1427</v>
      </c>
      <c r="D358" t="s">
        <v>1430</v>
      </c>
    </row>
    <row r="359" spans="1:4" x14ac:dyDescent="0.25">
      <c r="A359" t="s">
        <v>1024</v>
      </c>
      <c r="B359" t="s">
        <v>1419</v>
      </c>
      <c r="C359" t="s">
        <v>1423</v>
      </c>
      <c r="D359" t="s">
        <v>1430</v>
      </c>
    </row>
    <row r="360" spans="1:4" x14ac:dyDescent="0.25">
      <c r="A360" t="s">
        <v>1178</v>
      </c>
      <c r="B360" t="s">
        <v>1424</v>
      </c>
      <c r="D360" t="s">
        <v>1432</v>
      </c>
    </row>
    <row r="361" spans="1:4" x14ac:dyDescent="0.25">
      <c r="A361" t="s">
        <v>255</v>
      </c>
      <c r="B361" t="s">
        <v>1419</v>
      </c>
      <c r="C361" t="s">
        <v>1420</v>
      </c>
      <c r="D361" t="s">
        <v>1430</v>
      </c>
    </row>
    <row r="362" spans="1:4" x14ac:dyDescent="0.25">
      <c r="A362" t="s">
        <v>255</v>
      </c>
      <c r="B362" t="s">
        <v>1419</v>
      </c>
      <c r="C362" t="s">
        <v>1420</v>
      </c>
      <c r="D362" t="s">
        <v>1430</v>
      </c>
    </row>
    <row r="363" spans="1:4" x14ac:dyDescent="0.25">
      <c r="A363" t="s">
        <v>1170</v>
      </c>
      <c r="B363" t="s">
        <v>1419</v>
      </c>
      <c r="C363" t="s">
        <v>1420</v>
      </c>
      <c r="D363" t="s">
        <v>1430</v>
      </c>
    </row>
    <row r="364" spans="1:4" x14ac:dyDescent="0.25">
      <c r="A364" t="s">
        <v>101</v>
      </c>
      <c r="B364" t="s">
        <v>1419</v>
      </c>
      <c r="C364" t="s">
        <v>1420</v>
      </c>
      <c r="D364" t="s">
        <v>1430</v>
      </c>
    </row>
    <row r="365" spans="1:4" x14ac:dyDescent="0.25">
      <c r="A365" t="s">
        <v>1173</v>
      </c>
      <c r="B365" t="s">
        <v>1418</v>
      </c>
      <c r="D365" t="s">
        <v>1431</v>
      </c>
    </row>
    <row r="366" spans="1:4" x14ac:dyDescent="0.25">
      <c r="A366" t="s">
        <v>1180</v>
      </c>
      <c r="B366" t="s">
        <v>1424</v>
      </c>
      <c r="D366" t="s">
        <v>1432</v>
      </c>
    </row>
    <row r="367" spans="1:4" x14ac:dyDescent="0.25">
      <c r="A367" t="s">
        <v>1181</v>
      </c>
      <c r="B367" t="s">
        <v>1419</v>
      </c>
      <c r="C367" t="s">
        <v>1420</v>
      </c>
      <c r="D367" t="s">
        <v>1430</v>
      </c>
    </row>
    <row r="368" spans="1:4" x14ac:dyDescent="0.25">
      <c r="A368" t="s">
        <v>1187</v>
      </c>
      <c r="B368" t="s">
        <v>1418</v>
      </c>
      <c r="D368" t="s">
        <v>1431</v>
      </c>
    </row>
    <row r="369" spans="1:4" x14ac:dyDescent="0.25">
      <c r="A369" t="s">
        <v>1190</v>
      </c>
      <c r="B369" t="s">
        <v>1419</v>
      </c>
      <c r="C369" t="s">
        <v>1422</v>
      </c>
      <c r="D369" t="s">
        <v>1430</v>
      </c>
    </row>
    <row r="370" spans="1:4" x14ac:dyDescent="0.25">
      <c r="A370" t="s">
        <v>1211</v>
      </c>
      <c r="B370" t="s">
        <v>1424</v>
      </c>
      <c r="D370" t="s">
        <v>1432</v>
      </c>
    </row>
    <row r="371" spans="1:4" x14ac:dyDescent="0.25">
      <c r="A371" t="s">
        <v>1212</v>
      </c>
      <c r="B371" t="s">
        <v>1424</v>
      </c>
      <c r="D371" t="s">
        <v>1430</v>
      </c>
    </row>
    <row r="372" spans="1:4" x14ac:dyDescent="0.25">
      <c r="A372" t="s">
        <v>1213</v>
      </c>
      <c r="B372" t="s">
        <v>1424</v>
      </c>
      <c r="D372" t="s">
        <v>1432</v>
      </c>
    </row>
    <row r="373" spans="1:4" x14ac:dyDescent="0.25">
      <c r="A373" t="s">
        <v>1191</v>
      </c>
      <c r="B373" t="s">
        <v>1424</v>
      </c>
      <c r="D373" t="s">
        <v>1432</v>
      </c>
    </row>
    <row r="374" spans="1:4" x14ac:dyDescent="0.25">
      <c r="A374" t="s">
        <v>255</v>
      </c>
      <c r="B374" t="s">
        <v>1419</v>
      </c>
      <c r="C374" t="s">
        <v>1420</v>
      </c>
      <c r="D374" t="s">
        <v>1430</v>
      </c>
    </row>
    <row r="375" spans="1:4" x14ac:dyDescent="0.25">
      <c r="A375" t="s">
        <v>1216</v>
      </c>
      <c r="B375" t="s">
        <v>1424</v>
      </c>
      <c r="D375" t="s">
        <v>1432</v>
      </c>
    </row>
    <row r="376" spans="1:4" x14ac:dyDescent="0.25">
      <c r="A376" t="s">
        <v>255</v>
      </c>
      <c r="B376" t="s">
        <v>1419</v>
      </c>
      <c r="C376" t="s">
        <v>1420</v>
      </c>
      <c r="D376" t="s">
        <v>1430</v>
      </c>
    </row>
    <row r="377" spans="1:4" x14ac:dyDescent="0.25">
      <c r="A377" t="s">
        <v>1209</v>
      </c>
      <c r="B377" t="s">
        <v>1424</v>
      </c>
      <c r="D377" t="s">
        <v>1430</v>
      </c>
    </row>
    <row r="378" spans="1:4" x14ac:dyDescent="0.25">
      <c r="A378" t="s">
        <v>103</v>
      </c>
      <c r="B378" t="s">
        <v>1419</v>
      </c>
      <c r="C378" t="s">
        <v>1427</v>
      </c>
      <c r="D378" t="s">
        <v>1430</v>
      </c>
    </row>
    <row r="379" spans="1:4" x14ac:dyDescent="0.25">
      <c r="A379" t="s">
        <v>1220</v>
      </c>
      <c r="B379" t="s">
        <v>1419</v>
      </c>
      <c r="C379" t="s">
        <v>1426</v>
      </c>
      <c r="D379" t="s">
        <v>1430</v>
      </c>
    </row>
    <row r="380" spans="1:4" x14ac:dyDescent="0.25">
      <c r="A380" t="s">
        <v>1291</v>
      </c>
      <c r="B380" t="s">
        <v>1418</v>
      </c>
      <c r="D380" t="s">
        <v>1431</v>
      </c>
    </row>
    <row r="381" spans="1:4" x14ac:dyDescent="0.25">
      <c r="A381" t="s">
        <v>1224</v>
      </c>
      <c r="B381" t="s">
        <v>1418</v>
      </c>
      <c r="D381" t="s">
        <v>1431</v>
      </c>
    </row>
    <row r="382" spans="1:4" x14ac:dyDescent="0.25">
      <c r="A382" t="s">
        <v>661</v>
      </c>
      <c r="B382" t="s">
        <v>1419</v>
      </c>
      <c r="C382" t="s">
        <v>1420</v>
      </c>
      <c r="D382" t="s">
        <v>1430</v>
      </c>
    </row>
    <row r="383" spans="1:4" x14ac:dyDescent="0.25">
      <c r="A383" t="s">
        <v>1228</v>
      </c>
      <c r="B383" t="s">
        <v>1419</v>
      </c>
      <c r="C383" t="s">
        <v>1426</v>
      </c>
      <c r="D383" t="s">
        <v>1430</v>
      </c>
    </row>
    <row r="384" spans="1:4" x14ac:dyDescent="0.25">
      <c r="A384" t="s">
        <v>1232</v>
      </c>
      <c r="B384" t="s">
        <v>1425</v>
      </c>
      <c r="D384" t="s">
        <v>1431</v>
      </c>
    </row>
    <row r="385" spans="1:4" x14ac:dyDescent="0.25">
      <c r="A385" t="s">
        <v>1239</v>
      </c>
      <c r="B385" t="s">
        <v>1419</v>
      </c>
      <c r="C385" t="s">
        <v>1426</v>
      </c>
      <c r="D385" t="s">
        <v>1430</v>
      </c>
    </row>
    <row r="386" spans="1:4" x14ac:dyDescent="0.25">
      <c r="A386" t="s">
        <v>171</v>
      </c>
      <c r="B386" t="s">
        <v>1418</v>
      </c>
      <c r="D386" t="s">
        <v>1431</v>
      </c>
    </row>
    <row r="387" spans="1:4" x14ac:dyDescent="0.25">
      <c r="A387" t="s">
        <v>1241</v>
      </c>
      <c r="B387" t="s">
        <v>1419</v>
      </c>
      <c r="C387" t="s">
        <v>1422</v>
      </c>
      <c r="D387" t="s">
        <v>1430</v>
      </c>
    </row>
    <row r="388" spans="1:4" x14ac:dyDescent="0.25">
      <c r="A388" t="s">
        <v>1245</v>
      </c>
      <c r="B388" t="s">
        <v>1419</v>
      </c>
      <c r="C388" t="s">
        <v>1426</v>
      </c>
      <c r="D388" t="s">
        <v>1430</v>
      </c>
    </row>
    <row r="389" spans="1:4" x14ac:dyDescent="0.25">
      <c r="A389" t="s">
        <v>1236</v>
      </c>
      <c r="B389" t="s">
        <v>1425</v>
      </c>
      <c r="D389" t="s">
        <v>1432</v>
      </c>
    </row>
    <row r="390" spans="1:4" x14ac:dyDescent="0.25">
      <c r="A390" t="s">
        <v>1295</v>
      </c>
      <c r="B390" t="s">
        <v>1418</v>
      </c>
      <c r="D390" t="s">
        <v>1431</v>
      </c>
    </row>
    <row r="391" spans="1:4" x14ac:dyDescent="0.25">
      <c r="A391" t="s">
        <v>57</v>
      </c>
      <c r="B391" t="s">
        <v>1424</v>
      </c>
      <c r="D391" t="s">
        <v>1432</v>
      </c>
    </row>
    <row r="392" spans="1:4" x14ac:dyDescent="0.25">
      <c r="A392" t="s">
        <v>1250</v>
      </c>
      <c r="B392" t="s">
        <v>1419</v>
      </c>
      <c r="C392" t="s">
        <v>1426</v>
      </c>
      <c r="D392" t="s">
        <v>1430</v>
      </c>
    </row>
    <row r="393" spans="1:4" x14ac:dyDescent="0.25">
      <c r="A393" t="s">
        <v>1251</v>
      </c>
      <c r="B393" t="s">
        <v>1418</v>
      </c>
      <c r="D393" t="s">
        <v>1431</v>
      </c>
    </row>
    <row r="394" spans="1:4" x14ac:dyDescent="0.25">
      <c r="A394" t="s">
        <v>1256</v>
      </c>
      <c r="B394" t="s">
        <v>1419</v>
      </c>
      <c r="C394" t="s">
        <v>1426</v>
      </c>
      <c r="D394" t="s">
        <v>1430</v>
      </c>
    </row>
    <row r="395" spans="1:4" x14ac:dyDescent="0.25">
      <c r="A395" t="s">
        <v>1257</v>
      </c>
      <c r="B395" t="s">
        <v>1424</v>
      </c>
      <c r="D395" t="s">
        <v>1430</v>
      </c>
    </row>
    <row r="396" spans="1:4" x14ac:dyDescent="0.25">
      <c r="A396" t="s">
        <v>1260</v>
      </c>
      <c r="B396" t="s">
        <v>1425</v>
      </c>
      <c r="D396" t="s">
        <v>1432</v>
      </c>
    </row>
    <row r="397" spans="1:4" x14ac:dyDescent="0.25">
      <c r="A397" t="s">
        <v>1261</v>
      </c>
      <c r="B397" t="s">
        <v>1419</v>
      </c>
      <c r="C397" t="s">
        <v>1420</v>
      </c>
      <c r="D397" t="s">
        <v>1430</v>
      </c>
    </row>
    <row r="398" spans="1:4" x14ac:dyDescent="0.25">
      <c r="A398" t="s">
        <v>255</v>
      </c>
      <c r="B398" t="s">
        <v>1419</v>
      </c>
      <c r="C398" t="s">
        <v>1420</v>
      </c>
      <c r="D398" t="s">
        <v>1430</v>
      </c>
    </row>
    <row r="399" spans="1:4" x14ac:dyDescent="0.25">
      <c r="A399" t="s">
        <v>1266</v>
      </c>
      <c r="B399" t="s">
        <v>1419</v>
      </c>
      <c r="C399" t="s">
        <v>1422</v>
      </c>
      <c r="D399" t="s">
        <v>1430</v>
      </c>
    </row>
    <row r="400" spans="1:4" x14ac:dyDescent="0.25">
      <c r="A400" t="s">
        <v>1271</v>
      </c>
      <c r="B400" t="s">
        <v>1419</v>
      </c>
      <c r="C400" t="s">
        <v>1423</v>
      </c>
      <c r="D400" t="s">
        <v>1430</v>
      </c>
    </row>
    <row r="401" spans="1:4" x14ac:dyDescent="0.25">
      <c r="A401" t="s">
        <v>100</v>
      </c>
      <c r="B401" t="s">
        <v>1419</v>
      </c>
      <c r="C401" t="s">
        <v>1420</v>
      </c>
      <c r="D401" t="s">
        <v>1430</v>
      </c>
    </row>
    <row r="402" spans="1:4" x14ac:dyDescent="0.25">
      <c r="A402" t="s">
        <v>1275</v>
      </c>
      <c r="B402" t="s">
        <v>1419</v>
      </c>
      <c r="C402" t="s">
        <v>1420</v>
      </c>
      <c r="D402" t="s">
        <v>1430</v>
      </c>
    </row>
    <row r="403" spans="1:4" x14ac:dyDescent="0.25">
      <c r="A403" t="s">
        <v>1280</v>
      </c>
      <c r="B403" t="s">
        <v>1419</v>
      </c>
      <c r="C403" t="s">
        <v>1420</v>
      </c>
      <c r="D403" t="s">
        <v>1430</v>
      </c>
    </row>
    <row r="404" spans="1:4" x14ac:dyDescent="0.25">
      <c r="A404" t="s">
        <v>1281</v>
      </c>
      <c r="B404" t="s">
        <v>1424</v>
      </c>
      <c r="D404" t="s">
        <v>1432</v>
      </c>
    </row>
    <row r="405" spans="1:4" x14ac:dyDescent="0.25">
      <c r="A405" t="s">
        <v>1285</v>
      </c>
      <c r="B405" t="s">
        <v>1424</v>
      </c>
      <c r="D405" t="s">
        <v>1430</v>
      </c>
    </row>
    <row r="406" spans="1:4" x14ac:dyDescent="0.25">
      <c r="A406" t="s">
        <v>1294</v>
      </c>
      <c r="B406" t="s">
        <v>1418</v>
      </c>
      <c r="D406" t="s">
        <v>1430</v>
      </c>
    </row>
    <row r="407" spans="1:4" x14ac:dyDescent="0.25">
      <c r="A407" t="s">
        <v>1297</v>
      </c>
      <c r="B407" t="s">
        <v>1424</v>
      </c>
      <c r="D407" t="s">
        <v>1432</v>
      </c>
    </row>
    <row r="408" spans="1:4" x14ac:dyDescent="0.25">
      <c r="A408" t="s">
        <v>1299</v>
      </c>
      <c r="B408" t="s">
        <v>1424</v>
      </c>
      <c r="D408" t="s">
        <v>1432</v>
      </c>
    </row>
    <row r="409" spans="1:4" x14ac:dyDescent="0.25">
      <c r="A409" t="s">
        <v>1302</v>
      </c>
      <c r="B409" t="s">
        <v>1419</v>
      </c>
      <c r="C409" t="s">
        <v>1426</v>
      </c>
      <c r="D409" t="s">
        <v>1430</v>
      </c>
    </row>
    <row r="410" spans="1:4" x14ac:dyDescent="0.25">
      <c r="A410" t="s">
        <v>255</v>
      </c>
      <c r="B410" t="s">
        <v>1419</v>
      </c>
      <c r="C410" t="s">
        <v>1420</v>
      </c>
      <c r="D410" t="s">
        <v>1430</v>
      </c>
    </row>
    <row r="411" spans="1:4" x14ac:dyDescent="0.25">
      <c r="A411" t="s">
        <v>255</v>
      </c>
      <c r="B411" t="s">
        <v>1419</v>
      </c>
      <c r="C411" t="s">
        <v>1420</v>
      </c>
      <c r="D411" t="s">
        <v>1430</v>
      </c>
    </row>
    <row r="412" spans="1:4" x14ac:dyDescent="0.25">
      <c r="A412" t="s">
        <v>1307</v>
      </c>
      <c r="B412" t="s">
        <v>1418</v>
      </c>
      <c r="D412" t="s">
        <v>1430</v>
      </c>
    </row>
    <row r="413" spans="1:4" x14ac:dyDescent="0.25">
      <c r="A413" t="s">
        <v>966</v>
      </c>
      <c r="B413" t="s">
        <v>1419</v>
      </c>
      <c r="C413" t="s">
        <v>1426</v>
      </c>
      <c r="D413" t="s">
        <v>1430</v>
      </c>
    </row>
    <row r="414" spans="1:4" x14ac:dyDescent="0.25">
      <c r="A414" t="s">
        <v>1311</v>
      </c>
      <c r="B414" t="s">
        <v>1424</v>
      </c>
      <c r="D414" t="s">
        <v>1432</v>
      </c>
    </row>
    <row r="415" spans="1:4" x14ac:dyDescent="0.25">
      <c r="A415" t="s">
        <v>255</v>
      </c>
      <c r="B415" t="s">
        <v>1419</v>
      </c>
      <c r="C415" t="s">
        <v>1420</v>
      </c>
      <c r="D415" t="s">
        <v>1430</v>
      </c>
    </row>
    <row r="416" spans="1:4" x14ac:dyDescent="0.25">
      <c r="A416" t="s">
        <v>657</v>
      </c>
      <c r="B416" t="s">
        <v>1418</v>
      </c>
      <c r="D416" t="s">
        <v>1431</v>
      </c>
    </row>
    <row r="417" spans="1:4" x14ac:dyDescent="0.25">
      <c r="A417" t="s">
        <v>1319</v>
      </c>
      <c r="B417" t="s">
        <v>1424</v>
      </c>
      <c r="D417" t="s">
        <v>1432</v>
      </c>
    </row>
    <row r="418" spans="1:4" x14ac:dyDescent="0.25">
      <c r="A418" t="s">
        <v>1323</v>
      </c>
      <c r="B418" t="s">
        <v>1419</v>
      </c>
      <c r="C418" t="s">
        <v>1426</v>
      </c>
      <c r="D418" t="s">
        <v>1430</v>
      </c>
    </row>
    <row r="419" spans="1:4" x14ac:dyDescent="0.25">
      <c r="A419" t="s">
        <v>1271</v>
      </c>
      <c r="B419" t="s">
        <v>1419</v>
      </c>
      <c r="C419" t="s">
        <v>1423</v>
      </c>
      <c r="D419" t="s">
        <v>1430</v>
      </c>
    </row>
    <row r="420" spans="1:4" x14ac:dyDescent="0.25">
      <c r="A420" t="s">
        <v>1327</v>
      </c>
      <c r="B420" t="s">
        <v>1419</v>
      </c>
      <c r="C420" t="s">
        <v>1420</v>
      </c>
      <c r="D420" t="s">
        <v>1430</v>
      </c>
    </row>
    <row r="421" spans="1:4" x14ac:dyDescent="0.25">
      <c r="A421" t="s">
        <v>1332</v>
      </c>
      <c r="B421" t="s">
        <v>1419</v>
      </c>
      <c r="C421" t="s">
        <v>1427</v>
      </c>
      <c r="D421" t="s">
        <v>1430</v>
      </c>
    </row>
    <row r="422" spans="1:4" x14ac:dyDescent="0.25">
      <c r="A422" t="s">
        <v>1335</v>
      </c>
      <c r="B422" t="s">
        <v>1419</v>
      </c>
      <c r="C422" t="s">
        <v>1427</v>
      </c>
      <c r="D422" t="s">
        <v>1430</v>
      </c>
    </row>
    <row r="423" spans="1:4" x14ac:dyDescent="0.25">
      <c r="A423" t="s">
        <v>57</v>
      </c>
      <c r="B423" t="s">
        <v>1424</v>
      </c>
      <c r="D423" t="s">
        <v>1432</v>
      </c>
    </row>
    <row r="424" spans="1:4" x14ac:dyDescent="0.25">
      <c r="A424" t="s">
        <v>87</v>
      </c>
      <c r="B424" t="s">
        <v>1424</v>
      </c>
      <c r="D424" t="s">
        <v>1432</v>
      </c>
    </row>
    <row r="425" spans="1:4" x14ac:dyDescent="0.25">
      <c r="A425" t="s">
        <v>667</v>
      </c>
      <c r="B425" t="s">
        <v>1418</v>
      </c>
      <c r="D425" t="s">
        <v>1431</v>
      </c>
    </row>
    <row r="426" spans="1:4" x14ac:dyDescent="0.25">
      <c r="A426" t="s">
        <v>1344</v>
      </c>
      <c r="B426" t="s">
        <v>1424</v>
      </c>
      <c r="D426" t="s">
        <v>1432</v>
      </c>
    </row>
    <row r="427" spans="1:4" x14ac:dyDescent="0.25">
      <c r="A427" t="s">
        <v>1345</v>
      </c>
      <c r="B427" t="s">
        <v>1424</v>
      </c>
      <c r="D427" t="s">
        <v>1432</v>
      </c>
    </row>
    <row r="428" spans="1:4" x14ac:dyDescent="0.25">
      <c r="A428" t="s">
        <v>1349</v>
      </c>
      <c r="B428" t="s">
        <v>1419</v>
      </c>
      <c r="C428" t="s">
        <v>1420</v>
      </c>
      <c r="D428" t="s">
        <v>1430</v>
      </c>
    </row>
    <row r="429" spans="1:4" x14ac:dyDescent="0.25">
      <c r="A429" t="s">
        <v>1353</v>
      </c>
      <c r="B429" t="s">
        <v>1419</v>
      </c>
      <c r="C429" t="s">
        <v>1423</v>
      </c>
      <c r="D429" t="s">
        <v>1430</v>
      </c>
    </row>
    <row r="430" spans="1:4" x14ac:dyDescent="0.25">
      <c r="A430" t="s">
        <v>1357</v>
      </c>
      <c r="B430" t="s">
        <v>1424</v>
      </c>
      <c r="D430" t="s">
        <v>1431</v>
      </c>
    </row>
    <row r="431" spans="1:4" x14ac:dyDescent="0.25">
      <c r="A431" t="s">
        <v>653</v>
      </c>
      <c r="B431" t="s">
        <v>1424</v>
      </c>
      <c r="D431" t="s">
        <v>1432</v>
      </c>
    </row>
    <row r="432" spans="1:4" x14ac:dyDescent="0.25">
      <c r="A432" t="s">
        <v>1362</v>
      </c>
      <c r="B432" t="s">
        <v>1419</v>
      </c>
      <c r="C432" t="s">
        <v>1423</v>
      </c>
      <c r="D432" t="s">
        <v>1430</v>
      </c>
    </row>
    <row r="433" spans="1:4" x14ac:dyDescent="0.25">
      <c r="A433" t="s">
        <v>1362</v>
      </c>
      <c r="B433" t="s">
        <v>1419</v>
      </c>
      <c r="C433" t="s">
        <v>1423</v>
      </c>
      <c r="D433" t="s">
        <v>1430</v>
      </c>
    </row>
    <row r="434" spans="1:4" x14ac:dyDescent="0.25">
      <c r="A434" t="s">
        <v>1367</v>
      </c>
      <c r="B434" t="s">
        <v>1425</v>
      </c>
      <c r="D434" t="s">
        <v>1432</v>
      </c>
    </row>
    <row r="435" spans="1:4" x14ac:dyDescent="0.25">
      <c r="A435" t="s">
        <v>1374</v>
      </c>
      <c r="B435" t="s">
        <v>1424</v>
      </c>
      <c r="D435" t="s">
        <v>1430</v>
      </c>
    </row>
    <row r="436" spans="1:4" x14ac:dyDescent="0.25">
      <c r="A436" t="s">
        <v>1375</v>
      </c>
      <c r="B436" t="s">
        <v>1418</v>
      </c>
      <c r="D436" t="s">
        <v>1431</v>
      </c>
    </row>
    <row r="437" spans="1:4" x14ac:dyDescent="0.25">
      <c r="A437" t="s">
        <v>1370</v>
      </c>
      <c r="B437" t="s">
        <v>1424</v>
      </c>
      <c r="D437" t="s">
        <v>1432</v>
      </c>
    </row>
    <row r="438" spans="1:4" x14ac:dyDescent="0.25">
      <c r="A438" t="s">
        <v>1379</v>
      </c>
      <c r="B438" t="s">
        <v>1424</v>
      </c>
      <c r="D438" t="s">
        <v>1432</v>
      </c>
    </row>
    <row r="439" spans="1:4" x14ac:dyDescent="0.25">
      <c r="A439" t="s">
        <v>1271</v>
      </c>
      <c r="B439" t="s">
        <v>1419</v>
      </c>
      <c r="C439" t="s">
        <v>1423</v>
      </c>
      <c r="D439" t="s">
        <v>1430</v>
      </c>
    </row>
    <row r="440" spans="1:4" x14ac:dyDescent="0.25">
      <c r="A440" t="s">
        <v>1388</v>
      </c>
      <c r="B440" t="s">
        <v>1419</v>
      </c>
      <c r="C440" t="s">
        <v>1429</v>
      </c>
      <c r="D440" t="s">
        <v>1430</v>
      </c>
    </row>
    <row r="441" spans="1:4" x14ac:dyDescent="0.25">
      <c r="A441" t="s">
        <v>1389</v>
      </c>
      <c r="B441" t="s">
        <v>1418</v>
      </c>
      <c r="D441" t="s">
        <v>1431</v>
      </c>
    </row>
    <row r="442" spans="1:4" x14ac:dyDescent="0.25">
      <c r="A442" t="s">
        <v>1384</v>
      </c>
      <c r="B442" t="s">
        <v>1419</v>
      </c>
      <c r="C442" t="s">
        <v>1422</v>
      </c>
      <c r="D442" t="s">
        <v>1430</v>
      </c>
    </row>
    <row r="443" spans="1:4" x14ac:dyDescent="0.25">
      <c r="A443" t="s">
        <v>1393</v>
      </c>
      <c r="B443" t="s">
        <v>1424</v>
      </c>
      <c r="D443" t="s">
        <v>1431</v>
      </c>
    </row>
    <row r="444" spans="1:4" x14ac:dyDescent="0.25">
      <c r="A444" s="38" t="s">
        <v>1397</v>
      </c>
      <c r="B444" s="38" t="s">
        <v>1418</v>
      </c>
      <c r="C444" s="38"/>
      <c r="D444" s="38" t="s">
        <v>1431</v>
      </c>
    </row>
    <row r="445" spans="1:4" x14ac:dyDescent="0.25">
      <c r="A445" s="38" t="s">
        <v>1398</v>
      </c>
      <c r="B445" s="38" t="s">
        <v>1419</v>
      </c>
      <c r="C445" s="38" t="s">
        <v>1422</v>
      </c>
      <c r="D445" s="38" t="s">
        <v>1430</v>
      </c>
    </row>
    <row r="446" spans="1:4" x14ac:dyDescent="0.25">
      <c r="A446" s="38" t="s">
        <v>1401</v>
      </c>
      <c r="B446" s="38" t="s">
        <v>1425</v>
      </c>
      <c r="C446" s="38"/>
      <c r="D446" s="38" t="s">
        <v>1432</v>
      </c>
    </row>
    <row r="447" spans="1:4" x14ac:dyDescent="0.25">
      <c r="A447" s="38" t="s">
        <v>1405</v>
      </c>
      <c r="B447" s="38" t="s">
        <v>1419</v>
      </c>
      <c r="C447" s="38" t="s">
        <v>1423</v>
      </c>
      <c r="D447" s="38" t="s">
        <v>1430</v>
      </c>
    </row>
    <row r="448" spans="1:4" x14ac:dyDescent="0.25">
      <c r="A448" s="38" t="s">
        <v>1409</v>
      </c>
      <c r="B448" s="38" t="s">
        <v>1418</v>
      </c>
      <c r="C448" s="38"/>
      <c r="D448" s="38" t="s">
        <v>1431</v>
      </c>
    </row>
    <row r="449" spans="1:4" x14ac:dyDescent="0.25">
      <c r="A449" s="38" t="s">
        <v>1537</v>
      </c>
      <c r="B449" s="38" t="s">
        <v>1418</v>
      </c>
      <c r="C449" s="38"/>
      <c r="D449" s="38" t="s">
        <v>1431</v>
      </c>
    </row>
    <row r="450" spans="1:4" x14ac:dyDescent="0.25">
      <c r="A450" s="38" t="s">
        <v>1541</v>
      </c>
      <c r="B450" s="38" t="s">
        <v>1419</v>
      </c>
      <c r="C450" s="38" t="s">
        <v>1426</v>
      </c>
      <c r="D450" s="38" t="s">
        <v>1430</v>
      </c>
    </row>
    <row r="451" spans="1:4" x14ac:dyDescent="0.25">
      <c r="A451" s="38" t="s">
        <v>1544</v>
      </c>
      <c r="B451" s="38" t="s">
        <v>1425</v>
      </c>
      <c r="C451" s="38"/>
      <c r="D451" s="38" t="s">
        <v>1432</v>
      </c>
    </row>
    <row r="452" spans="1:4" x14ac:dyDescent="0.25">
      <c r="A452" s="38" t="s">
        <v>1547</v>
      </c>
      <c r="B452" s="38" t="s">
        <v>1419</v>
      </c>
      <c r="C452" s="38" t="s">
        <v>1420</v>
      </c>
      <c r="D452" s="38" t="s">
        <v>1431</v>
      </c>
    </row>
    <row r="453" spans="1:4" x14ac:dyDescent="0.25">
      <c r="A453" s="38" t="s">
        <v>1746</v>
      </c>
      <c r="B453" s="38" t="s">
        <v>1424</v>
      </c>
      <c r="C453" s="38"/>
      <c r="D453" s="38" t="s">
        <v>1432</v>
      </c>
    </row>
    <row r="454" spans="1:4" x14ac:dyDescent="0.25">
      <c r="A454" s="38" t="s">
        <v>1747</v>
      </c>
      <c r="B454" s="38" t="s">
        <v>1419</v>
      </c>
      <c r="C454" s="38" t="s">
        <v>1423</v>
      </c>
      <c r="D454" s="38" t="s">
        <v>1431</v>
      </c>
    </row>
    <row r="455" spans="1:4" x14ac:dyDescent="0.25">
      <c r="A455" s="38" t="s">
        <v>1556</v>
      </c>
      <c r="B455" s="38" t="s">
        <v>1424</v>
      </c>
      <c r="C455" s="38"/>
      <c r="D455" s="38" t="s">
        <v>1432</v>
      </c>
    </row>
    <row r="456" spans="1:4" x14ac:dyDescent="0.25">
      <c r="A456" s="38" t="s">
        <v>1559</v>
      </c>
      <c r="B456" s="38" t="s">
        <v>1419</v>
      </c>
      <c r="C456" s="38" t="s">
        <v>1420</v>
      </c>
      <c r="D456" s="38" t="s">
        <v>1430</v>
      </c>
    </row>
    <row r="457" spans="1:4" x14ac:dyDescent="0.25">
      <c r="A457" s="38" t="s">
        <v>1748</v>
      </c>
      <c r="B457" s="38" t="s">
        <v>1419</v>
      </c>
      <c r="C457" s="38" t="s">
        <v>1420</v>
      </c>
      <c r="D457" s="38" t="s">
        <v>1430</v>
      </c>
    </row>
    <row r="458" spans="1:4" x14ac:dyDescent="0.25">
      <c r="A458" s="38" t="s">
        <v>1749</v>
      </c>
      <c r="B458" s="38" t="s">
        <v>1419</v>
      </c>
      <c r="C458" s="38" t="s">
        <v>1427</v>
      </c>
      <c r="D458" s="38" t="s">
        <v>1430</v>
      </c>
    </row>
    <row r="459" spans="1:4" x14ac:dyDescent="0.25">
      <c r="A459" s="38" t="s">
        <v>1750</v>
      </c>
      <c r="B459" s="38" t="s">
        <v>1419</v>
      </c>
      <c r="C459" s="38" t="s">
        <v>1427</v>
      </c>
      <c r="D459" s="38" t="s">
        <v>1430</v>
      </c>
    </row>
    <row r="460" spans="1:4" x14ac:dyDescent="0.25">
      <c r="A460" s="38" t="s">
        <v>1568</v>
      </c>
      <c r="B460" s="38" t="s">
        <v>1419</v>
      </c>
      <c r="C460" s="38" t="s">
        <v>1420</v>
      </c>
      <c r="D460" s="38" t="s">
        <v>1431</v>
      </c>
    </row>
    <row r="461" spans="1:4" x14ac:dyDescent="0.25">
      <c r="A461" s="38" t="s">
        <v>1574</v>
      </c>
      <c r="B461" s="38" t="s">
        <v>1419</v>
      </c>
      <c r="C461" s="38" t="s">
        <v>1422</v>
      </c>
      <c r="D461" s="38" t="s">
        <v>1430</v>
      </c>
    </row>
    <row r="462" spans="1:4" x14ac:dyDescent="0.25">
      <c r="A462" s="38" t="s">
        <v>1751</v>
      </c>
      <c r="B462" s="38" t="s">
        <v>1418</v>
      </c>
      <c r="C462" s="38"/>
      <c r="D462" s="38" t="s">
        <v>1431</v>
      </c>
    </row>
    <row r="463" spans="1:4" x14ac:dyDescent="0.25">
      <c r="A463" s="38" t="s">
        <v>1752</v>
      </c>
      <c r="B463" s="38" t="s">
        <v>1418</v>
      </c>
      <c r="C463" s="38"/>
      <c r="D463" s="38" t="s">
        <v>1431</v>
      </c>
    </row>
    <row r="464" spans="1:4" x14ac:dyDescent="0.25">
      <c r="A464" s="38" t="s">
        <v>1753</v>
      </c>
      <c r="B464" s="38" t="s">
        <v>1418</v>
      </c>
      <c r="C464" s="38"/>
      <c r="D464" s="38" t="s">
        <v>1431</v>
      </c>
    </row>
    <row r="465" spans="1:4" x14ac:dyDescent="0.25">
      <c r="A465" s="38" t="s">
        <v>1754</v>
      </c>
      <c r="B465" s="38" t="s">
        <v>1418</v>
      </c>
      <c r="C465" s="38"/>
      <c r="D465" s="38" t="s">
        <v>1431</v>
      </c>
    </row>
    <row r="466" spans="1:4" x14ac:dyDescent="0.25">
      <c r="A466" s="38" t="s">
        <v>1755</v>
      </c>
      <c r="B466" s="38" t="s">
        <v>1419</v>
      </c>
      <c r="C466" s="38" t="s">
        <v>1423</v>
      </c>
      <c r="D466" s="38" t="s">
        <v>1431</v>
      </c>
    </row>
    <row r="467" spans="1:4" x14ac:dyDescent="0.25">
      <c r="A467" s="38" t="s">
        <v>1756</v>
      </c>
      <c r="B467" s="38" t="s">
        <v>1418</v>
      </c>
      <c r="C467" s="38"/>
      <c r="D467" s="38" t="s">
        <v>1431</v>
      </c>
    </row>
    <row r="468" spans="1:4" x14ac:dyDescent="0.25">
      <c r="A468" s="38" t="s">
        <v>1757</v>
      </c>
      <c r="B468" s="38" t="s">
        <v>1418</v>
      </c>
      <c r="C468" s="38"/>
      <c r="D468" s="38" t="s">
        <v>1431</v>
      </c>
    </row>
    <row r="469" spans="1:4" x14ac:dyDescent="0.25">
      <c r="A469" s="38" t="s">
        <v>1758</v>
      </c>
      <c r="B469" s="38" t="s">
        <v>1419</v>
      </c>
      <c r="C469" s="38" t="s">
        <v>1423</v>
      </c>
      <c r="D469" s="38" t="s">
        <v>1430</v>
      </c>
    </row>
    <row r="470" spans="1:4" x14ac:dyDescent="0.25">
      <c r="A470" s="38" t="s">
        <v>1759</v>
      </c>
      <c r="B470" s="38" t="s">
        <v>1418</v>
      </c>
      <c r="C470" s="38"/>
      <c r="D470" s="38" t="s">
        <v>1431</v>
      </c>
    </row>
    <row r="471" spans="1:4" x14ac:dyDescent="0.25">
      <c r="A471" s="38" t="s">
        <v>1760</v>
      </c>
      <c r="B471" s="38" t="s">
        <v>1419</v>
      </c>
      <c r="C471" s="38" t="s">
        <v>1423</v>
      </c>
      <c r="D471" s="38" t="s">
        <v>1430</v>
      </c>
    </row>
    <row r="472" spans="1:4" x14ac:dyDescent="0.25">
      <c r="A472" s="38" t="s">
        <v>1598</v>
      </c>
      <c r="B472" s="38" t="s">
        <v>1418</v>
      </c>
      <c r="C472" s="38"/>
      <c r="D472" s="38" t="s">
        <v>1431</v>
      </c>
    </row>
    <row r="473" spans="1:4" x14ac:dyDescent="0.25">
      <c r="A473" s="38" t="s">
        <v>1761</v>
      </c>
      <c r="B473" s="38" t="s">
        <v>1418</v>
      </c>
      <c r="C473" s="38"/>
      <c r="D473" s="38" t="s">
        <v>1431</v>
      </c>
    </row>
    <row r="474" spans="1:4" x14ac:dyDescent="0.25">
      <c r="A474" s="38" t="s">
        <v>1602</v>
      </c>
      <c r="B474" s="38" t="s">
        <v>1425</v>
      </c>
      <c r="C474" s="38"/>
      <c r="D474" s="38" t="s">
        <v>1432</v>
      </c>
    </row>
    <row r="475" spans="1:4" x14ac:dyDescent="0.25">
      <c r="A475" s="38" t="s">
        <v>1605</v>
      </c>
      <c r="B475" s="38" t="s">
        <v>1418</v>
      </c>
      <c r="C475" s="38"/>
      <c r="D475" s="38" t="s">
        <v>1431</v>
      </c>
    </row>
    <row r="476" spans="1:4" x14ac:dyDescent="0.25">
      <c r="A476" s="38" t="s">
        <v>1762</v>
      </c>
      <c r="B476" s="38" t="s">
        <v>1424</v>
      </c>
      <c r="C476" s="38"/>
      <c r="D476" s="38" t="s">
        <v>1432</v>
      </c>
    </row>
    <row r="477" spans="1:4" x14ac:dyDescent="0.25">
      <c r="A477" s="38" t="s">
        <v>1763</v>
      </c>
      <c r="B477" s="38" t="s">
        <v>1418</v>
      </c>
      <c r="C477" s="38"/>
      <c r="D477" s="38" t="s">
        <v>1431</v>
      </c>
    </row>
    <row r="478" spans="1:4" x14ac:dyDescent="0.25">
      <c r="A478" s="38" t="s">
        <v>1613</v>
      </c>
      <c r="B478" s="38" t="s">
        <v>1419</v>
      </c>
      <c r="C478" s="38" t="s">
        <v>1423</v>
      </c>
      <c r="D478" s="38" t="s">
        <v>1430</v>
      </c>
    </row>
    <row r="479" spans="1:4" x14ac:dyDescent="0.25">
      <c r="A479" s="38" t="s">
        <v>1764</v>
      </c>
      <c r="B479" s="38" t="s">
        <v>1424</v>
      </c>
      <c r="C479" s="38"/>
      <c r="D479" s="38" t="s">
        <v>1432</v>
      </c>
    </row>
    <row r="480" spans="1:4" x14ac:dyDescent="0.25">
      <c r="A480" s="38" t="s">
        <v>1765</v>
      </c>
      <c r="B480" s="38" t="s">
        <v>1418</v>
      </c>
      <c r="C480" s="38"/>
      <c r="D480" s="38" t="s">
        <v>1431</v>
      </c>
    </row>
    <row r="481" spans="1:4" x14ac:dyDescent="0.25">
      <c r="A481" s="38" t="s">
        <v>1766</v>
      </c>
      <c r="B481" s="38" t="s">
        <v>1418</v>
      </c>
      <c r="C481" s="38"/>
      <c r="D481" s="38" t="s">
        <v>1431</v>
      </c>
    </row>
    <row r="482" spans="1:4" x14ac:dyDescent="0.25">
      <c r="A482" s="38" t="s">
        <v>1767</v>
      </c>
      <c r="B482" s="38" t="s">
        <v>1419</v>
      </c>
      <c r="C482" s="38" t="s">
        <v>1423</v>
      </c>
      <c r="D482" s="38" t="s">
        <v>1431</v>
      </c>
    </row>
    <row r="483" spans="1:4" x14ac:dyDescent="0.25">
      <c r="A483" s="38" t="s">
        <v>1768</v>
      </c>
      <c r="B483" s="38" t="s">
        <v>1419</v>
      </c>
      <c r="C483" s="38" t="s">
        <v>1426</v>
      </c>
      <c r="D483" s="38" t="s">
        <v>1430</v>
      </c>
    </row>
    <row r="484" spans="1:4" x14ac:dyDescent="0.25">
      <c r="A484" s="38" t="s">
        <v>1769</v>
      </c>
      <c r="B484" s="38" t="s">
        <v>1419</v>
      </c>
      <c r="C484" s="38" t="s">
        <v>1426</v>
      </c>
      <c r="D484" s="38" t="s">
        <v>1431</v>
      </c>
    </row>
    <row r="485" spans="1:4" x14ac:dyDescent="0.25">
      <c r="A485" s="38" t="s">
        <v>1624</v>
      </c>
      <c r="B485" s="38" t="s">
        <v>1419</v>
      </c>
      <c r="C485" s="38" t="s">
        <v>1427</v>
      </c>
      <c r="D485" s="38" t="s">
        <v>1430</v>
      </c>
    </row>
    <row r="486" spans="1:4" x14ac:dyDescent="0.25">
      <c r="A486" s="38" t="s">
        <v>1626</v>
      </c>
      <c r="B486" s="38" t="s">
        <v>1418</v>
      </c>
      <c r="C486" s="38"/>
      <c r="D486" s="38" t="s">
        <v>1431</v>
      </c>
    </row>
    <row r="487" spans="1:4" x14ac:dyDescent="0.25">
      <c r="A487" s="38" t="s">
        <v>1629</v>
      </c>
      <c r="B487" s="38" t="s">
        <v>1424</v>
      </c>
      <c r="C487" s="38"/>
      <c r="D487" s="38" t="s">
        <v>1430</v>
      </c>
    </row>
    <row r="488" spans="1:4" x14ac:dyDescent="0.25">
      <c r="A488" s="38" t="s">
        <v>1632</v>
      </c>
      <c r="B488" s="38" t="s">
        <v>1419</v>
      </c>
      <c r="C488" s="38" t="s">
        <v>1420</v>
      </c>
      <c r="D488" s="38" t="s">
        <v>1430</v>
      </c>
    </row>
    <row r="489" spans="1:4" x14ac:dyDescent="0.25">
      <c r="A489" s="38" t="s">
        <v>1770</v>
      </c>
      <c r="B489" s="38" t="s">
        <v>1418</v>
      </c>
      <c r="C489" s="38"/>
      <c r="D489" s="38" t="s">
        <v>1431</v>
      </c>
    </row>
    <row r="490" spans="1:4" x14ac:dyDescent="0.25">
      <c r="A490" s="38" t="s">
        <v>1771</v>
      </c>
      <c r="B490" s="38" t="s">
        <v>1418</v>
      </c>
      <c r="C490" s="38"/>
      <c r="D490" s="38" t="s">
        <v>1431</v>
      </c>
    </row>
    <row r="491" spans="1:4" x14ac:dyDescent="0.25">
      <c r="A491" s="38" t="s">
        <v>1772</v>
      </c>
      <c r="B491" s="38" t="s">
        <v>1418</v>
      </c>
      <c r="C491" s="38"/>
      <c r="D491" s="38" t="s">
        <v>1431</v>
      </c>
    </row>
    <row r="492" spans="1:4" x14ac:dyDescent="0.25">
      <c r="A492" s="38" t="s">
        <v>1640</v>
      </c>
      <c r="B492" s="38" t="s">
        <v>1418</v>
      </c>
      <c r="C492" s="38"/>
      <c r="D492" s="38" t="s">
        <v>1431</v>
      </c>
    </row>
    <row r="493" spans="1:4" x14ac:dyDescent="0.25">
      <c r="A493" s="38" t="s">
        <v>1773</v>
      </c>
      <c r="B493" s="38" t="s">
        <v>1418</v>
      </c>
      <c r="C493" s="38"/>
      <c r="D493" s="38" t="s">
        <v>1431</v>
      </c>
    </row>
    <row r="494" spans="1:4" x14ac:dyDescent="0.25">
      <c r="A494" s="38" t="s">
        <v>1774</v>
      </c>
      <c r="B494" s="38" t="s">
        <v>1425</v>
      </c>
      <c r="C494" s="38"/>
      <c r="D494" s="38" t="s">
        <v>1432</v>
      </c>
    </row>
    <row r="495" spans="1:4" x14ac:dyDescent="0.25">
      <c r="A495" s="38" t="s">
        <v>1647</v>
      </c>
      <c r="B495" s="38" t="s">
        <v>1418</v>
      </c>
      <c r="C495" s="38"/>
      <c r="D495" s="38" t="s">
        <v>1431</v>
      </c>
    </row>
    <row r="496" spans="1:4" x14ac:dyDescent="0.25">
      <c r="A496" s="38" t="s">
        <v>1649</v>
      </c>
      <c r="B496" s="38" t="s">
        <v>1419</v>
      </c>
      <c r="C496" s="38" t="s">
        <v>1420</v>
      </c>
      <c r="D496" s="38" t="s">
        <v>1430</v>
      </c>
    </row>
    <row r="497" spans="1:4" x14ac:dyDescent="0.25">
      <c r="A497" s="38" t="s">
        <v>1775</v>
      </c>
      <c r="B497" s="38" t="s">
        <v>1418</v>
      </c>
      <c r="C497" s="38"/>
      <c r="D497" s="38" t="s">
        <v>1431</v>
      </c>
    </row>
    <row r="498" spans="1:4" x14ac:dyDescent="0.25">
      <c r="A498" s="38" t="s">
        <v>1656</v>
      </c>
      <c r="B498" s="38" t="s">
        <v>1424</v>
      </c>
      <c r="C498" s="38"/>
      <c r="D498" s="38" t="s">
        <v>1432</v>
      </c>
    </row>
    <row r="499" spans="1:4" x14ac:dyDescent="0.25">
      <c r="A499" s="38" t="s">
        <v>1658</v>
      </c>
      <c r="B499" s="38" t="s">
        <v>1419</v>
      </c>
      <c r="C499" s="38" t="s">
        <v>1427</v>
      </c>
      <c r="D499" s="38" t="s">
        <v>1430</v>
      </c>
    </row>
    <row r="500" spans="1:4" x14ac:dyDescent="0.25">
      <c r="A500" s="38" t="s">
        <v>1776</v>
      </c>
      <c r="B500" s="38" t="s">
        <v>1424</v>
      </c>
      <c r="C500" s="38"/>
      <c r="D500" s="38" t="s">
        <v>1432</v>
      </c>
    </row>
    <row r="501" spans="1:4" x14ac:dyDescent="0.25">
      <c r="A501" s="38" t="s">
        <v>1665</v>
      </c>
      <c r="B501" s="38" t="s">
        <v>1424</v>
      </c>
      <c r="C501" s="38"/>
      <c r="D501" s="38" t="s">
        <v>1432</v>
      </c>
    </row>
    <row r="502" spans="1:4" x14ac:dyDescent="0.25">
      <c r="A502" s="38" t="s">
        <v>1667</v>
      </c>
      <c r="B502" s="38" t="s">
        <v>1424</v>
      </c>
      <c r="C502" s="38"/>
      <c r="D502" s="38" t="s">
        <v>1432</v>
      </c>
    </row>
    <row r="503" spans="1:4" x14ac:dyDescent="0.25">
      <c r="A503" s="38" t="s">
        <v>1670</v>
      </c>
      <c r="B503" s="38" t="s">
        <v>1418</v>
      </c>
      <c r="C503" s="38"/>
      <c r="D503" s="38" t="s">
        <v>1431</v>
      </c>
    </row>
    <row r="504" spans="1:4" x14ac:dyDescent="0.25">
      <c r="A504" s="38" t="s">
        <v>1674</v>
      </c>
      <c r="B504" s="38" t="s">
        <v>1418</v>
      </c>
      <c r="C504" s="38"/>
      <c r="D504" s="38" t="s">
        <v>1431</v>
      </c>
    </row>
    <row r="505" spans="1:4" x14ac:dyDescent="0.25">
      <c r="A505" s="38" t="s">
        <v>1678</v>
      </c>
      <c r="B505" s="38" t="s">
        <v>1419</v>
      </c>
      <c r="C505" s="38" t="s">
        <v>1422</v>
      </c>
      <c r="D505" s="38" t="s">
        <v>1431</v>
      </c>
    </row>
    <row r="506" spans="1:4" x14ac:dyDescent="0.25">
      <c r="A506" s="38" t="s">
        <v>1777</v>
      </c>
      <c r="B506" s="38" t="s">
        <v>1419</v>
      </c>
      <c r="C506" s="38" t="s">
        <v>1423</v>
      </c>
      <c r="D506" s="38" t="s">
        <v>1430</v>
      </c>
    </row>
    <row r="507" spans="1:4" x14ac:dyDescent="0.25">
      <c r="A507" s="38" t="s">
        <v>1682</v>
      </c>
      <c r="B507" s="38" t="s">
        <v>1425</v>
      </c>
      <c r="C507" s="38"/>
      <c r="D507" s="38" t="s">
        <v>1430</v>
      </c>
    </row>
    <row r="508" spans="1:4" x14ac:dyDescent="0.25">
      <c r="A508" s="38" t="s">
        <v>1685</v>
      </c>
      <c r="B508" s="38" t="s">
        <v>1424</v>
      </c>
      <c r="C508" s="38"/>
      <c r="D508" s="38" t="s">
        <v>1432</v>
      </c>
    </row>
    <row r="509" spans="1:4" x14ac:dyDescent="0.25">
      <c r="A509" s="38" t="s">
        <v>1778</v>
      </c>
      <c r="B509" s="38" t="s">
        <v>1424</v>
      </c>
      <c r="C509" s="38"/>
      <c r="D509" s="38" t="s">
        <v>1432</v>
      </c>
    </row>
    <row r="510" spans="1:4" x14ac:dyDescent="0.25">
      <c r="A510" s="38" t="s">
        <v>1692</v>
      </c>
      <c r="B510" s="38" t="s">
        <v>1419</v>
      </c>
      <c r="C510" s="38" t="s">
        <v>1420</v>
      </c>
      <c r="D510" s="38" t="s">
        <v>1430</v>
      </c>
    </row>
    <row r="511" spans="1:4" x14ac:dyDescent="0.25">
      <c r="A511" s="38" t="s">
        <v>1779</v>
      </c>
      <c r="B511" s="38" t="s">
        <v>1419</v>
      </c>
      <c r="C511" s="38" t="s">
        <v>1423</v>
      </c>
      <c r="D511" s="38" t="s">
        <v>1430</v>
      </c>
    </row>
    <row r="512" spans="1:4" x14ac:dyDescent="0.25">
      <c r="A512" s="38" t="s">
        <v>1780</v>
      </c>
      <c r="B512" s="38" t="s">
        <v>1424</v>
      </c>
      <c r="C512" s="38"/>
      <c r="D512" s="38" t="s">
        <v>1432</v>
      </c>
    </row>
    <row r="513" spans="1:4" x14ac:dyDescent="0.25">
      <c r="A513" s="38" t="s">
        <v>1702</v>
      </c>
      <c r="B513" s="38" t="s">
        <v>1424</v>
      </c>
      <c r="C513" s="38"/>
      <c r="D513" s="38" t="s">
        <v>1432</v>
      </c>
    </row>
    <row r="514" spans="1:4" x14ac:dyDescent="0.25">
      <c r="A514" s="38" t="s">
        <v>1781</v>
      </c>
      <c r="B514" s="38" t="s">
        <v>1418</v>
      </c>
      <c r="C514" s="38"/>
      <c r="D514" s="38" t="s">
        <v>1431</v>
      </c>
    </row>
    <row r="515" spans="1:4" x14ac:dyDescent="0.25">
      <c r="A515" s="38" t="s">
        <v>1782</v>
      </c>
      <c r="B515" s="38" t="s">
        <v>1418</v>
      </c>
      <c r="C515" s="38"/>
      <c r="D515" s="38" t="s">
        <v>1431</v>
      </c>
    </row>
    <row r="516" spans="1:4" x14ac:dyDescent="0.25">
      <c r="A516" s="38" t="s">
        <v>1783</v>
      </c>
      <c r="B516" s="38" t="s">
        <v>1424</v>
      </c>
      <c r="C516" s="38"/>
      <c r="D516" s="38" t="s">
        <v>1432</v>
      </c>
    </row>
    <row r="517" spans="1:4" x14ac:dyDescent="0.25">
      <c r="A517" s="38" t="s">
        <v>1784</v>
      </c>
      <c r="B517" s="38" t="s">
        <v>1419</v>
      </c>
      <c r="C517" s="38" t="s">
        <v>1420</v>
      </c>
      <c r="D517" s="38" t="s">
        <v>1431</v>
      </c>
    </row>
    <row r="518" spans="1:4" x14ac:dyDescent="0.25">
      <c r="A518" s="38" t="s">
        <v>1785</v>
      </c>
      <c r="B518" s="38" t="s">
        <v>1424</v>
      </c>
      <c r="C518" s="38"/>
      <c r="D518" s="38" t="s">
        <v>1432</v>
      </c>
    </row>
    <row r="519" spans="1:4" x14ac:dyDescent="0.25">
      <c r="A519" s="38" t="s">
        <v>1786</v>
      </c>
      <c r="B519" s="38" t="s">
        <v>1418</v>
      </c>
      <c r="C519" s="38"/>
      <c r="D519" s="38" t="s">
        <v>1431</v>
      </c>
    </row>
    <row r="520" spans="1:4" x14ac:dyDescent="0.25">
      <c r="A520" s="38" t="s">
        <v>1787</v>
      </c>
      <c r="B520" s="38" t="s">
        <v>1418</v>
      </c>
      <c r="C520" s="38"/>
      <c r="D520" s="38" t="s">
        <v>1431</v>
      </c>
    </row>
    <row r="521" spans="1:4" x14ac:dyDescent="0.25">
      <c r="A521" s="38" t="s">
        <v>1718</v>
      </c>
      <c r="B521" s="38" t="s">
        <v>1424</v>
      </c>
      <c r="C521" s="38"/>
      <c r="D521" s="38" t="s">
        <v>1432</v>
      </c>
    </row>
    <row r="522" spans="1:4" x14ac:dyDescent="0.25">
      <c r="A522" s="38" t="s">
        <v>1788</v>
      </c>
      <c r="B522" s="38" t="s">
        <v>1424</v>
      </c>
      <c r="C522" s="38"/>
      <c r="D522" s="38" t="s">
        <v>1432</v>
      </c>
    </row>
    <row r="523" spans="1:4" x14ac:dyDescent="0.25">
      <c r="A523" s="38" t="s">
        <v>1789</v>
      </c>
      <c r="B523" s="38" t="s">
        <v>1418</v>
      </c>
      <c r="C523" s="38"/>
      <c r="D523" s="38" t="s">
        <v>1431</v>
      </c>
    </row>
    <row r="524" spans="1:4" x14ac:dyDescent="0.25">
      <c r="A524" s="38" t="s">
        <v>1724</v>
      </c>
      <c r="B524" s="38" t="s">
        <v>1419</v>
      </c>
      <c r="C524" s="38" t="s">
        <v>1420</v>
      </c>
      <c r="D524" s="38" t="s">
        <v>1430</v>
      </c>
    </row>
    <row r="525" spans="1:4" x14ac:dyDescent="0.25">
      <c r="A525" s="38" t="s">
        <v>1726</v>
      </c>
      <c r="B525" s="38" t="s">
        <v>1419</v>
      </c>
      <c r="C525" s="38" t="s">
        <v>1420</v>
      </c>
      <c r="D525" s="38" t="s">
        <v>1430</v>
      </c>
    </row>
    <row r="526" spans="1:4" x14ac:dyDescent="0.25">
      <c r="A526" s="38" t="s">
        <v>1790</v>
      </c>
      <c r="B526" s="38" t="s">
        <v>1424</v>
      </c>
      <c r="C526" s="38"/>
      <c r="D526" s="38" t="s">
        <v>1432</v>
      </c>
    </row>
    <row r="527" spans="1:4" x14ac:dyDescent="0.25">
      <c r="A527" s="38" t="s">
        <v>1791</v>
      </c>
      <c r="B527" s="38" t="s">
        <v>1419</v>
      </c>
      <c r="C527" s="38" t="s">
        <v>1423</v>
      </c>
      <c r="D527" s="38" t="s">
        <v>1430</v>
      </c>
    </row>
    <row r="528" spans="1:4" x14ac:dyDescent="0.25">
      <c r="A528" s="38" t="s">
        <v>1734</v>
      </c>
      <c r="B528" s="38" t="s">
        <v>1424</v>
      </c>
      <c r="C528" s="38"/>
      <c r="D528" s="38" t="s">
        <v>1432</v>
      </c>
    </row>
    <row r="529" spans="1:4" x14ac:dyDescent="0.25">
      <c r="A529" s="38" t="s">
        <v>1792</v>
      </c>
      <c r="B529" s="38" t="s">
        <v>1424</v>
      </c>
      <c r="C529" s="38"/>
      <c r="D529" s="38" t="s">
        <v>1432</v>
      </c>
    </row>
    <row r="530" spans="1:4" x14ac:dyDescent="0.25">
      <c r="A530" s="38" t="s">
        <v>1739</v>
      </c>
      <c r="B530" s="38" t="s">
        <v>1419</v>
      </c>
      <c r="C530" s="38" t="s">
        <v>1420</v>
      </c>
      <c r="D530" s="38" t="s">
        <v>1430</v>
      </c>
    </row>
    <row r="531" spans="1:4" x14ac:dyDescent="0.25">
      <c r="A531" s="38" t="s">
        <v>1793</v>
      </c>
      <c r="B531" s="38" t="s">
        <v>1419</v>
      </c>
      <c r="C531" s="38" t="s">
        <v>1420</v>
      </c>
      <c r="D531" s="38" t="s">
        <v>1431</v>
      </c>
    </row>
    <row r="532" spans="1:4" x14ac:dyDescent="0.25">
      <c r="A532" s="38" t="s">
        <v>1794</v>
      </c>
      <c r="B532" s="38" t="s">
        <v>1419</v>
      </c>
      <c r="C532" s="38" t="s">
        <v>1427</v>
      </c>
      <c r="D532" s="38" t="s">
        <v>1431</v>
      </c>
    </row>
    <row r="533" spans="1:4" x14ac:dyDescent="0.25">
      <c r="A533" s="38" t="s">
        <v>1745</v>
      </c>
      <c r="B533" s="38" t="s">
        <v>1424</v>
      </c>
      <c r="C533" s="38"/>
      <c r="D533" s="38" t="s">
        <v>1432</v>
      </c>
    </row>
    <row r="534" spans="1:4" x14ac:dyDescent="0.25">
      <c r="A534" t="s">
        <v>1866</v>
      </c>
      <c r="B534" t="s">
        <v>1418</v>
      </c>
      <c r="D534" t="s">
        <v>1431</v>
      </c>
    </row>
    <row r="535" spans="1:4" x14ac:dyDescent="0.25">
      <c r="A535" t="s">
        <v>1867</v>
      </c>
      <c r="B535" t="s">
        <v>1418</v>
      </c>
      <c r="D535" t="s">
        <v>1431</v>
      </c>
    </row>
    <row r="536" spans="1:4" x14ac:dyDescent="0.25">
      <c r="A536" t="s">
        <v>1868</v>
      </c>
      <c r="B536" t="s">
        <v>1418</v>
      </c>
      <c r="D536" t="s">
        <v>1431</v>
      </c>
    </row>
    <row r="537" spans="1:4" x14ac:dyDescent="0.25">
      <c r="A537" t="s">
        <v>1869</v>
      </c>
      <c r="B537" t="s">
        <v>1419</v>
      </c>
      <c r="C537" t="s">
        <v>1420</v>
      </c>
      <c r="D537" t="s">
        <v>1431</v>
      </c>
    </row>
    <row r="538" spans="1:4" x14ac:dyDescent="0.25">
      <c r="A538" t="s">
        <v>1870</v>
      </c>
      <c r="B538" t="s">
        <v>1418</v>
      </c>
      <c r="D538" t="s">
        <v>1431</v>
      </c>
    </row>
    <row r="539" spans="1:4" x14ac:dyDescent="0.25">
      <c r="A539" t="s">
        <v>1871</v>
      </c>
      <c r="B539" t="s">
        <v>1419</v>
      </c>
      <c r="C539" t="s">
        <v>1420</v>
      </c>
      <c r="D539" t="s">
        <v>1431</v>
      </c>
    </row>
    <row r="540" spans="1:4" x14ac:dyDescent="0.25">
      <c r="A540" t="s">
        <v>1872</v>
      </c>
      <c r="B540" t="s">
        <v>1418</v>
      </c>
      <c r="D540" t="s">
        <v>1431</v>
      </c>
    </row>
    <row r="541" spans="1:4" x14ac:dyDescent="0.25">
      <c r="A541" t="s">
        <v>1873</v>
      </c>
      <c r="B541" t="s">
        <v>1418</v>
      </c>
      <c r="D541" t="s">
        <v>1431</v>
      </c>
    </row>
    <row r="542" spans="1:4" x14ac:dyDescent="0.25">
      <c r="A542" t="s">
        <v>1874</v>
      </c>
      <c r="B542" t="s">
        <v>1419</v>
      </c>
      <c r="C542" t="s">
        <v>1427</v>
      </c>
      <c r="D542" t="s">
        <v>1430</v>
      </c>
    </row>
    <row r="543" spans="1:4" x14ac:dyDescent="0.25">
      <c r="A543" t="s">
        <v>1823</v>
      </c>
      <c r="B543" t="s">
        <v>1419</v>
      </c>
      <c r="C543" t="s">
        <v>1427</v>
      </c>
      <c r="D543" t="s">
        <v>1430</v>
      </c>
    </row>
    <row r="544" spans="1:4" x14ac:dyDescent="0.25">
      <c r="A544" t="s">
        <v>1827</v>
      </c>
      <c r="B544" t="s">
        <v>1419</v>
      </c>
      <c r="C544" t="s">
        <v>1423</v>
      </c>
      <c r="D544" t="s">
        <v>1430</v>
      </c>
    </row>
    <row r="545" spans="1:4" x14ac:dyDescent="0.25">
      <c r="A545" t="s">
        <v>1875</v>
      </c>
      <c r="B545" t="s">
        <v>1418</v>
      </c>
      <c r="D545" t="s">
        <v>1431</v>
      </c>
    </row>
    <row r="546" spans="1:4" x14ac:dyDescent="0.25">
      <c r="A546" t="s">
        <v>1831</v>
      </c>
      <c r="B546" t="s">
        <v>1424</v>
      </c>
      <c r="D546" t="s">
        <v>1432</v>
      </c>
    </row>
    <row r="547" spans="1:4" x14ac:dyDescent="0.25">
      <c r="A547" t="s">
        <v>1876</v>
      </c>
      <c r="B547" t="s">
        <v>1424</v>
      </c>
      <c r="D547" t="s">
        <v>1432</v>
      </c>
    </row>
    <row r="548" spans="1:4" x14ac:dyDescent="0.25">
      <c r="A548" t="s">
        <v>1877</v>
      </c>
      <c r="B548" t="s">
        <v>1424</v>
      </c>
      <c r="D548" t="s">
        <v>1432</v>
      </c>
    </row>
    <row r="549" spans="1:4" x14ac:dyDescent="0.25">
      <c r="A549" t="s">
        <v>1878</v>
      </c>
      <c r="B549" t="s">
        <v>1424</v>
      </c>
      <c r="D549" t="s">
        <v>1432</v>
      </c>
    </row>
    <row r="550" spans="1:4" x14ac:dyDescent="0.25">
      <c r="A550" t="s">
        <v>1879</v>
      </c>
      <c r="B550" t="s">
        <v>1418</v>
      </c>
      <c r="D550" t="s">
        <v>1431</v>
      </c>
    </row>
    <row r="551" spans="1:4" x14ac:dyDescent="0.25">
      <c r="A551" t="s">
        <v>1845</v>
      </c>
      <c r="B551" t="s">
        <v>1425</v>
      </c>
      <c r="D551" t="s">
        <v>1432</v>
      </c>
    </row>
    <row r="552" spans="1:4" x14ac:dyDescent="0.25">
      <c r="A552" t="s">
        <v>1880</v>
      </c>
      <c r="B552" t="s">
        <v>1418</v>
      </c>
      <c r="D552" t="s">
        <v>1431</v>
      </c>
    </row>
    <row r="553" spans="1:4" x14ac:dyDescent="0.25">
      <c r="A553" t="s">
        <v>1850</v>
      </c>
      <c r="B553" t="s">
        <v>1419</v>
      </c>
      <c r="C553" t="s">
        <v>1420</v>
      </c>
      <c r="D553" t="s">
        <v>1431</v>
      </c>
    </row>
    <row r="554" spans="1:4" x14ac:dyDescent="0.25">
      <c r="A554" t="s">
        <v>1853</v>
      </c>
      <c r="B554" t="s">
        <v>1419</v>
      </c>
      <c r="C554" t="s">
        <v>1427</v>
      </c>
      <c r="D554" t="s">
        <v>1431</v>
      </c>
    </row>
    <row r="555" spans="1:4" x14ac:dyDescent="0.25">
      <c r="A555" t="s">
        <v>1881</v>
      </c>
      <c r="B555" t="s">
        <v>1419</v>
      </c>
      <c r="C555" t="s">
        <v>1427</v>
      </c>
      <c r="D555" t="s">
        <v>1431</v>
      </c>
    </row>
    <row r="556" spans="1:4" x14ac:dyDescent="0.25">
      <c r="A556" t="s">
        <v>1858</v>
      </c>
      <c r="B556" t="s">
        <v>1419</v>
      </c>
      <c r="C556" t="s">
        <v>1427</v>
      </c>
      <c r="D556" t="s">
        <v>1431</v>
      </c>
    </row>
    <row r="557" spans="1:4" x14ac:dyDescent="0.25">
      <c r="A557" t="s">
        <v>1865</v>
      </c>
      <c r="B557" t="s">
        <v>1425</v>
      </c>
      <c r="D557" t="s">
        <v>1432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0B4CE-49D5-48BC-8D62-8B82F6CFEB1F}">
  <dimension ref="A1:B13"/>
  <sheetViews>
    <sheetView workbookViewId="0">
      <selection activeCell="A2" sqref="A2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1413</v>
      </c>
      <c r="B1" t="s">
        <v>1414</v>
      </c>
    </row>
    <row r="2" spans="1:2" x14ac:dyDescent="0.25">
      <c r="A2" t="s">
        <v>25</v>
      </c>
      <c r="B2">
        <v>1</v>
      </c>
    </row>
    <row r="3" spans="1:2" x14ac:dyDescent="0.25">
      <c r="A3" t="s">
        <v>1410</v>
      </c>
      <c r="B3">
        <v>2</v>
      </c>
    </row>
    <row r="4" spans="1:2" x14ac:dyDescent="0.25">
      <c r="A4" t="s">
        <v>24</v>
      </c>
      <c r="B4">
        <v>3</v>
      </c>
    </row>
    <row r="5" spans="1:2" x14ac:dyDescent="0.25">
      <c r="A5" t="s">
        <v>33</v>
      </c>
      <c r="B5">
        <v>4</v>
      </c>
    </row>
    <row r="6" spans="1:2" x14ac:dyDescent="0.25">
      <c r="A6" t="s">
        <v>41</v>
      </c>
      <c r="B6">
        <v>5</v>
      </c>
    </row>
    <row r="7" spans="1:2" x14ac:dyDescent="0.25">
      <c r="A7" t="s">
        <v>65</v>
      </c>
      <c r="B7">
        <v>6</v>
      </c>
    </row>
    <row r="8" spans="1:2" x14ac:dyDescent="0.25">
      <c r="A8" t="s">
        <v>70</v>
      </c>
      <c r="B8">
        <v>7</v>
      </c>
    </row>
    <row r="9" spans="1:2" x14ac:dyDescent="0.25">
      <c r="A9" t="s">
        <v>82</v>
      </c>
      <c r="B9">
        <v>8</v>
      </c>
    </row>
    <row r="10" spans="1:2" x14ac:dyDescent="0.25">
      <c r="A10" t="s">
        <v>90</v>
      </c>
      <c r="B10">
        <v>9</v>
      </c>
    </row>
    <row r="11" spans="1:2" x14ac:dyDescent="0.25">
      <c r="A11" t="s">
        <v>94</v>
      </c>
      <c r="B11">
        <v>10</v>
      </c>
    </row>
    <row r="12" spans="1:2" x14ac:dyDescent="0.25">
      <c r="A12" t="s">
        <v>1411</v>
      </c>
      <c r="B12">
        <v>11</v>
      </c>
    </row>
    <row r="13" spans="1:2" x14ac:dyDescent="0.25">
      <c r="A13" t="s">
        <v>1412</v>
      </c>
      <c r="B13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D495AEB7-8A95-4FDD-AEE1-3AA1240636EC}">
  <ds:schemaRefs/>
</ds:datastoreItem>
</file>

<file path=customXml/itemProps2.xml><?xml version="1.0" encoding="utf-8"?>
<ds:datastoreItem xmlns:ds="http://schemas.openxmlformats.org/officeDocument/2006/customXml" ds:itemID="{18F8E3B0-D66D-49DF-BD6B-C8ACC772AC83}">
  <ds:schemaRefs/>
</ds:datastoreItem>
</file>

<file path=customXml/itemProps3.xml><?xml version="1.0" encoding="utf-8"?>
<ds:datastoreItem xmlns:ds="http://schemas.openxmlformats.org/officeDocument/2006/customXml" ds:itemID="{AC0FA267-FE82-4562-B11A-A830BA2F25AA}">
  <ds:schemaRefs/>
</ds:datastoreItem>
</file>

<file path=customXml/itemProps4.xml><?xml version="1.0" encoding="utf-8"?>
<ds:datastoreItem xmlns:ds="http://schemas.openxmlformats.org/officeDocument/2006/customXml" ds:itemID="{1F8E4EF3-FCF1-4ED5-8D9E-2B4899D69DCE}">
  <ds:schemaRefs/>
</ds:datastoreItem>
</file>

<file path=customXml/itemProps5.xml><?xml version="1.0" encoding="utf-8"?>
<ds:datastoreItem xmlns:ds="http://schemas.openxmlformats.org/officeDocument/2006/customXml" ds:itemID="{6DC97E49-557B-44A5-A531-2CF8359B3DBB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13B33B6C-FC0A-49F1-86D9-4CB5152C1446}">
  <ds:schemaRefs/>
</ds:datastoreItem>
</file>

<file path=customXml/itemProps7.xml><?xml version="1.0" encoding="utf-8"?>
<ds:datastoreItem xmlns:ds="http://schemas.openxmlformats.org/officeDocument/2006/customXml" ds:itemID="{EFF5D2A4-B3BA-4F1E-9422-6D95E4FD127E}">
  <ds:schemaRefs/>
</ds:datastoreItem>
</file>

<file path=customXml/itemProps8.xml><?xml version="1.0" encoding="utf-8"?>
<ds:datastoreItem xmlns:ds="http://schemas.openxmlformats.org/officeDocument/2006/customXml" ds:itemID="{B0FEDAC4-DC83-4F5D-BED9-6C04CF186F2E}">
  <ds:schemaRefs/>
</ds:datastoreItem>
</file>

<file path=customXml/itemProps9.xml><?xml version="1.0" encoding="utf-8"?>
<ds:datastoreItem xmlns:ds="http://schemas.openxmlformats.org/officeDocument/2006/customXml" ds:itemID="{09D3367B-98C8-412F-AEDA-F47F4EF6B974}">
  <ds:schemaRefs/>
</ds:datastoreItem>
</file>

<file path=customXml/itemProps10.xml><?xml version="1.0" encoding="utf-8"?>
<ds:datastoreItem xmlns:ds="http://schemas.openxmlformats.org/officeDocument/2006/customXml" ds:itemID="{AAE187D9-C3FB-48F0-A685-EB3B478E77B0}">
  <ds:schemaRefs/>
</ds:datastoreItem>
</file>

<file path=customXml/itemProps11.xml><?xml version="1.0" encoding="utf-8"?>
<ds:datastoreItem xmlns:ds="http://schemas.openxmlformats.org/officeDocument/2006/customXml" ds:itemID="{4A072FA2-A203-4727-A059-C0CD38D9B2BA}">
  <ds:schemaRefs/>
</ds:datastoreItem>
</file>

<file path=customXml/itemProps12.xml><?xml version="1.0" encoding="utf-8"?>
<ds:datastoreItem xmlns:ds="http://schemas.openxmlformats.org/officeDocument/2006/customXml" ds:itemID="{264085E5-48AA-499E-A938-10DAA8FABBFB}">
  <ds:schemaRefs/>
</ds:datastoreItem>
</file>

<file path=customXml/itemProps13.xml><?xml version="1.0" encoding="utf-8"?>
<ds:datastoreItem xmlns:ds="http://schemas.openxmlformats.org/officeDocument/2006/customXml" ds:itemID="{AD247A5A-AD19-478C-BD34-D1C9FA9146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2024</vt:lpstr>
      <vt:lpstr>2025</vt:lpstr>
      <vt:lpstr>2026</vt:lpstr>
      <vt:lpstr>Sheet5</vt:lpstr>
      <vt:lpstr>Sheet7</vt:lpstr>
      <vt:lpstr>Sheet6</vt:lpstr>
      <vt:lpstr>Sheet8</vt:lpstr>
      <vt:lpstr>Toda la data</vt:lpstr>
      <vt:lpstr>2024 data</vt:lpstr>
      <vt:lpstr>2025 data</vt:lpstr>
      <vt:lpstr>Analisis Necropcia</vt:lpstr>
      <vt:lpstr>Fatal Injury AllData</vt:lpstr>
      <vt:lpstr>2026 data</vt:lpstr>
      <vt:lpstr>Sheet3</vt:lpstr>
      <vt:lpstr>RazónMuerte</vt:lpstr>
      <vt:lpstr>Meses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Miguel Rivera Canales</cp:lastModifiedBy>
  <dcterms:created xsi:type="dcterms:W3CDTF">2023-01-19T18:01:55Z</dcterms:created>
  <dcterms:modified xsi:type="dcterms:W3CDTF">2026-06-24T01:31:41Z</dcterms:modified>
</cp:coreProperties>
</file>